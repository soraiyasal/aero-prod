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rostarcontractru-my.sharepoint.com/personal/dimii_aerostarcontract_com/Documents/"/>
    </mc:Choice>
  </mc:AlternateContent>
  <xr:revisionPtr revIDLastSave="256" documentId="8_{7F1EAC5F-81DE-438D-BC59-D935521F023F}" xr6:coauthVersionLast="47" xr6:coauthVersionMax="47" xr10:uidLastSave="{F9FAD22D-4C49-4AE7-A25D-8E512BFC0AFC}"/>
  <bookViews>
    <workbookView xWindow="-120" yWindow="-120" windowWidth="29040" windowHeight="15840" activeTab="1" xr2:uid="{2F2F1A5A-DA71-474A-B696-71335FC58D60}"/>
  </bookViews>
  <sheets>
    <sheet name="1" sheetId="1" r:id="rId1"/>
    <sheet name="2" sheetId="6" r:id="rId2"/>
    <sheet name="3" sheetId="7" r:id="rId3"/>
    <sheet name="4" sheetId="8" r:id="rId4"/>
    <sheet name="5" sheetId="9" r:id="rId5"/>
    <sheet name="Setup" sheetId="4" r:id="rId6"/>
    <sheet name="interpretations" sheetId="5" r:id="rId7"/>
  </sheets>
  <definedNames>
    <definedName name="_xlnm._FilterDatabase" localSheetId="0" hidden="1">'1'!$A$1:$AA$19</definedName>
    <definedName name="_xlnm._FilterDatabase" localSheetId="1" hidden="1">'2'!$A$1:$AA$26</definedName>
    <definedName name="_xlnm._FilterDatabase" localSheetId="2" hidden="1">'3'!$A$1:$AA$26</definedName>
    <definedName name="_xlnm._FilterDatabase" localSheetId="3" hidden="1">'4'!$A$1:$AA$6</definedName>
    <definedName name="_xlnm._FilterDatabase" localSheetId="4" hidden="1">'5'!$A$1:$AA$68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6" l="1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3" i="8"/>
  <c r="S4" i="8"/>
  <c r="S5" i="8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2" i="9"/>
  <c r="S2" i="8"/>
  <c r="S2" i="7"/>
  <c r="S2" i="6"/>
  <c r="T13" i="7"/>
  <c r="T24" i="7"/>
  <c r="T25" i="7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" i="1"/>
  <c r="L3" i="9"/>
  <c r="T3" i="9" s="1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T17" i="9" s="1"/>
  <c r="L18" i="9"/>
  <c r="L19" i="9"/>
  <c r="L20" i="9"/>
  <c r="L21" i="9"/>
  <c r="L22" i="9"/>
  <c r="T22" i="9" s="1"/>
  <c r="V22" i="9" s="1"/>
  <c r="L23" i="9"/>
  <c r="L24" i="9"/>
  <c r="L25" i="9"/>
  <c r="L26" i="9"/>
  <c r="L27" i="9"/>
  <c r="L28" i="9"/>
  <c r="L29" i="9"/>
  <c r="L30" i="9"/>
  <c r="L31" i="9"/>
  <c r="L32" i="9"/>
  <c r="L33" i="9"/>
  <c r="T33" i="9" s="1"/>
  <c r="L34" i="9"/>
  <c r="L35" i="9"/>
  <c r="L36" i="9"/>
  <c r="L37" i="9"/>
  <c r="L38" i="9"/>
  <c r="L39" i="9"/>
  <c r="L40" i="9"/>
  <c r="T40" i="9" s="1"/>
  <c r="L41" i="9"/>
  <c r="T41" i="9" s="1"/>
  <c r="L42" i="9"/>
  <c r="L43" i="9"/>
  <c r="L44" i="9"/>
  <c r="L45" i="9"/>
  <c r="T45" i="9" s="1"/>
  <c r="L46" i="9"/>
  <c r="T46" i="9" s="1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T59" i="9" s="1"/>
  <c r="L60" i="9"/>
  <c r="L61" i="9"/>
  <c r="L62" i="9"/>
  <c r="L63" i="9"/>
  <c r="L64" i="9"/>
  <c r="L65" i="9"/>
  <c r="L66" i="9"/>
  <c r="L67" i="9"/>
  <c r="L68" i="9"/>
  <c r="L2" i="9"/>
  <c r="L3" i="8"/>
  <c r="L4" i="8"/>
  <c r="L5" i="8"/>
  <c r="T5" i="8" s="1"/>
  <c r="L2" i="8"/>
  <c r="L3" i="7"/>
  <c r="T3" i="7" s="1"/>
  <c r="V3" i="7" s="1"/>
  <c r="L4" i="7"/>
  <c r="T4" i="7" s="1"/>
  <c r="L5" i="7"/>
  <c r="L6" i="7"/>
  <c r="L7" i="7"/>
  <c r="L8" i="7"/>
  <c r="T8" i="7" s="1"/>
  <c r="L9" i="7"/>
  <c r="T9" i="7" s="1"/>
  <c r="L10" i="7"/>
  <c r="T10" i="7" s="1"/>
  <c r="L11" i="7"/>
  <c r="L12" i="7"/>
  <c r="L13" i="7"/>
  <c r="L14" i="7"/>
  <c r="L15" i="7"/>
  <c r="T15" i="7" s="1"/>
  <c r="L16" i="7"/>
  <c r="T16" i="7" s="1"/>
  <c r="L17" i="7"/>
  <c r="L18" i="7"/>
  <c r="L19" i="7"/>
  <c r="L20" i="7"/>
  <c r="T20" i="7" s="1"/>
  <c r="L21" i="7"/>
  <c r="T21" i="7" s="1"/>
  <c r="L22" i="7"/>
  <c r="T22" i="7" s="1"/>
  <c r="L23" i="7"/>
  <c r="L24" i="7"/>
  <c r="L25" i="7"/>
  <c r="L26" i="7"/>
  <c r="T26" i="7" s="1"/>
  <c r="L2" i="7"/>
  <c r="T2" i="7" s="1"/>
  <c r="N2" i="7"/>
  <c r="N3" i="7"/>
  <c r="M4" i="7"/>
  <c r="M5" i="7"/>
  <c r="M27" i="7" s="1"/>
  <c r="N6" i="7"/>
  <c r="N27" i="7" s="1"/>
  <c r="N7" i="7"/>
  <c r="N8" i="7"/>
  <c r="N10" i="7"/>
  <c r="M13" i="7"/>
  <c r="N14" i="7"/>
  <c r="N15" i="7"/>
  <c r="M16" i="7"/>
  <c r="N16" i="7"/>
  <c r="N17" i="7"/>
  <c r="N18" i="7"/>
  <c r="N20" i="7"/>
  <c r="N21" i="7"/>
  <c r="N22" i="7"/>
  <c r="N24" i="7"/>
  <c r="N26" i="7"/>
  <c r="O27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  <c r="M69" i="9"/>
  <c r="O69" i="9"/>
  <c r="O7" i="8"/>
  <c r="N7" i="8"/>
  <c r="M7" i="8"/>
  <c r="H7" i="8"/>
  <c r="G7" i="8"/>
  <c r="O27" i="6"/>
  <c r="O20" i="1"/>
  <c r="R68" i="9"/>
  <c r="U68" i="9" s="1"/>
  <c r="Q68" i="9"/>
  <c r="C68" i="9"/>
  <c r="R67" i="9"/>
  <c r="U67" i="9" s="1"/>
  <c r="Q67" i="9"/>
  <c r="C67" i="9"/>
  <c r="AC66" i="9"/>
  <c r="R66" i="9"/>
  <c r="U66" i="9" s="1"/>
  <c r="Q66" i="9"/>
  <c r="N66" i="9"/>
  <c r="C66" i="9"/>
  <c r="R65" i="9"/>
  <c r="U65" i="9" s="1"/>
  <c r="Q65" i="9"/>
  <c r="T65" i="9"/>
  <c r="C65" i="9"/>
  <c r="R64" i="9"/>
  <c r="U64" i="9" s="1"/>
  <c r="Q64" i="9"/>
  <c r="C64" i="9"/>
  <c r="R63" i="9"/>
  <c r="U63" i="9" s="1"/>
  <c r="Q63" i="9"/>
  <c r="C63" i="9"/>
  <c r="R62" i="9"/>
  <c r="U62" i="9" s="1"/>
  <c r="Q62" i="9"/>
  <c r="T62" i="9"/>
  <c r="C62" i="9"/>
  <c r="R61" i="9"/>
  <c r="U61" i="9" s="1"/>
  <c r="Q61" i="9"/>
  <c r="C61" i="9"/>
  <c r="R60" i="9"/>
  <c r="U60" i="9" s="1"/>
  <c r="Q60" i="9"/>
  <c r="C60" i="9"/>
  <c r="R59" i="9"/>
  <c r="U59" i="9" s="1"/>
  <c r="Q59" i="9"/>
  <c r="C59" i="9"/>
  <c r="U58" i="9"/>
  <c r="Q58" i="9"/>
  <c r="C58" i="9"/>
  <c r="R57" i="9"/>
  <c r="U57" i="9" s="1"/>
  <c r="Q57" i="9"/>
  <c r="C57" i="9"/>
  <c r="U56" i="9"/>
  <c r="Q56" i="9"/>
  <c r="T56" i="9"/>
  <c r="V56" i="9" s="1"/>
  <c r="C56" i="9"/>
  <c r="U55" i="9"/>
  <c r="Q55" i="9"/>
  <c r="C55" i="9"/>
  <c r="R54" i="9"/>
  <c r="U54" i="9" s="1"/>
  <c r="Q54" i="9"/>
  <c r="C54" i="9"/>
  <c r="R53" i="9"/>
  <c r="U53" i="9" s="1"/>
  <c r="Q53" i="9"/>
  <c r="C53" i="9"/>
  <c r="AC52" i="9"/>
  <c r="R52" i="9"/>
  <c r="Q52" i="9"/>
  <c r="N52" i="9"/>
  <c r="H52" i="9"/>
  <c r="H69" i="9" s="1"/>
  <c r="G52" i="9"/>
  <c r="G69" i="9" s="1"/>
  <c r="C52" i="9"/>
  <c r="R51" i="9"/>
  <c r="U51" i="9" s="1"/>
  <c r="Q51" i="9"/>
  <c r="C51" i="9"/>
  <c r="AC50" i="9"/>
  <c r="R50" i="9"/>
  <c r="U50" i="9" s="1"/>
  <c r="Q50" i="9"/>
  <c r="T50" i="9" s="1"/>
  <c r="V50" i="9" s="1"/>
  <c r="N50" i="9"/>
  <c r="C50" i="9"/>
  <c r="R49" i="9"/>
  <c r="U49" i="9" s="1"/>
  <c r="Q49" i="9"/>
  <c r="C49" i="9"/>
  <c r="R48" i="9"/>
  <c r="U48" i="9" s="1"/>
  <c r="Q48" i="9"/>
  <c r="C48" i="9"/>
  <c r="AC47" i="9"/>
  <c r="R47" i="9"/>
  <c r="U47" i="9" s="1"/>
  <c r="Q47" i="9"/>
  <c r="N47" i="9"/>
  <c r="C47" i="9"/>
  <c r="R46" i="9"/>
  <c r="U46" i="9" s="1"/>
  <c r="Q46" i="9"/>
  <c r="C46" i="9"/>
  <c r="R45" i="9"/>
  <c r="U45" i="9" s="1"/>
  <c r="Q45" i="9"/>
  <c r="C45" i="9"/>
  <c r="R44" i="9"/>
  <c r="U44" i="9" s="1"/>
  <c r="Q44" i="9"/>
  <c r="C44" i="9"/>
  <c r="R43" i="9"/>
  <c r="U43" i="9" s="1"/>
  <c r="Q43" i="9"/>
  <c r="C43" i="9"/>
  <c r="R42" i="9"/>
  <c r="U42" i="9" s="1"/>
  <c r="Q42" i="9"/>
  <c r="C42" i="9"/>
  <c r="R41" i="9"/>
  <c r="U41" i="9" s="1"/>
  <c r="Q41" i="9"/>
  <c r="C41" i="9"/>
  <c r="R40" i="9"/>
  <c r="U40" i="9" s="1"/>
  <c r="Q40" i="9"/>
  <c r="C40" i="9"/>
  <c r="R39" i="9"/>
  <c r="U39" i="9" s="1"/>
  <c r="Q39" i="9"/>
  <c r="C39" i="9"/>
  <c r="R38" i="9"/>
  <c r="U38" i="9" s="1"/>
  <c r="Q38" i="9"/>
  <c r="T38" i="9"/>
  <c r="C38" i="9"/>
  <c r="R37" i="9"/>
  <c r="U37" i="9" s="1"/>
  <c r="Q37" i="9"/>
  <c r="C37" i="9"/>
  <c r="R36" i="9"/>
  <c r="U36" i="9" s="1"/>
  <c r="Q36" i="9"/>
  <c r="C36" i="9"/>
  <c r="R35" i="9"/>
  <c r="U35" i="9" s="1"/>
  <c r="Q35" i="9"/>
  <c r="C35" i="9"/>
  <c r="U34" i="9"/>
  <c r="Q34" i="9"/>
  <c r="C34" i="9"/>
  <c r="U33" i="9"/>
  <c r="R33" i="9"/>
  <c r="Q33" i="9"/>
  <c r="C33" i="9"/>
  <c r="AC32" i="9"/>
  <c r="R32" i="9"/>
  <c r="U32" i="9" s="1"/>
  <c r="Q32" i="9"/>
  <c r="N32" i="9"/>
  <c r="C32" i="9"/>
  <c r="R31" i="9"/>
  <c r="U31" i="9" s="1"/>
  <c r="Q31" i="9"/>
  <c r="T31" i="9"/>
  <c r="C31" i="9"/>
  <c r="U30" i="9"/>
  <c r="Q30" i="9"/>
  <c r="C30" i="9"/>
  <c r="R29" i="9"/>
  <c r="U29" i="9" s="1"/>
  <c r="Q29" i="9"/>
  <c r="C29" i="9"/>
  <c r="R28" i="9"/>
  <c r="U28" i="9" s="1"/>
  <c r="Q28" i="9"/>
  <c r="T28" i="9"/>
  <c r="C28" i="9"/>
  <c r="R27" i="9"/>
  <c r="U27" i="9" s="1"/>
  <c r="Q27" i="9"/>
  <c r="C27" i="9"/>
  <c r="U26" i="9"/>
  <c r="Q26" i="9"/>
  <c r="C26" i="9"/>
  <c r="AC25" i="9"/>
  <c r="R25" i="9"/>
  <c r="U25" i="9" s="1"/>
  <c r="Q25" i="9"/>
  <c r="N25" i="9"/>
  <c r="C25" i="9"/>
  <c r="U24" i="9"/>
  <c r="R24" i="9"/>
  <c r="Q24" i="9"/>
  <c r="C24" i="9"/>
  <c r="R23" i="9"/>
  <c r="U23" i="9" s="1"/>
  <c r="Q23" i="9"/>
  <c r="T23" i="9"/>
  <c r="C23" i="9"/>
  <c r="R22" i="9"/>
  <c r="U22" i="9" s="1"/>
  <c r="Q22" i="9"/>
  <c r="C22" i="9"/>
  <c r="R21" i="9"/>
  <c r="U21" i="9" s="1"/>
  <c r="Q21" i="9"/>
  <c r="C21" i="9"/>
  <c r="AC20" i="9"/>
  <c r="R20" i="9"/>
  <c r="U20" i="9" s="1"/>
  <c r="Q20" i="9"/>
  <c r="N20" i="9"/>
  <c r="T20" i="9"/>
  <c r="C20" i="9"/>
  <c r="R19" i="9"/>
  <c r="U19" i="9" s="1"/>
  <c r="Q19" i="9"/>
  <c r="C19" i="9"/>
  <c r="R18" i="9"/>
  <c r="U18" i="9" s="1"/>
  <c r="Q18" i="9"/>
  <c r="C18" i="9"/>
  <c r="U17" i="9"/>
  <c r="Q17" i="9"/>
  <c r="C17" i="9"/>
  <c r="U16" i="9"/>
  <c r="Q16" i="9"/>
  <c r="C16" i="9"/>
  <c r="U15" i="9"/>
  <c r="Q15" i="9"/>
  <c r="C15" i="9"/>
  <c r="R14" i="9"/>
  <c r="U14" i="9" s="1"/>
  <c r="Q14" i="9"/>
  <c r="T14" i="9" s="1"/>
  <c r="C14" i="9"/>
  <c r="R13" i="9"/>
  <c r="U13" i="9" s="1"/>
  <c r="Q13" i="9"/>
  <c r="C13" i="9"/>
  <c r="R12" i="9"/>
  <c r="U12" i="9" s="1"/>
  <c r="Q12" i="9"/>
  <c r="C12" i="9"/>
  <c r="AC11" i="9"/>
  <c r="R11" i="9"/>
  <c r="U11" i="9" s="1"/>
  <c r="Q11" i="9"/>
  <c r="N11" i="9"/>
  <c r="C11" i="9"/>
  <c r="R10" i="9"/>
  <c r="U10" i="9" s="1"/>
  <c r="Q10" i="9"/>
  <c r="C10" i="9"/>
  <c r="R9" i="9"/>
  <c r="U9" i="9" s="1"/>
  <c r="Q9" i="9"/>
  <c r="C9" i="9"/>
  <c r="AC8" i="9"/>
  <c r="R8" i="9"/>
  <c r="U8" i="9" s="1"/>
  <c r="Q8" i="9"/>
  <c r="N8" i="9"/>
  <c r="C8" i="9"/>
  <c r="U7" i="9"/>
  <c r="T7" i="9"/>
  <c r="Q7" i="9"/>
  <c r="C7" i="9"/>
  <c r="R6" i="9"/>
  <c r="U6" i="9" s="1"/>
  <c r="Q6" i="9"/>
  <c r="C6" i="9"/>
  <c r="AC5" i="9"/>
  <c r="R5" i="9"/>
  <c r="U5" i="9" s="1"/>
  <c r="Q5" i="9"/>
  <c r="C5" i="9"/>
  <c r="AC4" i="9"/>
  <c r="U4" i="9"/>
  <c r="Q4" i="9"/>
  <c r="N4" i="9"/>
  <c r="C4" i="9"/>
  <c r="R3" i="9"/>
  <c r="U3" i="9" s="1"/>
  <c r="Q3" i="9"/>
  <c r="C3" i="9"/>
  <c r="AC2" i="9"/>
  <c r="R2" i="9"/>
  <c r="U2" i="9" s="1"/>
  <c r="Q2" i="9"/>
  <c r="C2" i="9"/>
  <c r="U5" i="8"/>
  <c r="C5" i="8"/>
  <c r="R4" i="8"/>
  <c r="U4" i="8" s="1"/>
  <c r="Q4" i="8"/>
  <c r="C4" i="8"/>
  <c r="U3" i="8"/>
  <c r="T3" i="8"/>
  <c r="C3" i="8"/>
  <c r="R2" i="8"/>
  <c r="U2" i="8" s="1"/>
  <c r="Q2" i="8"/>
  <c r="Q7" i="8" s="1"/>
  <c r="T2" i="8"/>
  <c r="C2" i="8"/>
  <c r="AC26" i="7"/>
  <c r="R26" i="7"/>
  <c r="U26" i="7" s="1"/>
  <c r="Q26" i="7"/>
  <c r="C26" i="7"/>
  <c r="R25" i="7"/>
  <c r="U25" i="7" s="1"/>
  <c r="Q25" i="7"/>
  <c r="C25" i="7"/>
  <c r="AC24" i="7"/>
  <c r="R24" i="7"/>
  <c r="U24" i="7" s="1"/>
  <c r="Q24" i="7"/>
  <c r="C24" i="7"/>
  <c r="AC23" i="7"/>
  <c r="R23" i="7"/>
  <c r="U23" i="7" s="1"/>
  <c r="Q23" i="7"/>
  <c r="T23" i="7" s="1"/>
  <c r="C23" i="7"/>
  <c r="AC22" i="7"/>
  <c r="R22" i="7"/>
  <c r="U22" i="7" s="1"/>
  <c r="Q22" i="7"/>
  <c r="C22" i="7"/>
  <c r="AC21" i="7"/>
  <c r="R21" i="7"/>
  <c r="U21" i="7" s="1"/>
  <c r="Q21" i="7"/>
  <c r="C21" i="7"/>
  <c r="AC20" i="7"/>
  <c r="R20" i="7"/>
  <c r="U20" i="7" s="1"/>
  <c r="Q20" i="7"/>
  <c r="C20" i="7"/>
  <c r="AC19" i="7"/>
  <c r="R19" i="7"/>
  <c r="Q19" i="7"/>
  <c r="H19" i="7"/>
  <c r="U19" i="7" s="1"/>
  <c r="G19" i="7"/>
  <c r="C19" i="7"/>
  <c r="AC18" i="7"/>
  <c r="R18" i="7"/>
  <c r="U18" i="7" s="1"/>
  <c r="Q18" i="7"/>
  <c r="T18" i="7" s="1"/>
  <c r="C18" i="7"/>
  <c r="AC17" i="7"/>
  <c r="U17" i="7"/>
  <c r="R17" i="7"/>
  <c r="Q17" i="7"/>
  <c r="T17" i="7" s="1"/>
  <c r="C17" i="7"/>
  <c r="AC16" i="7"/>
  <c r="R16" i="7"/>
  <c r="U16" i="7" s="1"/>
  <c r="Q16" i="7"/>
  <c r="C16" i="7"/>
  <c r="AC15" i="7"/>
  <c r="R15" i="7"/>
  <c r="U15" i="7" s="1"/>
  <c r="Q15" i="7"/>
  <c r="C15" i="7"/>
  <c r="AC14" i="7"/>
  <c r="R14" i="7"/>
  <c r="Q14" i="7"/>
  <c r="H14" i="7"/>
  <c r="U14" i="7" s="1"/>
  <c r="G14" i="7"/>
  <c r="G27" i="7" s="1"/>
  <c r="C14" i="7"/>
  <c r="R13" i="7"/>
  <c r="U13" i="7" s="1"/>
  <c r="Q13" i="7"/>
  <c r="C13" i="7"/>
  <c r="R12" i="7"/>
  <c r="U12" i="7" s="1"/>
  <c r="Q12" i="7"/>
  <c r="T12" i="7" s="1"/>
  <c r="C12" i="7"/>
  <c r="AC11" i="7"/>
  <c r="R11" i="7"/>
  <c r="U11" i="7" s="1"/>
  <c r="Q11" i="7"/>
  <c r="T11" i="7" s="1"/>
  <c r="C11" i="7"/>
  <c r="AC10" i="7"/>
  <c r="R10" i="7"/>
  <c r="U10" i="7" s="1"/>
  <c r="C10" i="7"/>
  <c r="R9" i="7"/>
  <c r="U9" i="7" s="1"/>
  <c r="Q9" i="7"/>
  <c r="C9" i="7"/>
  <c r="AC8" i="7"/>
  <c r="R8" i="7"/>
  <c r="U8" i="7" s="1"/>
  <c r="Q8" i="7"/>
  <c r="C8" i="7"/>
  <c r="AC7" i="7"/>
  <c r="R7" i="7"/>
  <c r="U7" i="7" s="1"/>
  <c r="Q7" i="7"/>
  <c r="T7" i="7" s="1"/>
  <c r="C7" i="7"/>
  <c r="AC6" i="7"/>
  <c r="R6" i="7"/>
  <c r="U6" i="7" s="1"/>
  <c r="Q6" i="7"/>
  <c r="T6" i="7" s="1"/>
  <c r="C6" i="7"/>
  <c r="R5" i="7"/>
  <c r="U5" i="7" s="1"/>
  <c r="Q5" i="7"/>
  <c r="C5" i="7"/>
  <c r="U4" i="7"/>
  <c r="C4" i="7"/>
  <c r="AC3" i="7"/>
  <c r="R3" i="7"/>
  <c r="U3" i="7" s="1"/>
  <c r="Q3" i="7"/>
  <c r="C3" i="7"/>
  <c r="AC2" i="7"/>
  <c r="R2" i="7"/>
  <c r="U2" i="7" s="1"/>
  <c r="Q2" i="7"/>
  <c r="C2" i="7"/>
  <c r="AC26" i="6"/>
  <c r="R26" i="6"/>
  <c r="U26" i="6" s="1"/>
  <c r="Q26" i="6"/>
  <c r="N26" i="6"/>
  <c r="C26" i="6"/>
  <c r="R25" i="6"/>
  <c r="U25" i="6" s="1"/>
  <c r="Q25" i="6"/>
  <c r="C25" i="6"/>
  <c r="R24" i="6"/>
  <c r="U24" i="6" s="1"/>
  <c r="Q24" i="6"/>
  <c r="C24" i="6"/>
  <c r="AC23" i="6"/>
  <c r="R23" i="6"/>
  <c r="Q23" i="6"/>
  <c r="N23" i="6"/>
  <c r="H23" i="6"/>
  <c r="G23" i="6"/>
  <c r="C23" i="6"/>
  <c r="R22" i="6"/>
  <c r="U22" i="6" s="1"/>
  <c r="Q22" i="6"/>
  <c r="C22" i="6"/>
  <c r="U21" i="6"/>
  <c r="R21" i="6"/>
  <c r="Q21" i="6"/>
  <c r="C21" i="6"/>
  <c r="R20" i="6"/>
  <c r="U20" i="6" s="1"/>
  <c r="Q20" i="6"/>
  <c r="T20" i="6"/>
  <c r="C20" i="6"/>
  <c r="AC19" i="6"/>
  <c r="U19" i="6"/>
  <c r="Q19" i="6"/>
  <c r="N19" i="6"/>
  <c r="T19" i="6"/>
  <c r="V19" i="6" s="1"/>
  <c r="C19" i="6"/>
  <c r="R18" i="6"/>
  <c r="U18" i="6" s="1"/>
  <c r="Q18" i="6"/>
  <c r="C18" i="6"/>
  <c r="T17" i="6"/>
  <c r="R17" i="6"/>
  <c r="U17" i="6" s="1"/>
  <c r="Q17" i="6"/>
  <c r="C17" i="6"/>
  <c r="R16" i="6"/>
  <c r="U16" i="6" s="1"/>
  <c r="Q16" i="6"/>
  <c r="C16" i="6"/>
  <c r="AC15" i="6"/>
  <c r="R15" i="6"/>
  <c r="Q15" i="6"/>
  <c r="N15" i="6"/>
  <c r="H15" i="6"/>
  <c r="G15" i="6"/>
  <c r="C15" i="6"/>
  <c r="R14" i="6"/>
  <c r="U14" i="6" s="1"/>
  <c r="Q14" i="6"/>
  <c r="C14" i="6"/>
  <c r="AC13" i="6"/>
  <c r="R13" i="6"/>
  <c r="U13" i="6" s="1"/>
  <c r="Q13" i="6"/>
  <c r="C13" i="6"/>
  <c r="U12" i="6"/>
  <c r="Q12" i="6"/>
  <c r="T12" i="6"/>
  <c r="C12" i="6"/>
  <c r="AC11" i="6"/>
  <c r="R11" i="6"/>
  <c r="U11" i="6" s="1"/>
  <c r="Q11" i="6"/>
  <c r="N11" i="6"/>
  <c r="C11" i="6"/>
  <c r="R10" i="6"/>
  <c r="U10" i="6" s="1"/>
  <c r="Q10" i="6"/>
  <c r="C10" i="6"/>
  <c r="AC9" i="6"/>
  <c r="R9" i="6"/>
  <c r="U9" i="6" s="1"/>
  <c r="Q9" i="6"/>
  <c r="N9" i="6"/>
  <c r="C9" i="6"/>
  <c r="U8" i="6"/>
  <c r="Q8" i="6"/>
  <c r="C8" i="6"/>
  <c r="AC7" i="6"/>
  <c r="R7" i="6"/>
  <c r="U7" i="6" s="1"/>
  <c r="Q7" i="6"/>
  <c r="N7" i="6"/>
  <c r="M7" i="6"/>
  <c r="M27" i="6" s="1"/>
  <c r="C7" i="6"/>
  <c r="AC6" i="6"/>
  <c r="R6" i="6"/>
  <c r="Q6" i="6"/>
  <c r="N6" i="6"/>
  <c r="H6" i="6"/>
  <c r="G6" i="6"/>
  <c r="C6" i="6"/>
  <c r="AC5" i="6"/>
  <c r="R5" i="6"/>
  <c r="U5" i="6" s="1"/>
  <c r="Q5" i="6"/>
  <c r="N5" i="6"/>
  <c r="C5" i="6"/>
  <c r="R4" i="6"/>
  <c r="U4" i="6" s="1"/>
  <c r="Q4" i="6"/>
  <c r="T4" i="6"/>
  <c r="C4" i="6"/>
  <c r="U3" i="6"/>
  <c r="T3" i="6"/>
  <c r="C3" i="6"/>
  <c r="AC2" i="6"/>
  <c r="R2" i="6"/>
  <c r="U2" i="6" s="1"/>
  <c r="Q2" i="6"/>
  <c r="N2" i="6"/>
  <c r="C2" i="6"/>
  <c r="V40" i="9" l="1"/>
  <c r="Q69" i="9"/>
  <c r="V33" i="9"/>
  <c r="N69" i="9"/>
  <c r="T8" i="9"/>
  <c r="V8" i="9" s="1"/>
  <c r="V7" i="9"/>
  <c r="T48" i="9"/>
  <c r="T42" i="9"/>
  <c r="T36" i="9"/>
  <c r="T19" i="7"/>
  <c r="H27" i="7"/>
  <c r="Q27" i="7"/>
  <c r="T5" i="7"/>
  <c r="R27" i="7"/>
  <c r="T14" i="7"/>
  <c r="V14" i="7" s="1"/>
  <c r="V19" i="7"/>
  <c r="G27" i="6"/>
  <c r="N27" i="6"/>
  <c r="H27" i="6"/>
  <c r="T22" i="6"/>
  <c r="Q27" i="6"/>
  <c r="T60" i="9"/>
  <c r="V60" i="9" s="1"/>
  <c r="T47" i="9"/>
  <c r="V47" i="9" s="1"/>
  <c r="V19" i="9"/>
  <c r="T37" i="9"/>
  <c r="V37" i="9" s="1"/>
  <c r="T19" i="9"/>
  <c r="T25" i="9"/>
  <c r="T26" i="9"/>
  <c r="V26" i="9" s="1"/>
  <c r="T30" i="9"/>
  <c r="V30" i="9" s="1"/>
  <c r="T49" i="9"/>
  <c r="V49" i="9" s="1"/>
  <c r="R69" i="9"/>
  <c r="T24" i="9"/>
  <c r="T29" i="9"/>
  <c r="V29" i="9" s="1"/>
  <c r="T35" i="9"/>
  <c r="V35" i="9" s="1"/>
  <c r="T58" i="9"/>
  <c r="V58" i="9" s="1"/>
  <c r="V59" i="9"/>
  <c r="T61" i="9"/>
  <c r="V61" i="9" s="1"/>
  <c r="T64" i="9"/>
  <c r="T68" i="9"/>
  <c r="V68" i="9" s="1"/>
  <c r="V23" i="9"/>
  <c r="V38" i="9"/>
  <c r="V48" i="9"/>
  <c r="T4" i="9"/>
  <c r="V4" i="9" s="1"/>
  <c r="T34" i="9"/>
  <c r="T43" i="9"/>
  <c r="T54" i="9"/>
  <c r="V54" i="9" s="1"/>
  <c r="T57" i="9"/>
  <c r="V57" i="9" s="1"/>
  <c r="T63" i="9"/>
  <c r="V63" i="9" s="1"/>
  <c r="T66" i="9"/>
  <c r="V66" i="9" s="1"/>
  <c r="V5" i="8"/>
  <c r="R7" i="8"/>
  <c r="V26" i="7"/>
  <c r="V20" i="6"/>
  <c r="R27" i="6"/>
  <c r="T25" i="6"/>
  <c r="V25" i="6" s="1"/>
  <c r="V22" i="6"/>
  <c r="T21" i="6"/>
  <c r="V21" i="6" s="1"/>
  <c r="T24" i="6"/>
  <c r="V24" i="6" s="1"/>
  <c r="V14" i="9"/>
  <c r="V17" i="9"/>
  <c r="T6" i="9"/>
  <c r="V6" i="9" s="1"/>
  <c r="T52" i="9"/>
  <c r="T67" i="9"/>
  <c r="V67" i="9" s="1"/>
  <c r="V46" i="9"/>
  <c r="T5" i="9"/>
  <c r="V5" i="9" s="1"/>
  <c r="T9" i="9"/>
  <c r="V9" i="9" s="1"/>
  <c r="T13" i="9"/>
  <c r="V13" i="9" s="1"/>
  <c r="V24" i="9"/>
  <c r="V45" i="9"/>
  <c r="V64" i="9"/>
  <c r="V28" i="9"/>
  <c r="V3" i="9"/>
  <c r="T51" i="9"/>
  <c r="V51" i="9" s="1"/>
  <c r="T53" i="9"/>
  <c r="V53" i="9" s="1"/>
  <c r="T2" i="9"/>
  <c r="V2" i="9" s="1"/>
  <c r="T11" i="9"/>
  <c r="V11" i="9" s="1"/>
  <c r="T12" i="9"/>
  <c r="V12" i="9" s="1"/>
  <c r="T15" i="9"/>
  <c r="V15" i="9" s="1"/>
  <c r="T18" i="9"/>
  <c r="V18" i="9" s="1"/>
  <c r="V34" i="9"/>
  <c r="T55" i="9"/>
  <c r="V55" i="9" s="1"/>
  <c r="V65" i="9"/>
  <c r="V3" i="8"/>
  <c r="V2" i="8"/>
  <c r="V16" i="7"/>
  <c r="V23" i="7"/>
  <c r="V10" i="7"/>
  <c r="V12" i="7"/>
  <c r="V6" i="7"/>
  <c r="V11" i="7"/>
  <c r="V20" i="7"/>
  <c r="V5" i="7"/>
  <c r="V9" i="7"/>
  <c r="V21" i="7"/>
  <c r="V8" i="7"/>
  <c r="V2" i="7"/>
  <c r="V4" i="7"/>
  <c r="V7" i="7"/>
  <c r="V18" i="7"/>
  <c r="V22" i="7"/>
  <c r="V17" i="7"/>
  <c r="V13" i="7"/>
  <c r="V24" i="7"/>
  <c r="V25" i="7"/>
  <c r="V12" i="6"/>
  <c r="T7" i="6"/>
  <c r="V7" i="6" s="1"/>
  <c r="T10" i="6"/>
  <c r="V10" i="6" s="1"/>
  <c r="T14" i="6"/>
  <c r="V14" i="6" s="1"/>
  <c r="V17" i="6"/>
  <c r="V3" i="6"/>
  <c r="T6" i="6"/>
  <c r="T11" i="6"/>
  <c r="V11" i="6" s="1"/>
  <c r="U23" i="6"/>
  <c r="T8" i="6"/>
  <c r="V8" i="6" s="1"/>
  <c r="T18" i="6"/>
  <c r="V18" i="6" s="1"/>
  <c r="V4" i="6"/>
  <c r="T2" i="6"/>
  <c r="V2" i="6" s="1"/>
  <c r="U6" i="6"/>
  <c r="T13" i="6"/>
  <c r="V13" i="6" s="1"/>
  <c r="T16" i="6"/>
  <c r="V16" i="6" s="1"/>
  <c r="T16" i="9"/>
  <c r="V16" i="9" s="1"/>
  <c r="T27" i="9"/>
  <c r="V27" i="9" s="1"/>
  <c r="V41" i="9"/>
  <c r="V42" i="9"/>
  <c r="T44" i="9"/>
  <c r="V44" i="9" s="1"/>
  <c r="V20" i="9"/>
  <c r="T32" i="9"/>
  <c r="V32" i="9" s="1"/>
  <c r="U52" i="9"/>
  <c r="V25" i="9"/>
  <c r="T10" i="9"/>
  <c r="V10" i="9" s="1"/>
  <c r="T21" i="9"/>
  <c r="V21" i="9" s="1"/>
  <c r="V31" i="9"/>
  <c r="V36" i="9"/>
  <c r="T39" i="9"/>
  <c r="V39" i="9" s="1"/>
  <c r="V43" i="9"/>
  <c r="V62" i="9"/>
  <c r="T4" i="8"/>
  <c r="V4" i="8" s="1"/>
  <c r="V15" i="7"/>
  <c r="T5" i="6"/>
  <c r="V5" i="6" s="1"/>
  <c r="U15" i="6"/>
  <c r="T26" i="6"/>
  <c r="V26" i="6" s="1"/>
  <c r="T9" i="6"/>
  <c r="V9" i="6" s="1"/>
  <c r="T23" i="6"/>
  <c r="V23" i="6" s="1"/>
  <c r="T15" i="6"/>
  <c r="V52" i="9" l="1"/>
  <c r="V6" i="6"/>
  <c r="V15" i="6"/>
  <c r="Q15" i="1" l="1"/>
  <c r="M15" i="1"/>
  <c r="Q8" i="1"/>
  <c r="N3" i="1"/>
  <c r="N5" i="1"/>
  <c r="N7" i="1"/>
  <c r="N8" i="1"/>
  <c r="N9" i="1"/>
  <c r="N11" i="1"/>
  <c r="N12" i="1"/>
  <c r="N14" i="1"/>
  <c r="N15" i="1"/>
  <c r="N16" i="1"/>
  <c r="N19" i="1"/>
  <c r="AC19" i="1"/>
  <c r="AC16" i="1"/>
  <c r="AC15" i="1"/>
  <c r="AC14" i="1"/>
  <c r="AC12" i="1"/>
  <c r="AC11" i="1"/>
  <c r="AC9" i="1"/>
  <c r="AC8" i="1"/>
  <c r="AC7" i="1"/>
  <c r="AC5" i="1"/>
  <c r="AC3" i="1"/>
  <c r="Q16" i="1"/>
  <c r="M16" i="1"/>
  <c r="Q7" i="1"/>
  <c r="M7" i="1"/>
  <c r="Q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G15" i="1"/>
  <c r="G12" i="1"/>
  <c r="G9" i="1"/>
  <c r="U10" i="1"/>
  <c r="U4" i="1"/>
  <c r="M20" i="1" l="1"/>
  <c r="N20" i="1"/>
  <c r="G20" i="1"/>
  <c r="M12" i="1"/>
  <c r="R12" i="1"/>
  <c r="Q12" i="1"/>
  <c r="R19" i="1"/>
  <c r="U19" i="1" s="1"/>
  <c r="Q19" i="1"/>
  <c r="R18" i="1"/>
  <c r="U18" i="1" s="1"/>
  <c r="Q18" i="1"/>
  <c r="R17" i="1"/>
  <c r="U17" i="1" s="1"/>
  <c r="Q17" i="1"/>
  <c r="R16" i="1"/>
  <c r="U16" i="1" s="1"/>
  <c r="R15" i="1"/>
  <c r="Q14" i="1"/>
  <c r="R14" i="1"/>
  <c r="U14" i="1" s="1"/>
  <c r="R13" i="1"/>
  <c r="U13" i="1" s="1"/>
  <c r="Q13" i="1"/>
  <c r="R11" i="1"/>
  <c r="U11" i="1" s="1"/>
  <c r="Q11" i="1"/>
  <c r="R9" i="1"/>
  <c r="Q9" i="1"/>
  <c r="R8" i="1"/>
  <c r="U8" i="1" s="1"/>
  <c r="R7" i="1"/>
  <c r="U7" i="1" s="1"/>
  <c r="R6" i="1"/>
  <c r="U6" i="1" s="1"/>
  <c r="Q6" i="1"/>
  <c r="R5" i="1"/>
  <c r="U5" i="1" s="1"/>
  <c r="Q5" i="1"/>
  <c r="R3" i="1"/>
  <c r="U3" i="1" s="1"/>
  <c r="Q3" i="1"/>
  <c r="R2" i="1"/>
  <c r="T3" i="1"/>
  <c r="T8" i="1"/>
  <c r="T16" i="1"/>
  <c r="H15" i="1"/>
  <c r="H12" i="1"/>
  <c r="T12" i="1" s="1"/>
  <c r="H9" i="1"/>
  <c r="Q20" i="1" l="1"/>
  <c r="U2" i="1"/>
  <c r="R20" i="1"/>
  <c r="H20" i="1"/>
  <c r="T14" i="1"/>
  <c r="V14" i="1" s="1"/>
  <c r="T9" i="1"/>
  <c r="T10" i="1"/>
  <c r="V10" i="1" s="1"/>
  <c r="T2" i="1"/>
  <c r="V2" i="1" s="1"/>
  <c r="T19" i="1"/>
  <c r="V19" i="1" s="1"/>
  <c r="T13" i="1"/>
  <c r="V13" i="1" s="1"/>
  <c r="T6" i="1"/>
  <c r="V6" i="1" s="1"/>
  <c r="T7" i="1"/>
  <c r="V7" i="1" s="1"/>
  <c r="T5" i="1"/>
  <c r="V5" i="1" s="1"/>
  <c r="T15" i="1"/>
  <c r="T18" i="1"/>
  <c r="V18" i="1" s="1"/>
  <c r="T17" i="1"/>
  <c r="V17" i="1" s="1"/>
  <c r="T11" i="1"/>
  <c r="V11" i="1" s="1"/>
  <c r="T4" i="1"/>
  <c r="V4" i="1" s="1"/>
  <c r="V16" i="1"/>
  <c r="V8" i="1"/>
  <c r="U9" i="1"/>
  <c r="U12" i="1"/>
  <c r="U15" i="1"/>
  <c r="V3" i="1"/>
  <c r="V15" i="1" l="1"/>
  <c r="V9" i="1"/>
  <c r="V12" i="1"/>
</calcChain>
</file>

<file path=xl/sharedStrings.xml><?xml version="1.0" encoding="utf-8"?>
<sst xmlns="http://schemas.openxmlformats.org/spreadsheetml/2006/main" count="685" uniqueCount="216">
  <si>
    <t>ОЕЕ</t>
  </si>
  <si>
    <t>номер партии</t>
  </si>
  <si>
    <t>СР044</t>
  </si>
  <si>
    <t>СР045</t>
  </si>
  <si>
    <t>СР096</t>
  </si>
  <si>
    <t>СР162</t>
  </si>
  <si>
    <t>СР220</t>
  </si>
  <si>
    <t>СР268</t>
  </si>
  <si>
    <t>СР303</t>
  </si>
  <si>
    <t>СР304</t>
  </si>
  <si>
    <t>СР306</t>
  </si>
  <si>
    <t>СР307</t>
  </si>
  <si>
    <t>СР308</t>
  </si>
  <si>
    <t>СР309</t>
  </si>
  <si>
    <t>СР310</t>
  </si>
  <si>
    <t>СР314</t>
  </si>
  <si>
    <t>СР351</t>
  </si>
  <si>
    <t>СР408</t>
  </si>
  <si>
    <t>СР422</t>
  </si>
  <si>
    <t>СР440</t>
  </si>
  <si>
    <t>СР452</t>
  </si>
  <si>
    <t>СР453</t>
  </si>
  <si>
    <t>СР467</t>
  </si>
  <si>
    <t>СР471</t>
  </si>
  <si>
    <t>СР477</t>
  </si>
  <si>
    <t>СР503</t>
  </si>
  <si>
    <t>СР504</t>
  </si>
  <si>
    <t>СР508</t>
  </si>
  <si>
    <t>СР509</t>
  </si>
  <si>
    <t>СР521</t>
  </si>
  <si>
    <t>СР534/2</t>
  </si>
  <si>
    <t>СР185</t>
  </si>
  <si>
    <t>СР223</t>
  </si>
  <si>
    <t>СР241</t>
  </si>
  <si>
    <t>СР391</t>
  </si>
  <si>
    <t>СР399</t>
  </si>
  <si>
    <t>СР402</t>
  </si>
  <si>
    <t>СР428</t>
  </si>
  <si>
    <t>СР429</t>
  </si>
  <si>
    <t>СР430</t>
  </si>
  <si>
    <t>СР431</t>
  </si>
  <si>
    <t>СР443</t>
  </si>
  <si>
    <t>СР474</t>
  </si>
  <si>
    <t>СР479</t>
  </si>
  <si>
    <t>СР492</t>
  </si>
  <si>
    <t>СР505</t>
  </si>
  <si>
    <t>СР507</t>
  </si>
  <si>
    <t>СР524</t>
  </si>
  <si>
    <t>СР239</t>
  </si>
  <si>
    <t>СР318</t>
  </si>
  <si>
    <t>СР405</t>
  </si>
  <si>
    <t>СР437</t>
  </si>
  <si>
    <t>СР442</t>
  </si>
  <si>
    <t>СР444</t>
  </si>
  <si>
    <t>СР450</t>
  </si>
  <si>
    <t>СР451</t>
  </si>
  <si>
    <t>СР454</t>
  </si>
  <si>
    <t>СР455</t>
  </si>
  <si>
    <t>СР473</t>
  </si>
  <si>
    <t>СР475</t>
  </si>
  <si>
    <t>СР476</t>
  </si>
  <si>
    <t>СР488</t>
  </si>
  <si>
    <t>СР491</t>
  </si>
  <si>
    <t>СР512</t>
  </si>
  <si>
    <t>СР534/1</t>
  </si>
  <si>
    <t>СР530</t>
  </si>
  <si>
    <t>СР531</t>
  </si>
  <si>
    <t>СР533</t>
  </si>
  <si>
    <t>СР406</t>
  </si>
  <si>
    <t>СР527</t>
  </si>
  <si>
    <t>СР528</t>
  </si>
  <si>
    <t>з52г</t>
  </si>
  <si>
    <t>з45г</t>
  </si>
  <si>
    <t>з52м</t>
  </si>
  <si>
    <t>з45м</t>
  </si>
  <si>
    <t>з35м/дм</t>
  </si>
  <si>
    <t>з65г</t>
  </si>
  <si>
    <t>з65г/м</t>
  </si>
  <si>
    <t>с35м/дм</t>
  </si>
  <si>
    <t>Код простоя, TDE.</t>
  </si>
  <si>
    <t>с52г/2</t>
  </si>
  <si>
    <t>с52г/1</t>
  </si>
  <si>
    <t>CP219</t>
  </si>
  <si>
    <t>CP324</t>
  </si>
  <si>
    <t>с52м/3</t>
  </si>
  <si>
    <t>CP436</t>
  </si>
  <si>
    <t>сломался ТПА</t>
  </si>
  <si>
    <t>CP434</t>
  </si>
  <si>
    <t>CP435</t>
  </si>
  <si>
    <t>CP197</t>
  </si>
  <si>
    <t>Описание причины остановки столбик "R; T"</t>
  </si>
  <si>
    <t>001</t>
  </si>
  <si>
    <t>016</t>
  </si>
  <si>
    <t>005</t>
  </si>
  <si>
    <t>017</t>
  </si>
  <si>
    <t>запуск в начале смены</t>
  </si>
  <si>
    <t>замена ПФ</t>
  </si>
  <si>
    <t>Замена ПФ</t>
  </si>
  <si>
    <t>Запуск после ТО,Сбой в работе ТПА</t>
  </si>
  <si>
    <t>Снятие ПФ</t>
  </si>
  <si>
    <t>006</t>
  </si>
  <si>
    <t>Обслуживание ПФ</t>
  </si>
  <si>
    <t>008</t>
  </si>
  <si>
    <t>Долгий выход на цвет</t>
  </si>
  <si>
    <t>ремонт ПФ</t>
  </si>
  <si>
    <t>015</t>
  </si>
  <si>
    <t>023</t>
  </si>
  <si>
    <t>тесты красителя,простой, замерший гор.канал</t>
  </si>
  <si>
    <t>тесты красителя, замена ПФ,замерший гор.канал</t>
  </si>
  <si>
    <t>настройка дозатора</t>
  </si>
  <si>
    <t>замерзший гор.канал</t>
  </si>
  <si>
    <t>замена ПФ,рем. ПФ, настр.дозатора,разогрев гор.каналов</t>
  </si>
  <si>
    <t xml:space="preserve">Прочие остановки, мин. </t>
  </si>
  <si>
    <t>ОЕЕ1</t>
  </si>
  <si>
    <t>ОЕЕ2</t>
  </si>
  <si>
    <t>Время на ежесменное техническое обслуживание пресс-формы, мин.</t>
  </si>
  <si>
    <t>з65м</t>
  </si>
  <si>
    <t>Glossy Spray Cap, Vertical Spray, 52mm, Shape #2</t>
  </si>
  <si>
    <t>Glossy Spray Cap, Vertical Spray, 52mm, Shape #1</t>
  </si>
  <si>
    <t>Matte Protective Cap - Component of 35mm Hair Styling Mousse Dispenser</t>
  </si>
  <si>
    <t>Dispenser - Component of 35mm Hair Styling Mousse Dispenser</t>
  </si>
  <si>
    <t>Matte Protective Cap, 45mm</t>
  </si>
  <si>
    <t>Glossy Protective Cap, 45mm</t>
  </si>
  <si>
    <t>Matte Protective Cap, 52mm</t>
  </si>
  <si>
    <t>Glossy Protective Cap, 52mm</t>
  </si>
  <si>
    <t>Matte Protective Cap, 65mm</t>
  </si>
  <si>
    <t>Glossy Protective Cap, 65mm</t>
  </si>
  <si>
    <t>Protective Cap for Freshmatic 65mm</t>
  </si>
  <si>
    <t>Glossy Protective Cap - Component of 52mm Shaving Foam Dispenser</t>
  </si>
  <si>
    <t>Dispenser - Component of 52mm Shaving Foam Dispenser</t>
  </si>
  <si>
    <t>Matte Spray Cap horizontal spray 52mm</t>
  </si>
  <si>
    <t>з52м/дп</t>
  </si>
  <si>
    <t>с52м/дп</t>
  </si>
  <si>
    <t>Injection molding machine number</t>
  </si>
  <si>
    <t>Color of the cap</t>
  </si>
  <si>
    <t>Cap code</t>
  </si>
  <si>
    <t>Type of cap</t>
  </si>
  <si>
    <t>Time for transition (including replacement of the mold), min.</t>
  </si>
  <si>
    <t>Time for daily maintenance of the mold, min</t>
  </si>
  <si>
    <t>Other stops not dependent on operating personnel, min</t>
  </si>
  <si>
    <t>Total batch production time, min</t>
  </si>
  <si>
    <t>Defective raw materials, kg</t>
  </si>
  <si>
    <t>orange</t>
  </si>
  <si>
    <t>pink</t>
  </si>
  <si>
    <t>coral</t>
  </si>
  <si>
    <t>light blue</t>
  </si>
  <si>
    <t>blue</t>
  </si>
  <si>
    <t>black</t>
  </si>
  <si>
    <t>navy Waves</t>
  </si>
  <si>
    <t>Turquoise</t>
  </si>
  <si>
    <t>Orange</t>
  </si>
  <si>
    <t>Pink</t>
  </si>
  <si>
    <t>Crimson</t>
  </si>
  <si>
    <t>Red</t>
  </si>
  <si>
    <t>Black</t>
  </si>
  <si>
    <t>Silver</t>
  </si>
  <si>
    <t>Violet</t>
  </si>
  <si>
    <t>Blue</t>
  </si>
  <si>
    <t>Misty Blue</t>
  </si>
  <si>
    <t>Ultramarine</t>
  </si>
  <si>
    <t>Pale Blue</t>
  </si>
  <si>
    <t>Light Blue</t>
  </si>
  <si>
    <t>Pink-Crimson</t>
  </si>
  <si>
    <t>Green</t>
  </si>
  <si>
    <t>Lilac</t>
  </si>
  <si>
    <t>Lime</t>
  </si>
  <si>
    <t>Cherry</t>
  </si>
  <si>
    <t>Blueberry</t>
  </si>
  <si>
    <t>Beige</t>
  </si>
  <si>
    <t>Royal Blue</t>
  </si>
  <si>
    <t>Light Green</t>
  </si>
  <si>
    <t>Olive</t>
  </si>
  <si>
    <t>dark blue</t>
  </si>
  <si>
    <t>pink-raspberry</t>
  </si>
  <si>
    <t>raspberry</t>
  </si>
  <si>
    <t>turquoise</t>
  </si>
  <si>
    <t>bright blue</t>
  </si>
  <si>
    <t>purple</t>
  </si>
  <si>
    <t>red</t>
  </si>
  <si>
    <t>green</t>
  </si>
  <si>
    <t>bronze</t>
  </si>
  <si>
    <t>olive</t>
  </si>
  <si>
    <t>light green</t>
  </si>
  <si>
    <t>yellow</t>
  </si>
  <si>
    <t>pale blue</t>
  </si>
  <si>
    <t>dark purple</t>
  </si>
  <si>
    <t>beige</t>
  </si>
  <si>
    <t>red-pink</t>
  </si>
  <si>
    <t>gold</t>
  </si>
  <si>
    <t>pink-crimson</t>
  </si>
  <si>
    <t>crimson</t>
  </si>
  <si>
    <t>A production efficiency indicator based on availability and productivity</t>
  </si>
  <si>
    <t>Quality-based performance indicator</t>
  </si>
  <si>
    <t>An overall performance indicator based on the combination of availability, productivity, quality</t>
  </si>
  <si>
    <t>Planned production, pcs</t>
  </si>
  <si>
    <t>Actual production, pcs</t>
  </si>
  <si>
    <t>That's how much is planned to be produced</t>
  </si>
  <si>
    <t>That's how much they actually produced</t>
  </si>
  <si>
    <t>This is the time of one working cycle of the mold, typical for each individual type of cap</t>
  </si>
  <si>
    <t>This is the weight of one cap</t>
  </si>
  <si>
    <t>This is the conversion of cycle time into cap production speed, measured in pieces per minute</t>
  </si>
  <si>
    <t>This is the changeover time from one batch to another (including start-up at the beginning of the production cycle and replacement of the mold)</t>
  </si>
  <si>
    <t>The mold must be serviced once per shift. This is the service time.</t>
  </si>
  <si>
    <t>This is the time for stops that are not dependent on the line personnel (fire alarm, training, pre-planned repairs, etc.)</t>
  </si>
  <si>
    <t>This is the time from the start of the transition to a product until the last can of this product leaves the line.</t>
  </si>
  <si>
    <t>This is the number of defective caps and material generated during the transition from one cap to another and due to equipment failures</t>
  </si>
  <si>
    <t>Description of the reason for stopping column "N", "L"</t>
  </si>
  <si>
    <t>Target cycle time, seconds</t>
  </si>
  <si>
    <t>Target weight of cap, grams.</t>
  </si>
  <si>
    <t>Target productivity per minute, pcs.</t>
  </si>
  <si>
    <t>Number of cavities in the mold</t>
  </si>
  <si>
    <t>replacement of the mold</t>
  </si>
  <si>
    <t>troubleshooting an injection molding machine</t>
  </si>
  <si>
    <t>major mold maintenance</t>
  </si>
  <si>
    <t>The cap production workshop's operating hours are 24 hours a day, 7 days a week.</t>
  </si>
  <si>
    <t>Percentage of defective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</si>
</sst>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6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5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3" fontId="9" fillId="10" borderId="1" xfId="0" applyNumberFormat="1" applyFont="1" applyFill="1" applyBorder="1" applyAlignment="1">
      <alignment horizontal="center" wrapText="1"/>
    </xf>
    <xf numFmtId="3" fontId="9" fillId="10" borderId="1" xfId="0" applyNumberFormat="1" applyFont="1" applyFill="1" applyBorder="1" applyAlignment="1">
      <alignment horizontal="center" vertical="center" wrapText="1"/>
    </xf>
    <xf numFmtId="3" fontId="11" fillId="10" borderId="1" xfId="0" applyNumberFormat="1" applyFont="1" applyFill="1" applyBorder="1" applyAlignment="1">
      <alignment horizont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3" fontId="10" fillId="3" borderId="1" xfId="0" applyNumberFormat="1" applyFont="1" applyFill="1" applyBorder="1"/>
    <xf numFmtId="3" fontId="12" fillId="3" borderId="1" xfId="0" applyNumberFormat="1" applyFont="1" applyFill="1" applyBorder="1"/>
    <xf numFmtId="0" fontId="3" fillId="10" borderId="1" xfId="0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/>
    </xf>
    <xf numFmtId="0" fontId="15" fillId="0" borderId="0" xfId="0" applyFont="1"/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/>
    </xf>
  </cellXfs>
  <cellStyles count="2">
    <cellStyle name="Hyperlink" xfId="1" xr:uid="{B26F902D-AA9D-4AEE-B99E-72E20F3D3F9F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91B8-EEF6-4D5C-BA37-743E594A641C}">
  <sheetPr>
    <pageSetUpPr fitToPage="1"/>
  </sheetPr>
  <dimension ref="A1:AC20"/>
  <sheetViews>
    <sheetView zoomScale="59" zoomScaleNormal="59" workbookViewId="0">
      <pane ySplit="1" topLeftCell="A2" activePane="bottomLeft" state="frozen"/>
      <selection pane="bottomLeft" activeCell="S1" sqref="S1:S2"/>
    </sheetView>
  </sheetViews>
  <sheetFormatPr defaultRowHeight="15" x14ac:dyDescent="0.25"/>
  <cols>
    <col min="1" max="1" width="11.140625" customWidth="1"/>
    <col min="2" max="2" width="23" customWidth="1"/>
    <col min="3" max="3" width="75.5703125" customWidth="1"/>
    <col min="4" max="4" width="21.5703125" customWidth="1"/>
    <col min="5" max="5" width="11.28515625" customWidth="1"/>
    <col min="6" max="6" width="0" hidden="1" customWidth="1"/>
    <col min="7" max="8" width="13.85546875" customWidth="1"/>
    <col min="9" max="9" width="11.5703125" customWidth="1"/>
    <col min="10" max="11" width="11.140625" customWidth="1"/>
    <col min="12" max="12" width="14.42578125" customWidth="1"/>
    <col min="13" max="13" width="15.42578125" customWidth="1"/>
    <col min="14" max="15" width="17.7109375" customWidth="1"/>
    <col min="16" max="16" width="53.42578125" customWidth="1"/>
    <col min="17" max="17" width="14.5703125" customWidth="1"/>
    <col min="18" max="18" width="10.28515625" customWidth="1"/>
    <col min="19" max="19" width="15.140625" customWidth="1"/>
    <col min="20" max="21" width="10.28515625" customWidth="1"/>
    <col min="22" max="22" width="12.7109375" customWidth="1"/>
    <col min="23" max="23" width="2.28515625" hidden="1" customWidth="1"/>
    <col min="24" max="24" width="11" hidden="1" customWidth="1"/>
    <col min="25" max="25" width="14.28515625" hidden="1" customWidth="1"/>
    <col min="26" max="26" width="0" hidden="1" customWidth="1"/>
    <col min="27" max="27" width="14.85546875" hidden="1" customWidth="1"/>
    <col min="28" max="28" width="46" hidden="1" customWidth="1"/>
    <col min="29" max="29" width="17.7109375" hidden="1" customWidth="1"/>
    <col min="30" max="30" width="0" hidden="1" customWidth="1"/>
  </cols>
  <sheetData>
    <row r="1" spans="1:29" ht="96" customHeight="1" x14ac:dyDescent="0.25">
      <c r="A1" s="8" t="s">
        <v>133</v>
      </c>
      <c r="B1" s="31" t="s">
        <v>136</v>
      </c>
      <c r="C1" s="31" t="s">
        <v>136</v>
      </c>
      <c r="D1" s="31" t="s">
        <v>134</v>
      </c>
      <c r="E1" s="32" t="s">
        <v>135</v>
      </c>
      <c r="F1" s="8" t="s">
        <v>1</v>
      </c>
      <c r="G1" s="8" t="s">
        <v>194</v>
      </c>
      <c r="H1" s="8" t="s">
        <v>195</v>
      </c>
      <c r="I1" s="8" t="s">
        <v>207</v>
      </c>
      <c r="J1" s="8" t="s">
        <v>208</v>
      </c>
      <c r="K1" s="8" t="s">
        <v>210</v>
      </c>
      <c r="L1" s="8" t="s">
        <v>209</v>
      </c>
      <c r="M1" s="8" t="s">
        <v>137</v>
      </c>
      <c r="N1" s="8" t="s">
        <v>138</v>
      </c>
      <c r="O1" s="8" t="s">
        <v>139</v>
      </c>
      <c r="P1" s="8" t="s">
        <v>206</v>
      </c>
      <c r="Q1" s="8" t="s">
        <v>140</v>
      </c>
      <c r="R1" s="8" t="s">
        <v>141</v>
      </c>
      <c r="S1" s="8" t="s">
        <v>215</v>
      </c>
      <c r="T1" s="8" t="s">
        <v>113</v>
      </c>
      <c r="U1" s="8" t="s">
        <v>114</v>
      </c>
      <c r="V1" s="8" t="s">
        <v>0</v>
      </c>
      <c r="W1" s="7"/>
      <c r="X1" s="8" t="s">
        <v>79</v>
      </c>
      <c r="Y1" s="8" t="s">
        <v>112</v>
      </c>
      <c r="Z1" s="8" t="s">
        <v>79</v>
      </c>
      <c r="AA1" s="8" t="s">
        <v>112</v>
      </c>
      <c r="AB1" s="8" t="s">
        <v>90</v>
      </c>
      <c r="AC1" s="8" t="s">
        <v>115</v>
      </c>
    </row>
    <row r="2" spans="1:29" ht="15.75" x14ac:dyDescent="0.25">
      <c r="A2" s="57">
        <v>1</v>
      </c>
      <c r="B2" s="2" t="s">
        <v>80</v>
      </c>
      <c r="C2" s="2" t="str">
        <f>VLOOKUP(B2,Setup!A:B,2,)</f>
        <v>Glossy Spray Cap, Vertical Spray, 52mm, Shape #2</v>
      </c>
      <c r="D2" s="2" t="s">
        <v>142</v>
      </c>
      <c r="E2" s="2" t="s">
        <v>14</v>
      </c>
      <c r="F2" s="9"/>
      <c r="G2" s="33">
        <v>30150</v>
      </c>
      <c r="H2" s="35">
        <v>30150</v>
      </c>
      <c r="I2" s="40">
        <v>11.3</v>
      </c>
      <c r="J2" s="40">
        <v>6.7</v>
      </c>
      <c r="K2" s="18">
        <v>8</v>
      </c>
      <c r="L2" s="41">
        <f>(60/I2)*K2</f>
        <v>42.477876106194685</v>
      </c>
      <c r="M2" s="18">
        <v>30</v>
      </c>
      <c r="N2" s="18">
        <v>15</v>
      </c>
      <c r="O2" s="18">
        <v>375</v>
      </c>
      <c r="P2" s="45" t="s">
        <v>212</v>
      </c>
      <c r="Q2" s="10">
        <f>765+30+375</f>
        <v>1170</v>
      </c>
      <c r="R2" s="19">
        <f>6.2+5.1</f>
        <v>11.3</v>
      </c>
      <c r="S2" s="59">
        <f>R2/(G2*J2/1000)</f>
        <v>5.5939209425509277E-2</v>
      </c>
      <c r="T2" s="11">
        <f>(H2/(L2*(Q2-N2-M2-O2)))*((Q2-N2-M2-O2)/(Q2-N2-O2))</f>
        <v>0.90997596153846161</v>
      </c>
      <c r="U2" s="11">
        <f t="shared" ref="U2:U19" si="0">(H2*J2/(H2*J2+R2*1000))</f>
        <v>0.94702421415344229</v>
      </c>
      <c r="V2" s="11">
        <f>T2*U2</f>
        <v>0.86176926987448466</v>
      </c>
      <c r="W2" s="7"/>
      <c r="X2" s="12" t="s">
        <v>91</v>
      </c>
      <c r="Y2" s="13">
        <v>30</v>
      </c>
      <c r="Z2" s="12" t="s">
        <v>92</v>
      </c>
      <c r="AA2" s="13">
        <v>375</v>
      </c>
      <c r="AB2" s="28" t="s">
        <v>98</v>
      </c>
      <c r="AC2" s="18">
        <v>15</v>
      </c>
    </row>
    <row r="3" spans="1:29" ht="15.75" x14ac:dyDescent="0.25">
      <c r="A3" s="57"/>
      <c r="B3" s="2" t="s">
        <v>80</v>
      </c>
      <c r="C3" s="2" t="str">
        <f>VLOOKUP(B3,Setup!A:B,2,)</f>
        <v>Glossy Spray Cap, Vertical Spray, 52mm, Shape #2</v>
      </c>
      <c r="D3" s="2" t="s">
        <v>143</v>
      </c>
      <c r="E3" s="2" t="s">
        <v>8</v>
      </c>
      <c r="F3" s="9"/>
      <c r="G3" s="33">
        <v>100350</v>
      </c>
      <c r="H3" s="35">
        <v>100350</v>
      </c>
      <c r="I3" s="40">
        <v>11.3</v>
      </c>
      <c r="J3" s="40">
        <v>6.7</v>
      </c>
      <c r="K3" s="18">
        <v>8</v>
      </c>
      <c r="L3" s="41">
        <f t="shared" ref="L3:L19" si="1">(60/I3)*K3</f>
        <v>42.477876106194685</v>
      </c>
      <c r="M3" s="18">
        <v>10</v>
      </c>
      <c r="N3" s="18">
        <f>15+15+15</f>
        <v>45</v>
      </c>
      <c r="O3" s="18"/>
      <c r="P3" s="46"/>
      <c r="Q3" s="10">
        <f>70+720+720+720+200</f>
        <v>2430</v>
      </c>
      <c r="R3" s="19">
        <f>2.3+1.1+5.1+2.5+8.8</f>
        <v>19.8</v>
      </c>
      <c r="S3" s="59">
        <f t="shared" ref="S3:S19" si="2">R3/(G3*J3/1000)</f>
        <v>2.9449166722441602E-2</v>
      </c>
      <c r="T3" s="11">
        <f t="shared" ref="T3:T19" si="3">(H3/(L3*(Q3-N3-M3-O3)))*((Q3-N3-M3-O3)/(Q3-N3-O3))</f>
        <v>0.99052672955974852</v>
      </c>
      <c r="U3" s="11">
        <f t="shared" si="0"/>
        <v>0.97139327742019377</v>
      </c>
      <c r="V3" s="11">
        <f t="shared" ref="V3:V19" si="4">T3*U3</f>
        <v>0.96219100619935005</v>
      </c>
      <c r="W3" s="7"/>
      <c r="X3" s="14"/>
      <c r="Y3" s="14"/>
      <c r="Z3" s="12"/>
      <c r="AA3" s="14"/>
      <c r="AB3" s="29"/>
      <c r="AC3" s="18">
        <f>15+15+20</f>
        <v>50</v>
      </c>
    </row>
    <row r="4" spans="1:29" ht="15.75" x14ac:dyDescent="0.25">
      <c r="A4" s="57"/>
      <c r="B4" s="2" t="s">
        <v>80</v>
      </c>
      <c r="C4" s="2" t="str">
        <f>VLOOKUP(B4,Setup!A:B,2,)</f>
        <v>Glossy Spray Cap, Vertical Spray, 52mm, Shape #2</v>
      </c>
      <c r="D4" s="2" t="s">
        <v>144</v>
      </c>
      <c r="E4" s="2" t="s">
        <v>12</v>
      </c>
      <c r="F4" s="9"/>
      <c r="G4" s="33">
        <v>17100</v>
      </c>
      <c r="H4" s="35">
        <v>17100</v>
      </c>
      <c r="I4" s="40">
        <v>11.3</v>
      </c>
      <c r="J4" s="40">
        <v>6.7</v>
      </c>
      <c r="K4" s="18">
        <v>8</v>
      </c>
      <c r="L4" s="41">
        <f t="shared" si="1"/>
        <v>42.477876106194685</v>
      </c>
      <c r="M4" s="18">
        <v>30</v>
      </c>
      <c r="N4" s="18"/>
      <c r="O4" s="18"/>
      <c r="P4" s="46"/>
      <c r="Q4" s="15">
        <v>445</v>
      </c>
      <c r="R4" s="19">
        <v>5.0999999999999996</v>
      </c>
      <c r="S4" s="59">
        <f t="shared" si="2"/>
        <v>4.451427075150563E-2</v>
      </c>
      <c r="T4" s="11">
        <f t="shared" si="3"/>
        <v>0.90463483146067414</v>
      </c>
      <c r="U4" s="11">
        <f t="shared" si="0"/>
        <v>0.95738280270744547</v>
      </c>
      <c r="V4" s="11">
        <f t="shared" si="4"/>
        <v>0.86608183037059772</v>
      </c>
      <c r="W4" s="7"/>
      <c r="X4" s="14"/>
      <c r="Y4" s="14"/>
      <c r="Z4" s="12"/>
      <c r="AA4" s="14"/>
      <c r="AB4" s="29"/>
      <c r="AC4" s="18"/>
    </row>
    <row r="5" spans="1:29" ht="15.75" x14ac:dyDescent="0.25">
      <c r="A5" s="57"/>
      <c r="B5" s="2" t="s">
        <v>80</v>
      </c>
      <c r="C5" s="2" t="str">
        <f>VLOOKUP(B5,Setup!A:B,2,)</f>
        <v>Glossy Spray Cap, Vertical Spray, 52mm, Shape #2</v>
      </c>
      <c r="D5" s="2" t="s">
        <v>145</v>
      </c>
      <c r="E5" s="2" t="s">
        <v>10</v>
      </c>
      <c r="F5" s="16"/>
      <c r="G5" s="33">
        <v>50400</v>
      </c>
      <c r="H5" s="35">
        <v>50400</v>
      </c>
      <c r="I5" s="40">
        <v>11.3</v>
      </c>
      <c r="J5" s="40">
        <v>6.7</v>
      </c>
      <c r="K5" s="18">
        <v>8</v>
      </c>
      <c r="L5" s="41">
        <f t="shared" si="1"/>
        <v>42.477876106194685</v>
      </c>
      <c r="M5" s="18">
        <v>20</v>
      </c>
      <c r="N5" s="18">
        <f>15+15</f>
        <v>30</v>
      </c>
      <c r="O5" s="18"/>
      <c r="P5" s="46"/>
      <c r="Q5" s="15">
        <f>75+720+515</f>
        <v>1310</v>
      </c>
      <c r="R5" s="19">
        <f>1.6+1+4.3</f>
        <v>6.9</v>
      </c>
      <c r="S5" s="59">
        <f t="shared" si="2"/>
        <v>2.0433546552949537E-2</v>
      </c>
      <c r="T5" s="11">
        <f t="shared" si="3"/>
        <v>0.92695312500000004</v>
      </c>
      <c r="U5" s="11">
        <f t="shared" si="0"/>
        <v>0.9799756224969528</v>
      </c>
      <c r="V5" s="11">
        <f t="shared" si="4"/>
        <v>0.90839146569737073</v>
      </c>
      <c r="W5" s="7"/>
      <c r="X5" s="14"/>
      <c r="Y5" s="14"/>
      <c r="Z5" s="12"/>
      <c r="AA5" s="14"/>
      <c r="AB5" s="29"/>
      <c r="AC5" s="18">
        <f>25+15</f>
        <v>40</v>
      </c>
    </row>
    <row r="6" spans="1:29" ht="15.75" x14ac:dyDescent="0.25">
      <c r="A6" s="57"/>
      <c r="B6" s="2" t="s">
        <v>80</v>
      </c>
      <c r="C6" s="2" t="str">
        <f>VLOOKUP(B6,Setup!A:B,2,)</f>
        <v>Glossy Spray Cap, Vertical Spray, 52mm, Shape #2</v>
      </c>
      <c r="D6" s="2" t="s">
        <v>146</v>
      </c>
      <c r="E6" s="2" t="s">
        <v>15</v>
      </c>
      <c r="F6" s="9"/>
      <c r="G6" s="33">
        <v>10350</v>
      </c>
      <c r="H6" s="35">
        <v>10350</v>
      </c>
      <c r="I6" s="40">
        <v>11.3</v>
      </c>
      <c r="J6" s="40">
        <v>6.7</v>
      </c>
      <c r="K6" s="18">
        <v>8</v>
      </c>
      <c r="L6" s="41">
        <f t="shared" si="1"/>
        <v>42.477876106194685</v>
      </c>
      <c r="M6" s="17">
        <v>20</v>
      </c>
      <c r="N6" s="17"/>
      <c r="O6" s="17"/>
      <c r="P6" s="47"/>
      <c r="Q6" s="10">
        <f>205+80</f>
        <v>285</v>
      </c>
      <c r="R6" s="19">
        <f>6.4+1.4</f>
        <v>7.8000000000000007</v>
      </c>
      <c r="S6" s="59">
        <f t="shared" si="2"/>
        <v>0.11248107289638765</v>
      </c>
      <c r="T6" s="11">
        <f t="shared" si="3"/>
        <v>0.85493421052631591</v>
      </c>
      <c r="U6" s="11">
        <f t="shared" si="0"/>
        <v>0.89889169745284858</v>
      </c>
      <c r="V6" s="11">
        <f t="shared" si="4"/>
        <v>0.76849326371051108</v>
      </c>
      <c r="W6" s="7"/>
      <c r="X6" s="12"/>
      <c r="Y6" s="13"/>
      <c r="Z6" s="12"/>
      <c r="AA6" s="14"/>
      <c r="AB6" s="29"/>
      <c r="AC6" s="18"/>
    </row>
    <row r="7" spans="1:29" ht="15.75" customHeight="1" x14ac:dyDescent="0.25">
      <c r="A7" s="57"/>
      <c r="B7" s="53" t="s">
        <v>75</v>
      </c>
      <c r="C7" s="2" t="str">
        <f>VLOOKUP(B7,Setup!A:B,2,)</f>
        <v>Matte Protective Cap - Component of 35mm Hair Styling Mousse Dispenser</v>
      </c>
      <c r="D7" s="2" t="s">
        <v>147</v>
      </c>
      <c r="E7" s="2" t="s">
        <v>30</v>
      </c>
      <c r="F7" s="16"/>
      <c r="G7" s="33">
        <v>100500</v>
      </c>
      <c r="H7" s="35">
        <v>100500</v>
      </c>
      <c r="I7" s="40">
        <v>9.65</v>
      </c>
      <c r="J7" s="40">
        <v>3</v>
      </c>
      <c r="K7" s="18">
        <v>12</v>
      </c>
      <c r="L7" s="41">
        <f t="shared" si="1"/>
        <v>74.611398963730565</v>
      </c>
      <c r="M7" s="17">
        <f>20+130</f>
        <v>150</v>
      </c>
      <c r="N7" s="17">
        <f>15+15</f>
        <v>30</v>
      </c>
      <c r="O7" s="17"/>
      <c r="P7" s="48" t="s">
        <v>211</v>
      </c>
      <c r="Q7" s="10">
        <f>370+720+480+130</f>
        <v>1700</v>
      </c>
      <c r="R7" s="19">
        <f>0.4+0.5+0.8</f>
        <v>1.7000000000000002</v>
      </c>
      <c r="S7" s="59">
        <f t="shared" si="2"/>
        <v>5.638474295190714E-3</v>
      </c>
      <c r="T7" s="11">
        <f t="shared" si="3"/>
        <v>0.80657435129740518</v>
      </c>
      <c r="U7" s="11">
        <f t="shared" si="0"/>
        <v>0.99439313984168864</v>
      </c>
      <c r="V7" s="11">
        <f t="shared" si="4"/>
        <v>0.80205200170239999</v>
      </c>
      <c r="W7" s="7"/>
      <c r="X7" s="12" t="s">
        <v>93</v>
      </c>
      <c r="Y7" s="13">
        <v>130</v>
      </c>
      <c r="Z7" s="12"/>
      <c r="AA7" s="14"/>
      <c r="AB7" s="29" t="s">
        <v>97</v>
      </c>
      <c r="AC7" s="18">
        <f>15+10</f>
        <v>25</v>
      </c>
    </row>
    <row r="8" spans="1:29" ht="15.75" x14ac:dyDescent="0.25">
      <c r="A8" s="57"/>
      <c r="B8" s="2" t="s">
        <v>80</v>
      </c>
      <c r="C8" s="2" t="str">
        <f>VLOOKUP(B8,Setup!A:B,2,)</f>
        <v>Glossy Spray Cap, Vertical Spray, 52mm, Shape #2</v>
      </c>
      <c r="D8" s="2" t="s">
        <v>148</v>
      </c>
      <c r="E8" s="2" t="s">
        <v>13</v>
      </c>
      <c r="F8" s="16"/>
      <c r="G8" s="34">
        <v>21150</v>
      </c>
      <c r="H8" s="36">
        <v>21150</v>
      </c>
      <c r="I8" s="40">
        <v>11.3</v>
      </c>
      <c r="J8" s="40">
        <v>6.7</v>
      </c>
      <c r="K8" s="18">
        <v>8</v>
      </c>
      <c r="L8" s="41">
        <f t="shared" si="1"/>
        <v>42.477876106194685</v>
      </c>
      <c r="M8" s="17">
        <v>160</v>
      </c>
      <c r="N8" s="17">
        <f>15+15</f>
        <v>30</v>
      </c>
      <c r="O8" s="17"/>
      <c r="P8" s="48" t="s">
        <v>211</v>
      </c>
      <c r="Q8" s="10">
        <f>240+160+295</f>
        <v>695</v>
      </c>
      <c r="R8" s="19">
        <f>8.3+3.3</f>
        <v>11.600000000000001</v>
      </c>
      <c r="S8" s="59">
        <f t="shared" si="2"/>
        <v>8.1860202533432139E-2</v>
      </c>
      <c r="T8" s="11">
        <f t="shared" si="3"/>
        <v>0.74873120300751883</v>
      </c>
      <c r="U8" s="11">
        <f t="shared" si="0"/>
        <v>0.9243338442973158</v>
      </c>
      <c r="V8" s="11">
        <f t="shared" si="4"/>
        <v>0.69207759122129386</v>
      </c>
      <c r="W8" s="7"/>
      <c r="X8" s="12" t="s">
        <v>93</v>
      </c>
      <c r="Y8" s="14">
        <v>160</v>
      </c>
      <c r="Z8" s="12"/>
      <c r="AA8" s="14"/>
      <c r="AB8" s="29" t="s">
        <v>96</v>
      </c>
      <c r="AC8" s="18">
        <f>20+15</f>
        <v>35</v>
      </c>
    </row>
    <row r="9" spans="1:29" ht="15.75" x14ac:dyDescent="0.25">
      <c r="A9" s="57"/>
      <c r="B9" s="2" t="s">
        <v>80</v>
      </c>
      <c r="C9" s="2" t="str">
        <f>VLOOKUP(B9,Setup!A:B,2,)</f>
        <v>Glossy Spray Cap, Vertical Spray, 52mm, Shape #2</v>
      </c>
      <c r="D9" s="2" t="s">
        <v>149</v>
      </c>
      <c r="E9" s="2" t="s">
        <v>11</v>
      </c>
      <c r="F9" s="9"/>
      <c r="G9" s="33">
        <f>46350+900</f>
        <v>47250</v>
      </c>
      <c r="H9" s="35">
        <f>46350+900</f>
        <v>47250</v>
      </c>
      <c r="I9" s="40">
        <v>11.3</v>
      </c>
      <c r="J9" s="40">
        <v>6.7</v>
      </c>
      <c r="K9" s="18">
        <v>8</v>
      </c>
      <c r="L9" s="41">
        <f t="shared" si="1"/>
        <v>42.477876106194685</v>
      </c>
      <c r="M9" s="17">
        <v>20</v>
      </c>
      <c r="N9" s="17">
        <f>15</f>
        <v>15</v>
      </c>
      <c r="O9" s="17"/>
      <c r="P9" s="47"/>
      <c r="Q9" s="10">
        <f>425+720+20</f>
        <v>1165</v>
      </c>
      <c r="R9" s="19">
        <f>5.7+1.8+0.2</f>
        <v>7.7</v>
      </c>
      <c r="S9" s="59">
        <f t="shared" si="2"/>
        <v>2.4322830292979547E-2</v>
      </c>
      <c r="T9" s="11">
        <f t="shared" si="3"/>
        <v>0.96725543478260878</v>
      </c>
      <c r="U9" s="11">
        <f t="shared" si="0"/>
        <v>0.97625472207231512</v>
      </c>
      <c r="V9" s="11">
        <f t="shared" si="4"/>
        <v>0.94428768565663201</v>
      </c>
      <c r="W9" s="7"/>
      <c r="X9" s="14"/>
      <c r="Y9" s="14"/>
      <c r="Z9" s="12"/>
      <c r="AA9" s="14"/>
      <c r="AB9" s="29"/>
      <c r="AC9" s="18">
        <f>15</f>
        <v>15</v>
      </c>
    </row>
    <row r="10" spans="1:29" ht="15.75" x14ac:dyDescent="0.25">
      <c r="A10" s="57"/>
      <c r="B10" s="2" t="s">
        <v>80</v>
      </c>
      <c r="C10" s="2" t="str">
        <f>VLOOKUP(B10,Setup!A:B,2,)</f>
        <v>Glossy Spray Cap, Vertical Spray, 52mm, Shape #2</v>
      </c>
      <c r="D10" s="2" t="s">
        <v>149</v>
      </c>
      <c r="E10" s="2" t="s">
        <v>16</v>
      </c>
      <c r="F10" s="16"/>
      <c r="G10" s="33">
        <v>25200</v>
      </c>
      <c r="H10" s="35">
        <v>25200</v>
      </c>
      <c r="I10" s="40">
        <v>11.3</v>
      </c>
      <c r="J10" s="40">
        <v>6.7</v>
      </c>
      <c r="K10" s="18">
        <v>8</v>
      </c>
      <c r="L10" s="41">
        <f t="shared" si="1"/>
        <v>42.477876106194685</v>
      </c>
      <c r="M10" s="17">
        <v>15</v>
      </c>
      <c r="N10" s="17">
        <v>15</v>
      </c>
      <c r="O10" s="17"/>
      <c r="P10" s="47"/>
      <c r="Q10" s="17">
        <v>660</v>
      </c>
      <c r="R10" s="19">
        <v>3.6</v>
      </c>
      <c r="S10" s="59">
        <f t="shared" si="2"/>
        <v>2.1321961620469083E-2</v>
      </c>
      <c r="T10" s="11">
        <f t="shared" si="3"/>
        <v>0.91976744186046522</v>
      </c>
      <c r="U10" s="11">
        <f t="shared" si="0"/>
        <v>0.97912317327766174</v>
      </c>
      <c r="V10" s="11">
        <f t="shared" si="4"/>
        <v>0.90056561635189591</v>
      </c>
      <c r="W10" s="7"/>
      <c r="X10" s="14"/>
      <c r="Y10" s="14"/>
      <c r="Z10" s="12"/>
      <c r="AA10" s="14"/>
      <c r="AB10" s="29"/>
      <c r="AC10" s="18">
        <v>15</v>
      </c>
    </row>
    <row r="11" spans="1:29" ht="15.75" x14ac:dyDescent="0.25">
      <c r="A11" s="57"/>
      <c r="B11" s="2" t="s">
        <v>80</v>
      </c>
      <c r="C11" s="2" t="str">
        <f>VLOOKUP(B11,Setup!A:B,2,)</f>
        <v>Glossy Spray Cap, Vertical Spray, 52mm, Shape #2</v>
      </c>
      <c r="D11" s="2" t="s">
        <v>150</v>
      </c>
      <c r="E11" s="2" t="s">
        <v>14</v>
      </c>
      <c r="F11" s="16"/>
      <c r="G11" s="33">
        <v>70200</v>
      </c>
      <c r="H11" s="35">
        <v>70200</v>
      </c>
      <c r="I11" s="40">
        <v>11.3</v>
      </c>
      <c r="J11" s="40">
        <v>6.7</v>
      </c>
      <c r="K11" s="18">
        <v>8</v>
      </c>
      <c r="L11" s="41">
        <f t="shared" si="1"/>
        <v>42.477876106194685</v>
      </c>
      <c r="M11" s="17">
        <v>15</v>
      </c>
      <c r="N11" s="17">
        <f>15+15+15</f>
        <v>45</v>
      </c>
      <c r="O11" s="17"/>
      <c r="P11" s="47"/>
      <c r="Q11" s="17">
        <f>30+720+720+315</f>
        <v>1785</v>
      </c>
      <c r="R11" s="19">
        <f>4.2+2.2+1.1+3.5</f>
        <v>11</v>
      </c>
      <c r="S11" s="59">
        <f t="shared" si="2"/>
        <v>2.3387336820172643E-2</v>
      </c>
      <c r="T11" s="11">
        <f t="shared" si="3"/>
        <v>0.94978448275862093</v>
      </c>
      <c r="U11" s="11">
        <f t="shared" si="0"/>
        <v>0.97714713092616445</v>
      </c>
      <c r="V11" s="11">
        <f t="shared" si="4"/>
        <v>0.92807918232577757</v>
      </c>
      <c r="W11" s="7"/>
      <c r="X11" s="14"/>
      <c r="Y11" s="14"/>
      <c r="Z11" s="12"/>
      <c r="AA11" s="14"/>
      <c r="AB11" s="29"/>
      <c r="AC11" s="18">
        <f>15+15+15</f>
        <v>45</v>
      </c>
    </row>
    <row r="12" spans="1:29" ht="15.75" x14ac:dyDescent="0.25">
      <c r="A12" s="57"/>
      <c r="B12" s="2" t="s">
        <v>80</v>
      </c>
      <c r="C12" s="2" t="str">
        <f>VLOOKUP(B12,Setup!A:B,2,)</f>
        <v>Glossy Spray Cap, Vertical Spray, 52mm, Shape #2</v>
      </c>
      <c r="D12" s="2" t="s">
        <v>151</v>
      </c>
      <c r="E12" s="2" t="s">
        <v>8</v>
      </c>
      <c r="F12" s="16"/>
      <c r="G12" s="33">
        <f>298800+31500</f>
        <v>330300</v>
      </c>
      <c r="H12" s="35">
        <f>298800+31500</f>
        <v>330300</v>
      </c>
      <c r="I12" s="40">
        <v>11.3</v>
      </c>
      <c r="J12" s="40">
        <v>6.7</v>
      </c>
      <c r="K12" s="18">
        <v>8</v>
      </c>
      <c r="L12" s="41">
        <f t="shared" si="1"/>
        <v>42.477876106194685</v>
      </c>
      <c r="M12" s="17">
        <f>15</f>
        <v>15</v>
      </c>
      <c r="N12" s="17">
        <f>15+15+15+15+15+15+15+15+15+15+15+15</f>
        <v>180</v>
      </c>
      <c r="O12" s="17"/>
      <c r="P12" s="47"/>
      <c r="Q12" s="42">
        <f>405+720+720+720+720+720+720+720+720+720+720+85</f>
        <v>7690</v>
      </c>
      <c r="R12" s="19">
        <f>4.6+0.7+1.5+0.9+0.8+4.5+0.6+1.3+1.2+1.1+0.6+1.6</f>
        <v>19.400000000000006</v>
      </c>
      <c r="S12" s="59">
        <f t="shared" si="2"/>
        <v>8.766340866060254E-3</v>
      </c>
      <c r="T12" s="11">
        <f t="shared" si="3"/>
        <v>1.0353944740346206</v>
      </c>
      <c r="U12" s="11">
        <f t="shared" si="0"/>
        <v>0.99130984003834421</v>
      </c>
      <c r="V12" s="11">
        <f t="shared" si="4"/>
        <v>1.0263967304318453</v>
      </c>
      <c r="W12" s="7"/>
      <c r="X12" s="12"/>
      <c r="Y12" s="14"/>
      <c r="Z12" s="12"/>
      <c r="AA12" s="14"/>
      <c r="AB12" s="29"/>
      <c r="AC12" s="18">
        <f>15+20+25+15+25+10+15+45+25+15+10+15</f>
        <v>235</v>
      </c>
    </row>
    <row r="13" spans="1:29" ht="15.75" x14ac:dyDescent="0.25">
      <c r="A13" s="57"/>
      <c r="B13" s="2" t="s">
        <v>80</v>
      </c>
      <c r="C13" s="2" t="str">
        <f>VLOOKUP(B13,Setup!A:B,2,)</f>
        <v>Glossy Spray Cap, Vertical Spray, 52mm, Shape #2</v>
      </c>
      <c r="D13" s="2" t="s">
        <v>152</v>
      </c>
      <c r="E13" s="2" t="s">
        <v>9</v>
      </c>
      <c r="F13" s="9"/>
      <c r="G13" s="33">
        <v>40050</v>
      </c>
      <c r="H13" s="35">
        <v>40050</v>
      </c>
      <c r="I13" s="40">
        <v>11.3</v>
      </c>
      <c r="J13" s="40">
        <v>6.7</v>
      </c>
      <c r="K13" s="18">
        <v>8</v>
      </c>
      <c r="L13" s="41">
        <f t="shared" si="1"/>
        <v>42.477876106194685</v>
      </c>
      <c r="M13" s="17">
        <v>35</v>
      </c>
      <c r="N13" s="17">
        <v>15</v>
      </c>
      <c r="O13" s="17"/>
      <c r="P13" s="47"/>
      <c r="Q13" s="10">
        <f>635+400</f>
        <v>1035</v>
      </c>
      <c r="R13" s="19">
        <f>6+0.9</f>
        <v>6.9</v>
      </c>
      <c r="S13" s="59">
        <f t="shared" si="2"/>
        <v>2.5714125999217401E-2</v>
      </c>
      <c r="T13" s="11">
        <f t="shared" si="3"/>
        <v>0.9243566176470589</v>
      </c>
      <c r="U13" s="11">
        <f t="shared" si="0"/>
        <v>0.9749305139244645</v>
      </c>
      <c r="V13" s="11">
        <f t="shared" si="4"/>
        <v>0.90118347229212692</v>
      </c>
      <c r="W13" s="7"/>
      <c r="X13" s="14"/>
      <c r="Y13" s="14"/>
      <c r="Z13" s="12"/>
      <c r="AA13" s="14"/>
      <c r="AB13" s="29"/>
      <c r="AC13" s="18">
        <v>15</v>
      </c>
    </row>
    <row r="14" spans="1:29" ht="15.75" x14ac:dyDescent="0.25">
      <c r="A14" s="57"/>
      <c r="B14" s="2" t="s">
        <v>80</v>
      </c>
      <c r="C14" s="2" t="str">
        <f>VLOOKUP(B14,Setup!A:B,2,)</f>
        <v>Glossy Spray Cap, Vertical Spray, 52mm, Shape #2</v>
      </c>
      <c r="D14" s="2" t="s">
        <v>150</v>
      </c>
      <c r="E14" s="2" t="s">
        <v>14</v>
      </c>
      <c r="F14" s="9"/>
      <c r="G14" s="33">
        <v>100350</v>
      </c>
      <c r="H14" s="35">
        <v>100350</v>
      </c>
      <c r="I14" s="40">
        <v>11.3</v>
      </c>
      <c r="J14" s="40">
        <v>6.7</v>
      </c>
      <c r="K14" s="18">
        <v>8</v>
      </c>
      <c r="L14" s="41">
        <f t="shared" si="1"/>
        <v>42.477876106194685</v>
      </c>
      <c r="M14" s="17">
        <v>25</v>
      </c>
      <c r="N14" s="17">
        <f>15+15+15</f>
        <v>45</v>
      </c>
      <c r="O14" s="17"/>
      <c r="P14" s="47"/>
      <c r="Q14" s="17">
        <f>320+720+720+720+40</f>
        <v>2520</v>
      </c>
      <c r="R14" s="19">
        <f>5.3+0.9+1.1+2</f>
        <v>9.3000000000000007</v>
      </c>
      <c r="S14" s="59">
        <f t="shared" si="2"/>
        <v>1.3832184369631663E-2</v>
      </c>
      <c r="T14" s="11">
        <f t="shared" si="3"/>
        <v>0.95450757575757583</v>
      </c>
      <c r="U14" s="11">
        <f t="shared" si="0"/>
        <v>0.98635653455977823</v>
      </c>
      <c r="V14" s="11">
        <f t="shared" si="4"/>
        <v>0.9414847846352975</v>
      </c>
      <c r="W14" s="7"/>
      <c r="X14" s="14"/>
      <c r="Y14" s="14"/>
      <c r="Z14" s="12"/>
      <c r="AA14" s="14"/>
      <c r="AB14" s="29"/>
      <c r="AC14" s="18">
        <f>15+15+10</f>
        <v>40</v>
      </c>
    </row>
    <row r="15" spans="1:29" ht="15.75" x14ac:dyDescent="0.25">
      <c r="A15" s="57"/>
      <c r="B15" s="54" t="s">
        <v>74</v>
      </c>
      <c r="C15" s="2" t="str">
        <f>VLOOKUP(B15,Setup!A:B,2,)</f>
        <v>Matte Protective Cap, 45mm</v>
      </c>
      <c r="D15" s="2" t="s">
        <v>153</v>
      </c>
      <c r="E15" s="3" t="s">
        <v>19</v>
      </c>
      <c r="F15" s="16"/>
      <c r="G15" s="33">
        <f>327000+23400</f>
        <v>350400</v>
      </c>
      <c r="H15" s="35">
        <f>327000+23400</f>
        <v>350400</v>
      </c>
      <c r="I15" s="40">
        <v>7.5</v>
      </c>
      <c r="J15" s="40">
        <v>5</v>
      </c>
      <c r="K15" s="18">
        <v>8</v>
      </c>
      <c r="L15" s="41">
        <f t="shared" si="1"/>
        <v>64</v>
      </c>
      <c r="M15" s="17">
        <f>20+100</f>
        <v>120</v>
      </c>
      <c r="N15" s="17">
        <f>15+15+15+15+15+15+15+15</f>
        <v>120</v>
      </c>
      <c r="O15" s="17"/>
      <c r="P15" s="48" t="s">
        <v>211</v>
      </c>
      <c r="Q15" s="42">
        <f>330+100+720+720+720+720+720+720+720+360</f>
        <v>5830</v>
      </c>
      <c r="R15" s="19">
        <f>1.3+3.1+0.6+0.5+0.7+0.4+1+0.4</f>
        <v>8</v>
      </c>
      <c r="S15" s="59">
        <f t="shared" si="2"/>
        <v>4.5662100456621002E-3</v>
      </c>
      <c r="T15" s="11">
        <f t="shared" si="3"/>
        <v>0.95884413309982497</v>
      </c>
      <c r="U15" s="11">
        <f t="shared" si="0"/>
        <v>0.99545454545454548</v>
      </c>
      <c r="V15" s="11">
        <f t="shared" si="4"/>
        <v>0.95448575067664398</v>
      </c>
      <c r="W15" s="7"/>
      <c r="X15" s="12" t="s">
        <v>93</v>
      </c>
      <c r="Y15" s="14">
        <v>100</v>
      </c>
      <c r="Z15" s="12"/>
      <c r="AA15" s="14"/>
      <c r="AB15" s="29" t="s">
        <v>96</v>
      </c>
      <c r="AC15" s="18">
        <f>10+10+10+15+10+10+10+10</f>
        <v>85</v>
      </c>
    </row>
    <row r="16" spans="1:29" ht="15.75" x14ac:dyDescent="0.25">
      <c r="A16" s="57"/>
      <c r="B16" s="2" t="s">
        <v>73</v>
      </c>
      <c r="C16" s="2" t="str">
        <f>VLOOKUP(B16,Setup!A:B,2,)</f>
        <v>Matte Protective Cap, 52mm</v>
      </c>
      <c r="D16" s="2" t="s">
        <v>154</v>
      </c>
      <c r="E16" s="2" t="s">
        <v>17</v>
      </c>
      <c r="F16" s="16"/>
      <c r="G16" s="33">
        <v>320400</v>
      </c>
      <c r="H16" s="35">
        <v>320400</v>
      </c>
      <c r="I16" s="40">
        <v>7.3</v>
      </c>
      <c r="J16" s="40">
        <v>6.1</v>
      </c>
      <c r="K16" s="18">
        <v>8</v>
      </c>
      <c r="L16" s="41">
        <f t="shared" si="1"/>
        <v>65.753424657534254</v>
      </c>
      <c r="M16" s="17">
        <f>50+100</f>
        <v>150</v>
      </c>
      <c r="N16" s="17">
        <f>15+15+15+15+15+15+15+15</f>
        <v>120</v>
      </c>
      <c r="O16" s="17"/>
      <c r="P16" s="48" t="s">
        <v>211</v>
      </c>
      <c r="Q16" s="42">
        <f>230+720+720+720+720+720+720+720+70+100</f>
        <v>5440</v>
      </c>
      <c r="R16" s="19">
        <f>10.5+5.2+1.3+3.2+1.5+0.5+1.4+7.7+1.7</f>
        <v>33</v>
      </c>
      <c r="S16" s="59">
        <f t="shared" si="2"/>
        <v>1.6884631915024251E-2</v>
      </c>
      <c r="T16" s="11">
        <f t="shared" si="3"/>
        <v>0.91593045112781946</v>
      </c>
      <c r="U16" s="11">
        <f t="shared" si="0"/>
        <v>0.98339572515396689</v>
      </c>
      <c r="V16" s="11">
        <f t="shared" si="4"/>
        <v>0.90072209017744209</v>
      </c>
      <c r="W16" s="7"/>
      <c r="X16" s="12" t="s">
        <v>93</v>
      </c>
      <c r="Y16" s="14">
        <v>100</v>
      </c>
      <c r="Z16" s="12"/>
      <c r="AA16" s="14"/>
      <c r="AB16" s="29" t="s">
        <v>96</v>
      </c>
      <c r="AC16" s="18">
        <f>40+10+25+10+10+10+35+10</f>
        <v>150</v>
      </c>
    </row>
    <row r="17" spans="1:29" ht="15.75" x14ac:dyDescent="0.25">
      <c r="A17" s="57"/>
      <c r="B17" s="2" t="s">
        <v>73</v>
      </c>
      <c r="C17" s="2" t="str">
        <f>VLOOKUP(B17,Setup!A:B,2,)</f>
        <v>Matte Protective Cap, 52mm</v>
      </c>
      <c r="D17" s="2" t="s">
        <v>153</v>
      </c>
      <c r="E17" s="4" t="s">
        <v>23</v>
      </c>
      <c r="F17" s="9"/>
      <c r="G17" s="33">
        <v>67500</v>
      </c>
      <c r="H17" s="35">
        <v>67500</v>
      </c>
      <c r="I17" s="40">
        <v>7.3</v>
      </c>
      <c r="J17" s="40">
        <v>6.1</v>
      </c>
      <c r="K17" s="18">
        <v>8</v>
      </c>
      <c r="L17" s="41">
        <f t="shared" si="1"/>
        <v>65.753424657534254</v>
      </c>
      <c r="M17" s="17">
        <v>25</v>
      </c>
      <c r="N17" s="17">
        <v>15</v>
      </c>
      <c r="O17" s="17"/>
      <c r="P17" s="47"/>
      <c r="Q17" s="42">
        <f>630+440</f>
        <v>1070</v>
      </c>
      <c r="R17" s="19">
        <f>7+2.8</f>
        <v>9.8000000000000007</v>
      </c>
      <c r="S17" s="59">
        <f t="shared" si="2"/>
        <v>2.3800850030358228E-2</v>
      </c>
      <c r="T17" s="11">
        <f t="shared" si="3"/>
        <v>0.97304502369668222</v>
      </c>
      <c r="U17" s="11">
        <f t="shared" si="0"/>
        <v>0.97675246115526038</v>
      </c>
      <c r="V17" s="11">
        <f t="shared" si="4"/>
        <v>0.95042412171061297</v>
      </c>
      <c r="W17" s="7"/>
      <c r="X17" s="12"/>
      <c r="Y17" s="14"/>
      <c r="Z17" s="12"/>
      <c r="AA17" s="14"/>
      <c r="AB17" s="29"/>
      <c r="AC17" s="18">
        <v>20</v>
      </c>
    </row>
    <row r="18" spans="1:29" ht="15.75" x14ac:dyDescent="0.25">
      <c r="A18" s="57"/>
      <c r="B18" s="2" t="s">
        <v>73</v>
      </c>
      <c r="C18" s="2" t="str">
        <f>VLOOKUP(B18,Setup!A:B,2,)</f>
        <v>Matte Protective Cap, 52mm</v>
      </c>
      <c r="D18" s="2" t="s">
        <v>155</v>
      </c>
      <c r="E18" s="4" t="s">
        <v>29</v>
      </c>
      <c r="F18" s="16"/>
      <c r="G18" s="33">
        <v>40050</v>
      </c>
      <c r="H18" s="35">
        <v>40050</v>
      </c>
      <c r="I18" s="40">
        <v>7.3</v>
      </c>
      <c r="J18" s="40">
        <v>6.1</v>
      </c>
      <c r="K18" s="18">
        <v>8</v>
      </c>
      <c r="L18" s="41">
        <f t="shared" si="1"/>
        <v>65.753424657534254</v>
      </c>
      <c r="M18" s="17">
        <v>20</v>
      </c>
      <c r="N18" s="17">
        <v>15</v>
      </c>
      <c r="O18" s="17"/>
      <c r="P18" s="47"/>
      <c r="Q18" s="42">
        <f>280+390</f>
        <v>670</v>
      </c>
      <c r="R18" s="19">
        <f>7.2+1.4</f>
        <v>8.6</v>
      </c>
      <c r="S18" s="59">
        <f t="shared" si="2"/>
        <v>3.5201899265262682E-2</v>
      </c>
      <c r="T18" s="11">
        <f t="shared" si="3"/>
        <v>0.92991412213740443</v>
      </c>
      <c r="U18" s="11">
        <f t="shared" si="0"/>
        <v>0.96599513651371072</v>
      </c>
      <c r="V18" s="11">
        <f t="shared" si="4"/>
        <v>0.89829251936014942</v>
      </c>
      <c r="W18" s="7"/>
      <c r="X18" s="14"/>
      <c r="Y18" s="14"/>
      <c r="Z18" s="12"/>
      <c r="AA18" s="14"/>
      <c r="AB18" s="29"/>
      <c r="AC18" s="18">
        <v>15</v>
      </c>
    </row>
    <row r="19" spans="1:29" ht="15.75" x14ac:dyDescent="0.25">
      <c r="A19" s="57"/>
      <c r="B19" s="2" t="s">
        <v>73</v>
      </c>
      <c r="C19" s="2" t="str">
        <f>VLOOKUP(B19,Setup!A:B,2,)</f>
        <v>Matte Protective Cap, 52mm</v>
      </c>
      <c r="D19" s="2" t="s">
        <v>154</v>
      </c>
      <c r="E19" s="2" t="s">
        <v>4</v>
      </c>
      <c r="F19" s="16"/>
      <c r="G19" s="33">
        <v>150300</v>
      </c>
      <c r="H19" s="35">
        <v>150300</v>
      </c>
      <c r="I19" s="40">
        <v>7.3</v>
      </c>
      <c r="J19" s="40">
        <v>6.1</v>
      </c>
      <c r="K19" s="18">
        <v>8</v>
      </c>
      <c r="L19" s="41">
        <f t="shared" si="1"/>
        <v>65.753424657534254</v>
      </c>
      <c r="M19" s="17">
        <v>30</v>
      </c>
      <c r="N19" s="17">
        <f>15+15+15</f>
        <v>45</v>
      </c>
      <c r="O19" s="17"/>
      <c r="P19" s="47"/>
      <c r="Q19" s="42">
        <f>330+720+720+720</f>
        <v>2490</v>
      </c>
      <c r="R19" s="19">
        <f>7.6+1.2+1.1+1.6</f>
        <v>11.499999999999998</v>
      </c>
      <c r="S19" s="59">
        <f t="shared" si="2"/>
        <v>1.2543219571785388E-2</v>
      </c>
      <c r="T19" s="11">
        <f t="shared" si="3"/>
        <v>0.93489263803680966</v>
      </c>
      <c r="U19" s="11">
        <f t="shared" si="0"/>
        <v>0.9876121637779669</v>
      </c>
      <c r="V19" s="11">
        <f t="shared" si="4"/>
        <v>0.92331134115162516</v>
      </c>
      <c r="W19" s="7"/>
      <c r="X19" s="14"/>
      <c r="Y19" s="14"/>
      <c r="Z19" s="12"/>
      <c r="AA19" s="14"/>
      <c r="AB19" s="29"/>
      <c r="AC19" s="18">
        <f>10+15+10</f>
        <v>35</v>
      </c>
    </row>
    <row r="20" spans="1:29" x14ac:dyDescent="0.25">
      <c r="G20" s="51">
        <f>SUM(G2:G19)</f>
        <v>1872000</v>
      </c>
      <c r="H20" s="51">
        <f>SUM(H2:H19)</f>
        <v>1872000</v>
      </c>
      <c r="M20" s="51">
        <f>SUM(M2:M19)</f>
        <v>890</v>
      </c>
      <c r="N20" s="51">
        <f t="shared" ref="N20:O20" si="5">SUM(N2:N19)</f>
        <v>780</v>
      </c>
      <c r="O20" s="51">
        <f t="shared" si="5"/>
        <v>375</v>
      </c>
      <c r="Q20" s="51">
        <f>SUM(Q2:Q19)</f>
        <v>38390</v>
      </c>
      <c r="R20" s="51">
        <f>SUM(R2:R19)</f>
        <v>193.00000000000003</v>
      </c>
      <c r="S20" s="51"/>
    </row>
  </sheetData>
  <autoFilter ref="A1:AA19" xr:uid="{C7B991B8-EEF6-4D5C-BA37-743E594A641C}"/>
  <mergeCells count="1">
    <mergeCell ref="A2:A1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0E44-B6E5-44D7-93F0-FB2E27E2C814}">
  <sheetPr>
    <pageSetUpPr fitToPage="1"/>
  </sheetPr>
  <dimension ref="A1:AC27"/>
  <sheetViews>
    <sheetView tabSelected="1" zoomScale="59" zoomScaleNormal="59" workbookViewId="0">
      <pane ySplit="1" topLeftCell="A2" activePane="bottomLeft" state="frozen"/>
      <selection pane="bottomLeft" activeCell="N44" sqref="N44"/>
    </sheetView>
  </sheetViews>
  <sheetFormatPr defaultRowHeight="15" x14ac:dyDescent="0.25"/>
  <cols>
    <col min="1" max="1" width="11.140625" customWidth="1"/>
    <col min="2" max="2" width="23" customWidth="1"/>
    <col min="3" max="3" width="75.5703125" customWidth="1"/>
    <col min="4" max="4" width="21.5703125" customWidth="1"/>
    <col min="5" max="5" width="11.28515625" customWidth="1"/>
    <col min="6" max="6" width="0" hidden="1" customWidth="1"/>
    <col min="7" max="8" width="13.85546875" customWidth="1"/>
    <col min="9" max="9" width="11.5703125" customWidth="1"/>
    <col min="10" max="10" width="11.140625" customWidth="1"/>
    <col min="11" max="11" width="12.28515625" customWidth="1"/>
    <col min="12" max="12" width="14.42578125" customWidth="1"/>
    <col min="13" max="13" width="15.42578125" customWidth="1"/>
    <col min="14" max="15" width="17.7109375" customWidth="1"/>
    <col min="16" max="16" width="52.7109375" customWidth="1"/>
    <col min="17" max="17" width="14.5703125" customWidth="1"/>
    <col min="18" max="18" width="10.28515625" customWidth="1"/>
    <col min="19" max="19" width="16.140625" customWidth="1"/>
    <col min="20" max="21" width="10.28515625" customWidth="1"/>
    <col min="22" max="22" width="12.7109375" customWidth="1"/>
    <col min="23" max="23" width="2.28515625" hidden="1" customWidth="1"/>
    <col min="24" max="24" width="11" hidden="1" customWidth="1"/>
    <col min="25" max="25" width="14.28515625" hidden="1" customWidth="1"/>
    <col min="26" max="26" width="0" hidden="1" customWidth="1"/>
    <col min="27" max="27" width="14.85546875" hidden="1" customWidth="1"/>
    <col min="28" max="28" width="46" hidden="1" customWidth="1"/>
    <col min="29" max="29" width="17.7109375" hidden="1" customWidth="1"/>
    <col min="30" max="30" width="0" hidden="1" customWidth="1"/>
  </cols>
  <sheetData>
    <row r="1" spans="1:29" ht="96" customHeight="1" x14ac:dyDescent="0.25">
      <c r="A1" s="8" t="s">
        <v>133</v>
      </c>
      <c r="B1" s="31" t="s">
        <v>136</v>
      </c>
      <c r="C1" s="31" t="s">
        <v>136</v>
      </c>
      <c r="D1" s="31" t="s">
        <v>134</v>
      </c>
      <c r="E1" s="32" t="s">
        <v>135</v>
      </c>
      <c r="F1" s="8" t="s">
        <v>1</v>
      </c>
      <c r="G1" s="8" t="s">
        <v>194</v>
      </c>
      <c r="H1" s="8" t="s">
        <v>195</v>
      </c>
      <c r="I1" s="8" t="s">
        <v>207</v>
      </c>
      <c r="J1" s="8" t="s">
        <v>208</v>
      </c>
      <c r="K1" s="8" t="s">
        <v>210</v>
      </c>
      <c r="L1" s="8" t="s">
        <v>209</v>
      </c>
      <c r="M1" s="8" t="s">
        <v>137</v>
      </c>
      <c r="N1" s="8" t="s">
        <v>138</v>
      </c>
      <c r="O1" s="8" t="s">
        <v>139</v>
      </c>
      <c r="P1" s="8" t="s">
        <v>206</v>
      </c>
      <c r="Q1" s="8" t="s">
        <v>140</v>
      </c>
      <c r="R1" s="8" t="s">
        <v>141</v>
      </c>
      <c r="S1" s="8" t="s">
        <v>215</v>
      </c>
      <c r="T1" s="8" t="s">
        <v>113</v>
      </c>
      <c r="U1" s="8" t="s">
        <v>114</v>
      </c>
      <c r="V1" s="8" t="s">
        <v>0</v>
      </c>
      <c r="W1" s="7"/>
      <c r="X1" s="8" t="s">
        <v>79</v>
      </c>
      <c r="Y1" s="8" t="s">
        <v>112</v>
      </c>
      <c r="Z1" s="8" t="s">
        <v>79</v>
      </c>
      <c r="AA1" s="8" t="s">
        <v>112</v>
      </c>
      <c r="AB1" s="8" t="s">
        <v>90</v>
      </c>
      <c r="AC1" s="8" t="s">
        <v>115</v>
      </c>
    </row>
    <row r="2" spans="1:29" ht="15.75" x14ac:dyDescent="0.25">
      <c r="A2" s="58">
        <v>2</v>
      </c>
      <c r="B2" s="2" t="s">
        <v>81</v>
      </c>
      <c r="C2" s="2" t="str">
        <f>VLOOKUP(B2,Setup!A:B,2,)</f>
        <v>Glossy Spray Cap, Vertical Spray, 52mm, Shape #1</v>
      </c>
      <c r="D2" s="2" t="s">
        <v>156</v>
      </c>
      <c r="E2" s="3" t="s">
        <v>24</v>
      </c>
      <c r="F2" s="20"/>
      <c r="G2" s="33">
        <v>60300</v>
      </c>
      <c r="H2" s="35">
        <v>60300</v>
      </c>
      <c r="I2" s="40">
        <v>11.3</v>
      </c>
      <c r="J2" s="40">
        <v>8.1999999999999993</v>
      </c>
      <c r="K2" s="18">
        <v>8</v>
      </c>
      <c r="L2" s="41">
        <f>(60/I2)*K2</f>
        <v>42.477876106194685</v>
      </c>
      <c r="M2" s="17">
        <v>30</v>
      </c>
      <c r="N2" s="17">
        <f>15+15</f>
        <v>30</v>
      </c>
      <c r="O2" s="17"/>
      <c r="P2" s="47"/>
      <c r="Q2" s="10">
        <f>720+720+125+30</f>
        <v>1595</v>
      </c>
      <c r="R2" s="19">
        <f>7.7+2.7+0.8+1</f>
        <v>12.200000000000001</v>
      </c>
      <c r="S2" s="59">
        <f>R2/(G2*J2/1000)</f>
        <v>2.4673381062168837E-2</v>
      </c>
      <c r="T2" s="11">
        <f t="shared" ref="T2:T26" si="0">(H2/(L2*(Q2-N2-M2-O2)))*((Q2-N2-M2-O2)/(Q2-N2-O2))</f>
        <v>0.90706869009584679</v>
      </c>
      <c r="U2" s="11">
        <f t="shared" ref="U2:U26" si="1">(H2*J2/(H2*J2+R2*1000))</f>
        <v>0.97592073579915528</v>
      </c>
      <c r="V2" s="11">
        <f t="shared" ref="V2:V26" si="2">T2*U2</f>
        <v>0.88522714345871478</v>
      </c>
      <c r="W2" s="7"/>
      <c r="X2" s="12" t="s">
        <v>91</v>
      </c>
      <c r="Y2" s="14">
        <v>30</v>
      </c>
      <c r="Z2" s="12"/>
      <c r="AA2" s="14"/>
      <c r="AB2" s="29"/>
      <c r="AC2" s="18">
        <f>10+10</f>
        <v>20</v>
      </c>
    </row>
    <row r="3" spans="1:29" ht="15.75" x14ac:dyDescent="0.25">
      <c r="A3" s="58"/>
      <c r="B3" s="2" t="s">
        <v>81</v>
      </c>
      <c r="C3" s="2" t="str">
        <f>VLOOKUP(B3,Setup!A:B,2,)</f>
        <v>Glossy Spray Cap, Vertical Spray, 52mm, Shape #1</v>
      </c>
      <c r="D3" s="2" t="s">
        <v>157</v>
      </c>
      <c r="E3" s="2" t="s">
        <v>43</v>
      </c>
      <c r="F3" s="20"/>
      <c r="G3" s="33">
        <v>20250</v>
      </c>
      <c r="H3" s="35">
        <v>20250</v>
      </c>
      <c r="I3" s="40">
        <v>11.3</v>
      </c>
      <c r="J3" s="40">
        <v>8.1999999999999993</v>
      </c>
      <c r="K3" s="18">
        <v>8</v>
      </c>
      <c r="L3" s="41">
        <f t="shared" ref="L3:L26" si="3">(60/I3)*K3</f>
        <v>42.477876106194685</v>
      </c>
      <c r="M3" s="17">
        <v>20</v>
      </c>
      <c r="N3" s="17"/>
      <c r="O3" s="17"/>
      <c r="P3" s="47"/>
      <c r="Q3" s="10">
        <v>525</v>
      </c>
      <c r="R3" s="19">
        <v>6</v>
      </c>
      <c r="S3" s="59">
        <f t="shared" ref="S3:S26" si="4">R3/(G3*J3/1000)</f>
        <v>3.6133694670280034E-2</v>
      </c>
      <c r="T3" s="11">
        <f t="shared" si="0"/>
        <v>0.90803571428571439</v>
      </c>
      <c r="U3" s="11">
        <f t="shared" si="1"/>
        <v>0.96512641673931998</v>
      </c>
      <c r="V3" s="11">
        <f t="shared" si="2"/>
        <v>0.8763692551999005</v>
      </c>
      <c r="W3" s="7"/>
      <c r="X3" s="14"/>
      <c r="Y3" s="14"/>
      <c r="Z3" s="12"/>
      <c r="AA3" s="14"/>
      <c r="AB3" s="29"/>
      <c r="AC3" s="18"/>
    </row>
    <row r="4" spans="1:29" ht="15.75" x14ac:dyDescent="0.25">
      <c r="A4" s="58"/>
      <c r="B4" s="2" t="s">
        <v>81</v>
      </c>
      <c r="C4" s="2" t="str">
        <f>VLOOKUP(B4,Setup!A:B,2,)</f>
        <v>Glossy Spray Cap, Vertical Spray, 52mm, Shape #1</v>
      </c>
      <c r="D4" s="2" t="s">
        <v>158</v>
      </c>
      <c r="E4" s="3" t="s">
        <v>35</v>
      </c>
      <c r="F4" s="20"/>
      <c r="G4" s="33">
        <v>25200</v>
      </c>
      <c r="H4" s="35">
        <v>25200</v>
      </c>
      <c r="I4" s="40">
        <v>11.3</v>
      </c>
      <c r="J4" s="40">
        <v>8.1999999999999993</v>
      </c>
      <c r="K4" s="18">
        <v>8</v>
      </c>
      <c r="L4" s="41">
        <f t="shared" si="3"/>
        <v>42.477876106194685</v>
      </c>
      <c r="M4" s="17">
        <v>10</v>
      </c>
      <c r="N4" s="17">
        <v>15</v>
      </c>
      <c r="O4" s="17"/>
      <c r="P4" s="47"/>
      <c r="Q4" s="10">
        <f>70+600</f>
        <v>670</v>
      </c>
      <c r="R4" s="19">
        <f>0.8+2</f>
        <v>2.8</v>
      </c>
      <c r="S4" s="59">
        <f t="shared" si="4"/>
        <v>1.3550135501355016E-2</v>
      </c>
      <c r="T4" s="11">
        <f t="shared" si="0"/>
        <v>0.90572519083969472</v>
      </c>
      <c r="U4" s="11">
        <f t="shared" si="1"/>
        <v>0.9866310160427807</v>
      </c>
      <c r="V4" s="11">
        <f t="shared" si="2"/>
        <v>0.89361656529370947</v>
      </c>
      <c r="W4" s="7"/>
      <c r="X4" s="12" t="s">
        <v>100</v>
      </c>
      <c r="Y4" s="14">
        <v>120</v>
      </c>
      <c r="Z4" s="12"/>
      <c r="AA4" s="14"/>
      <c r="AB4" s="29" t="s">
        <v>99</v>
      </c>
      <c r="AC4" s="18">
        <v>15</v>
      </c>
    </row>
    <row r="5" spans="1:29" ht="15.75" x14ac:dyDescent="0.25">
      <c r="A5" s="58"/>
      <c r="B5" s="2" t="s">
        <v>81</v>
      </c>
      <c r="C5" s="2" t="str">
        <f>VLOOKUP(B5,Setup!A:B,2,)</f>
        <v>Glossy Spray Cap, Vertical Spray, 52mm, Shape #1</v>
      </c>
      <c r="D5" s="2" t="s">
        <v>159</v>
      </c>
      <c r="E5" s="3" t="s">
        <v>18</v>
      </c>
      <c r="F5" s="20"/>
      <c r="G5" s="33">
        <v>130050</v>
      </c>
      <c r="H5" s="35">
        <v>130050</v>
      </c>
      <c r="I5" s="40">
        <v>11.3</v>
      </c>
      <c r="J5" s="40">
        <v>8.1999999999999993</v>
      </c>
      <c r="K5" s="18">
        <v>8</v>
      </c>
      <c r="L5" s="41">
        <f t="shared" si="3"/>
        <v>42.477876106194685</v>
      </c>
      <c r="M5" s="17">
        <v>120</v>
      </c>
      <c r="N5" s="17">
        <f>15+15+15+15+15</f>
        <v>75</v>
      </c>
      <c r="O5" s="17">
        <v>535</v>
      </c>
      <c r="P5" s="47" t="s">
        <v>213</v>
      </c>
      <c r="Q5" s="10">
        <f>185+720+720+720+720+145+120+535</f>
        <v>3865</v>
      </c>
      <c r="R5" s="19">
        <f>3.5+1.7+1.2+1.1+0.9+1.9</f>
        <v>10.3</v>
      </c>
      <c r="S5" s="59">
        <f t="shared" si="4"/>
        <v>9.658574094391463E-3</v>
      </c>
      <c r="T5" s="11">
        <f t="shared" si="0"/>
        <v>0.94058179723502311</v>
      </c>
      <c r="U5" s="11">
        <f t="shared" si="1"/>
        <v>0.99043382154897786</v>
      </c>
      <c r="V5" s="11">
        <f t="shared" si="2"/>
        <v>0.9315840239148897</v>
      </c>
      <c r="W5" s="7"/>
      <c r="X5" s="21" t="s">
        <v>91</v>
      </c>
      <c r="Y5" s="14">
        <v>535</v>
      </c>
      <c r="Z5" s="12"/>
      <c r="AA5" s="14"/>
      <c r="AB5" s="29" t="s">
        <v>101</v>
      </c>
      <c r="AC5" s="18">
        <f>10+25+10+10+25</f>
        <v>80</v>
      </c>
    </row>
    <row r="6" spans="1:29" ht="15.75" x14ac:dyDescent="0.25">
      <c r="A6" s="58"/>
      <c r="B6" s="2" t="s">
        <v>81</v>
      </c>
      <c r="C6" s="2" t="str">
        <f>VLOOKUP(B6,Setup!A:B,2,)</f>
        <v>Glossy Spray Cap, Vertical Spray, 52mm, Shape #1</v>
      </c>
      <c r="D6" s="2" t="s">
        <v>160</v>
      </c>
      <c r="E6" s="3" t="s">
        <v>44</v>
      </c>
      <c r="F6" s="20"/>
      <c r="G6" s="33">
        <f>136350+4050</f>
        <v>140400</v>
      </c>
      <c r="H6" s="35">
        <f>136350+4050</f>
        <v>140400</v>
      </c>
      <c r="I6" s="40">
        <v>11.3</v>
      </c>
      <c r="J6" s="40">
        <v>8.1999999999999993</v>
      </c>
      <c r="K6" s="18">
        <v>8</v>
      </c>
      <c r="L6" s="41">
        <f t="shared" si="3"/>
        <v>42.477876106194685</v>
      </c>
      <c r="M6" s="17">
        <v>45</v>
      </c>
      <c r="N6" s="17">
        <f>15+15+15+15</f>
        <v>60</v>
      </c>
      <c r="O6" s="17"/>
      <c r="P6" s="47"/>
      <c r="Q6" s="10">
        <f>575+720+720+720+720+110</f>
        <v>3565</v>
      </c>
      <c r="R6" s="19">
        <f>9+1.3+2.9+1+1.2+3.7</f>
        <v>19.100000000000001</v>
      </c>
      <c r="S6" s="59">
        <f t="shared" si="4"/>
        <v>1.6590230004864152E-2</v>
      </c>
      <c r="T6" s="11">
        <f t="shared" si="0"/>
        <v>0.94300998573466488</v>
      </c>
      <c r="U6" s="11">
        <f t="shared" si="1"/>
        <v>0.98368051402108714</v>
      </c>
      <c r="V6" s="11">
        <f t="shared" si="2"/>
        <v>0.92762054749449319</v>
      </c>
      <c r="W6" s="7"/>
      <c r="X6" s="14"/>
      <c r="Y6" s="14"/>
      <c r="Z6" s="12"/>
      <c r="AA6" s="14"/>
      <c r="AB6" s="29"/>
      <c r="AC6" s="18">
        <f>10+25+10+15</f>
        <v>60</v>
      </c>
    </row>
    <row r="7" spans="1:29" ht="15.75" x14ac:dyDescent="0.25">
      <c r="A7" s="58"/>
      <c r="B7" s="2" t="s">
        <v>81</v>
      </c>
      <c r="C7" s="2" t="str">
        <f>VLOOKUP(B7,Setup!A:B,2,)</f>
        <v>Glossy Spray Cap, Vertical Spray, 52mm, Shape #1</v>
      </c>
      <c r="D7" s="2" t="s">
        <v>161</v>
      </c>
      <c r="E7" s="3" t="s">
        <v>28</v>
      </c>
      <c r="F7" s="20"/>
      <c r="G7" s="33">
        <v>35100</v>
      </c>
      <c r="H7" s="35">
        <v>35100</v>
      </c>
      <c r="I7" s="40">
        <v>11.3</v>
      </c>
      <c r="J7" s="40">
        <v>8.1999999999999993</v>
      </c>
      <c r="K7" s="18">
        <v>8</v>
      </c>
      <c r="L7" s="41">
        <f t="shared" si="3"/>
        <v>42.477876106194685</v>
      </c>
      <c r="M7" s="17">
        <f>15</f>
        <v>15</v>
      </c>
      <c r="N7" s="17">
        <f>15+15</f>
        <v>30</v>
      </c>
      <c r="O7" s="17"/>
      <c r="P7" s="47"/>
      <c r="Q7" s="17">
        <f>610+260</f>
        <v>870</v>
      </c>
      <c r="R7" s="19">
        <f>1.3+8.7</f>
        <v>10</v>
      </c>
      <c r="S7" s="59">
        <f t="shared" si="4"/>
        <v>3.4743937182961572E-2</v>
      </c>
      <c r="T7" s="11">
        <f t="shared" si="0"/>
        <v>0.98370535714285723</v>
      </c>
      <c r="U7" s="11">
        <f t="shared" si="1"/>
        <v>0.96642267141226246</v>
      </c>
      <c r="V7" s="11">
        <f t="shared" si="2"/>
        <v>0.95067515913255385</v>
      </c>
      <c r="W7" s="7"/>
      <c r="X7" s="14"/>
      <c r="Y7" s="14"/>
      <c r="Z7" s="12"/>
      <c r="AA7" s="14"/>
      <c r="AB7" s="29"/>
      <c r="AC7" s="18">
        <f>10+10</f>
        <v>20</v>
      </c>
    </row>
    <row r="8" spans="1:29" ht="15.75" x14ac:dyDescent="0.25">
      <c r="A8" s="58"/>
      <c r="B8" s="2" t="s">
        <v>81</v>
      </c>
      <c r="C8" s="2" t="str">
        <f>VLOOKUP(B8,Setup!A:B,2,)</f>
        <v>Glossy Spray Cap, Vertical Spray, 52mm, Shape #1</v>
      </c>
      <c r="D8" s="2" t="s">
        <v>156</v>
      </c>
      <c r="E8" s="3" t="s">
        <v>24</v>
      </c>
      <c r="F8" s="16"/>
      <c r="G8" s="33">
        <v>40050</v>
      </c>
      <c r="H8" s="35">
        <v>40050</v>
      </c>
      <c r="I8" s="40">
        <v>11.3</v>
      </c>
      <c r="J8" s="40">
        <v>8.1999999999999993</v>
      </c>
      <c r="K8" s="18">
        <v>8</v>
      </c>
      <c r="L8" s="41">
        <f t="shared" si="3"/>
        <v>42.477876106194685</v>
      </c>
      <c r="M8" s="17">
        <v>20</v>
      </c>
      <c r="N8" s="17">
        <v>15</v>
      </c>
      <c r="O8" s="17"/>
      <c r="P8" s="47"/>
      <c r="Q8" s="17">
        <f>460+525</f>
        <v>985</v>
      </c>
      <c r="R8" s="19">
        <v>2</v>
      </c>
      <c r="S8" s="59">
        <f t="shared" si="4"/>
        <v>6.0899485399348368E-3</v>
      </c>
      <c r="T8" s="11">
        <f t="shared" si="0"/>
        <v>0.9720038659793816</v>
      </c>
      <c r="U8" s="11">
        <f t="shared" si="1"/>
        <v>0.99394691443963556</v>
      </c>
      <c r="V8" s="11">
        <f t="shared" si="2"/>
        <v>0.96612024341360336</v>
      </c>
      <c r="W8" s="7"/>
      <c r="X8" s="14"/>
      <c r="Y8" s="14"/>
      <c r="Z8" s="12"/>
      <c r="AA8" s="14"/>
      <c r="AB8" s="29"/>
      <c r="AC8" s="18">
        <v>10</v>
      </c>
    </row>
    <row r="9" spans="1:29" ht="15.75" x14ac:dyDescent="0.25">
      <c r="A9" s="58"/>
      <c r="B9" s="2" t="s">
        <v>81</v>
      </c>
      <c r="C9" s="2" t="str">
        <f>VLOOKUP(B9,Setup!A:B,2,)</f>
        <v>Glossy Spray Cap, Vertical Spray, 52mm, Shape #1</v>
      </c>
      <c r="D9" s="2" t="s">
        <v>162</v>
      </c>
      <c r="E9" s="4" t="s">
        <v>22</v>
      </c>
      <c r="F9" s="16"/>
      <c r="G9" s="33">
        <v>80100</v>
      </c>
      <c r="H9" s="35">
        <v>80100</v>
      </c>
      <c r="I9" s="40">
        <v>11.3</v>
      </c>
      <c r="J9" s="40">
        <v>8.1999999999999993</v>
      </c>
      <c r="K9" s="18">
        <v>8</v>
      </c>
      <c r="L9" s="41">
        <f t="shared" si="3"/>
        <v>42.477876106194685</v>
      </c>
      <c r="M9" s="17">
        <v>20</v>
      </c>
      <c r="N9" s="17">
        <f>15+15</f>
        <v>30</v>
      </c>
      <c r="O9" s="17"/>
      <c r="P9" s="47"/>
      <c r="Q9" s="17">
        <f>195+720+720+330</f>
        <v>1965</v>
      </c>
      <c r="R9" s="19">
        <f>2.3+1.7+1</f>
        <v>5</v>
      </c>
      <c r="S9" s="59">
        <f t="shared" si="4"/>
        <v>7.6124356749185463E-3</v>
      </c>
      <c r="T9" s="11">
        <f t="shared" si="0"/>
        <v>0.97451550387596919</v>
      </c>
      <c r="U9" s="11">
        <f t="shared" si="1"/>
        <v>0.99244507570034146</v>
      </c>
      <c r="V9" s="11">
        <f t="shared" si="2"/>
        <v>0.96715311301534268</v>
      </c>
      <c r="W9" s="7"/>
      <c r="X9" s="14"/>
      <c r="Y9" s="14"/>
      <c r="Z9" s="12"/>
      <c r="AA9" s="14"/>
      <c r="AB9" s="29"/>
      <c r="AC9" s="18">
        <f>10+10</f>
        <v>20</v>
      </c>
    </row>
    <row r="10" spans="1:29" ht="15.75" x14ac:dyDescent="0.25">
      <c r="A10" s="58"/>
      <c r="B10" s="2" t="s">
        <v>81</v>
      </c>
      <c r="C10" s="2" t="str">
        <f>VLOOKUP(B10,Setup!A:B,2,)</f>
        <v>Glossy Spray Cap, Vertical Spray, 52mm, Shape #1</v>
      </c>
      <c r="D10" s="2" t="s">
        <v>163</v>
      </c>
      <c r="E10" s="3" t="s">
        <v>47</v>
      </c>
      <c r="F10" s="9"/>
      <c r="G10" s="33">
        <v>40050</v>
      </c>
      <c r="H10" s="35">
        <v>40050</v>
      </c>
      <c r="I10" s="40">
        <v>11.3</v>
      </c>
      <c r="J10" s="40">
        <v>8.1999999999999993</v>
      </c>
      <c r="K10" s="18">
        <v>8</v>
      </c>
      <c r="L10" s="41">
        <f t="shared" si="3"/>
        <v>42.477876106194685</v>
      </c>
      <c r="M10" s="17">
        <v>30</v>
      </c>
      <c r="N10" s="17">
        <v>15</v>
      </c>
      <c r="O10" s="17"/>
      <c r="P10" s="47"/>
      <c r="Q10" s="17">
        <f>395+690</f>
        <v>1085</v>
      </c>
      <c r="R10" s="19">
        <f>10.7+2.3</f>
        <v>13</v>
      </c>
      <c r="S10" s="59">
        <f t="shared" si="4"/>
        <v>3.9584665509576442E-2</v>
      </c>
      <c r="T10" s="11">
        <f t="shared" si="0"/>
        <v>0.88116238317757012</v>
      </c>
      <c r="U10" s="11">
        <f t="shared" si="1"/>
        <v>0.96192261503763798</v>
      </c>
      <c r="V10" s="11">
        <f t="shared" si="2"/>
        <v>0.84761002389896545</v>
      </c>
      <c r="W10" s="7"/>
      <c r="X10" s="14"/>
      <c r="Y10" s="14"/>
      <c r="Z10" s="12"/>
      <c r="AA10" s="14"/>
      <c r="AB10" s="29"/>
      <c r="AC10" s="18">
        <v>25</v>
      </c>
    </row>
    <row r="11" spans="1:29" ht="15.75" x14ac:dyDescent="0.25">
      <c r="A11" s="58"/>
      <c r="B11" s="2" t="s">
        <v>81</v>
      </c>
      <c r="C11" s="2" t="str">
        <f>VLOOKUP(B11,Setup!A:B,2,)</f>
        <v>Glossy Spray Cap, Vertical Spray, 52mm, Shape #1</v>
      </c>
      <c r="D11" s="2" t="s">
        <v>163</v>
      </c>
      <c r="E11" s="5" t="s">
        <v>3</v>
      </c>
      <c r="F11" s="9"/>
      <c r="G11" s="33">
        <v>90000</v>
      </c>
      <c r="H11" s="35">
        <v>90000</v>
      </c>
      <c r="I11" s="40">
        <v>11.3</v>
      </c>
      <c r="J11" s="40">
        <v>8.1999999999999993</v>
      </c>
      <c r="K11" s="18">
        <v>8</v>
      </c>
      <c r="L11" s="41">
        <f t="shared" si="3"/>
        <v>42.477876106194685</v>
      </c>
      <c r="M11" s="17">
        <v>20</v>
      </c>
      <c r="N11" s="17">
        <f>15+15+15</f>
        <v>45</v>
      </c>
      <c r="O11" s="17"/>
      <c r="P11" s="47"/>
      <c r="Q11" s="17">
        <f>30+720+720+720</f>
        <v>2190</v>
      </c>
      <c r="R11" s="19">
        <f>7.6+1.2+3.1+0.8</f>
        <v>12.7</v>
      </c>
      <c r="S11" s="59">
        <f t="shared" si="4"/>
        <v>1.7208672086720868E-2</v>
      </c>
      <c r="T11" s="11">
        <f t="shared" si="0"/>
        <v>0.98776223776223782</v>
      </c>
      <c r="U11" s="11">
        <f t="shared" si="1"/>
        <v>0.98308245637405089</v>
      </c>
      <c r="V11" s="11">
        <f t="shared" si="2"/>
        <v>0.97105172701283005</v>
      </c>
      <c r="W11" s="7"/>
      <c r="X11" s="14"/>
      <c r="Y11" s="14"/>
      <c r="Z11" s="12"/>
      <c r="AA11" s="14"/>
      <c r="AB11" s="29"/>
      <c r="AC11" s="18">
        <f>25+15+10</f>
        <v>50</v>
      </c>
    </row>
    <row r="12" spans="1:29" ht="15.75" x14ac:dyDescent="0.25">
      <c r="A12" s="58"/>
      <c r="B12" s="2" t="s">
        <v>81</v>
      </c>
      <c r="C12" s="2" t="str">
        <f>VLOOKUP(B12,Setup!A:B,2,)</f>
        <v>Glossy Spray Cap, Vertical Spray, 52mm, Shape #1</v>
      </c>
      <c r="D12" s="2" t="s">
        <v>156</v>
      </c>
      <c r="E12" s="4" t="s">
        <v>2</v>
      </c>
      <c r="F12" s="9"/>
      <c r="G12" s="33">
        <v>20250</v>
      </c>
      <c r="H12" s="35">
        <v>20250</v>
      </c>
      <c r="I12" s="40">
        <v>11.3</v>
      </c>
      <c r="J12" s="40">
        <v>8.1999999999999993</v>
      </c>
      <c r="K12" s="18">
        <v>8</v>
      </c>
      <c r="L12" s="41">
        <f t="shared" si="3"/>
        <v>42.477876106194685</v>
      </c>
      <c r="M12" s="17">
        <v>30</v>
      </c>
      <c r="N12" s="17">
        <v>30</v>
      </c>
      <c r="O12" s="17"/>
      <c r="P12" s="47"/>
      <c r="Q12" s="10">
        <f>510</f>
        <v>510</v>
      </c>
      <c r="R12" s="19">
        <v>8.3000000000000007</v>
      </c>
      <c r="S12" s="59">
        <f t="shared" si="4"/>
        <v>4.9984944293887383E-2</v>
      </c>
      <c r="T12" s="11">
        <f t="shared" si="0"/>
        <v>0.9931640625</v>
      </c>
      <c r="U12" s="11">
        <f t="shared" si="1"/>
        <v>0.95239460854602809</v>
      </c>
      <c r="V12" s="11">
        <f t="shared" si="2"/>
        <v>0.94588409852667044</v>
      </c>
      <c r="W12" s="7"/>
      <c r="X12" s="14"/>
      <c r="Y12" s="14"/>
      <c r="Z12" s="12"/>
      <c r="AA12" s="14"/>
      <c r="AB12" s="29"/>
      <c r="AC12" s="18">
        <v>30</v>
      </c>
    </row>
    <row r="13" spans="1:29" ht="15.75" x14ac:dyDescent="0.25">
      <c r="A13" s="58"/>
      <c r="B13" s="2" t="s">
        <v>81</v>
      </c>
      <c r="C13" s="2" t="str">
        <f>VLOOKUP(B13,Setup!A:B,2,)</f>
        <v>Glossy Spray Cap, Vertical Spray, 52mm, Shape #1</v>
      </c>
      <c r="D13" s="2" t="s">
        <v>157</v>
      </c>
      <c r="E13" s="3" t="s">
        <v>38</v>
      </c>
      <c r="F13" s="9"/>
      <c r="G13" s="33">
        <v>40050</v>
      </c>
      <c r="H13" s="35">
        <v>40050</v>
      </c>
      <c r="I13" s="40">
        <v>11.3</v>
      </c>
      <c r="J13" s="40">
        <v>8.1999999999999993</v>
      </c>
      <c r="K13" s="18">
        <v>8</v>
      </c>
      <c r="L13" s="41">
        <f t="shared" si="3"/>
        <v>42.477876106194685</v>
      </c>
      <c r="M13" s="17">
        <v>25</v>
      </c>
      <c r="N13" s="17"/>
      <c r="O13" s="17"/>
      <c r="P13" s="47"/>
      <c r="Q13" s="43">
        <f>210+720+75</f>
        <v>1005</v>
      </c>
      <c r="R13" s="19">
        <f>7+3.6+1.7</f>
        <v>12.299999999999999</v>
      </c>
      <c r="S13" s="59">
        <f t="shared" si="4"/>
        <v>3.7453183520599245E-2</v>
      </c>
      <c r="T13" s="11">
        <f t="shared" si="0"/>
        <v>0.93815298507462697</v>
      </c>
      <c r="U13" s="11">
        <f t="shared" si="1"/>
        <v>0.96389891696750907</v>
      </c>
      <c r="V13" s="11">
        <f t="shared" si="2"/>
        <v>0.90428464626326865</v>
      </c>
      <c r="W13" s="7"/>
      <c r="X13" s="14"/>
      <c r="Y13" s="14"/>
      <c r="Z13" s="12"/>
      <c r="AA13" s="14"/>
      <c r="AB13" s="29"/>
      <c r="AC13" s="18">
        <f>25+10</f>
        <v>35</v>
      </c>
    </row>
    <row r="14" spans="1:29" ht="15.75" x14ac:dyDescent="0.25">
      <c r="A14" s="58"/>
      <c r="B14" s="2" t="s">
        <v>81</v>
      </c>
      <c r="C14" s="2" t="str">
        <f>VLOOKUP(B14,Setup!A:B,2,)</f>
        <v>Glossy Spray Cap, Vertical Spray, 52mm, Shape #1</v>
      </c>
      <c r="D14" s="2" t="s">
        <v>164</v>
      </c>
      <c r="E14" s="3" t="s">
        <v>36</v>
      </c>
      <c r="F14" s="16"/>
      <c r="G14" s="33">
        <v>40050</v>
      </c>
      <c r="H14" s="35">
        <v>40050</v>
      </c>
      <c r="I14" s="40">
        <v>11.3</v>
      </c>
      <c r="J14" s="40">
        <v>8.1999999999999993</v>
      </c>
      <c r="K14" s="18">
        <v>8</v>
      </c>
      <c r="L14" s="41">
        <f t="shared" si="3"/>
        <v>42.477876106194685</v>
      </c>
      <c r="M14" s="17">
        <v>20</v>
      </c>
      <c r="N14" s="17">
        <v>15</v>
      </c>
      <c r="O14" s="17"/>
      <c r="P14" s="47"/>
      <c r="Q14" s="17">
        <f>645+350</f>
        <v>995</v>
      </c>
      <c r="R14" s="19">
        <f>6+4</f>
        <v>10</v>
      </c>
      <c r="S14" s="59">
        <f t="shared" si="4"/>
        <v>3.0449742699674185E-2</v>
      </c>
      <c r="T14" s="11">
        <f t="shared" si="0"/>
        <v>0.96208545918367361</v>
      </c>
      <c r="U14" s="11">
        <f t="shared" si="1"/>
        <v>0.970450045802429</v>
      </c>
      <c r="V14" s="11">
        <f t="shared" si="2"/>
        <v>0.93365587793064697</v>
      </c>
      <c r="W14" s="7"/>
      <c r="X14" s="14"/>
      <c r="Y14" s="14"/>
      <c r="Z14" s="12"/>
      <c r="AA14" s="14"/>
      <c r="AB14" s="29"/>
      <c r="AC14" s="18">
        <v>40</v>
      </c>
    </row>
    <row r="15" spans="1:29" ht="15.75" x14ac:dyDescent="0.25">
      <c r="A15" s="58"/>
      <c r="B15" s="2" t="s">
        <v>81</v>
      </c>
      <c r="C15" s="2" t="str">
        <f>VLOOKUP(B15,Setup!A:B,2,)</f>
        <v>Glossy Spray Cap, Vertical Spray, 52mm, Shape #1</v>
      </c>
      <c r="D15" s="2" t="s">
        <v>156</v>
      </c>
      <c r="E15" s="3" t="s">
        <v>24</v>
      </c>
      <c r="F15" s="16"/>
      <c r="G15" s="33">
        <f>13050+87300</f>
        <v>100350</v>
      </c>
      <c r="H15" s="35">
        <f>13050+87300</f>
        <v>100350</v>
      </c>
      <c r="I15" s="40">
        <v>11.3</v>
      </c>
      <c r="J15" s="40">
        <v>8.1999999999999993</v>
      </c>
      <c r="K15" s="18">
        <v>8</v>
      </c>
      <c r="L15" s="41">
        <f t="shared" si="3"/>
        <v>42.477876106194685</v>
      </c>
      <c r="M15" s="17">
        <v>55</v>
      </c>
      <c r="N15" s="17">
        <f>15+15+15</f>
        <v>45</v>
      </c>
      <c r="O15" s="17"/>
      <c r="P15" s="47"/>
      <c r="Q15" s="17">
        <f>310+720+720+700</f>
        <v>2450</v>
      </c>
      <c r="R15" s="19">
        <f>2.6+1+1.5+3</f>
        <v>8.1</v>
      </c>
      <c r="S15" s="59">
        <f t="shared" si="4"/>
        <v>9.8435961938094733E-3</v>
      </c>
      <c r="T15" s="11">
        <f t="shared" si="0"/>
        <v>0.9822895010395013</v>
      </c>
      <c r="U15" s="11">
        <f t="shared" si="1"/>
        <v>0.99025235568071046</v>
      </c>
      <c r="V15" s="11">
        <f t="shared" si="2"/>
        <v>0.9727144923647959</v>
      </c>
      <c r="W15" s="7"/>
      <c r="X15" s="14"/>
      <c r="Y15" s="14"/>
      <c r="Z15" s="12"/>
      <c r="AA15" s="14"/>
      <c r="AB15" s="29"/>
      <c r="AC15" s="18">
        <f>10+10+15</f>
        <v>35</v>
      </c>
    </row>
    <row r="16" spans="1:29" ht="15.75" x14ac:dyDescent="0.25">
      <c r="A16" s="58"/>
      <c r="B16" s="2" t="s">
        <v>81</v>
      </c>
      <c r="C16" s="2" t="str">
        <f>VLOOKUP(B16,Setup!A:B,2,)</f>
        <v>Glossy Spray Cap, Vertical Spray, 52mm, Shape #1</v>
      </c>
      <c r="D16" s="2" t="s">
        <v>157</v>
      </c>
      <c r="E16" s="2" t="s">
        <v>43</v>
      </c>
      <c r="F16" s="9"/>
      <c r="G16" s="33">
        <v>30150</v>
      </c>
      <c r="H16" s="35">
        <v>30150</v>
      </c>
      <c r="I16" s="40">
        <v>11.3</v>
      </c>
      <c r="J16" s="40">
        <v>8.1999999999999993</v>
      </c>
      <c r="K16" s="18">
        <v>8</v>
      </c>
      <c r="L16" s="41">
        <f t="shared" si="3"/>
        <v>42.477876106194685</v>
      </c>
      <c r="M16" s="17">
        <v>20</v>
      </c>
      <c r="N16" s="17">
        <v>15</v>
      </c>
      <c r="O16" s="17"/>
      <c r="P16" s="47"/>
      <c r="Q16" s="17">
        <f>720+20</f>
        <v>740</v>
      </c>
      <c r="R16" s="19">
        <f>7.2+1.8</f>
        <v>9</v>
      </c>
      <c r="S16" s="59">
        <f t="shared" si="4"/>
        <v>3.6403349108117954E-2</v>
      </c>
      <c r="T16" s="11">
        <f t="shared" si="0"/>
        <v>0.97900862068965533</v>
      </c>
      <c r="U16" s="11">
        <f t="shared" si="1"/>
        <v>0.96487530734106075</v>
      </c>
      <c r="V16" s="11">
        <f t="shared" si="2"/>
        <v>0.94462124377747914</v>
      </c>
      <c r="W16" s="7"/>
      <c r="X16" s="14"/>
      <c r="Y16" s="14"/>
      <c r="Z16" s="12"/>
      <c r="AA16" s="14"/>
      <c r="AB16" s="29"/>
      <c r="AC16" s="18">
        <v>10</v>
      </c>
    </row>
    <row r="17" spans="1:29" ht="15.75" x14ac:dyDescent="0.25">
      <c r="A17" s="58"/>
      <c r="B17" s="2" t="s">
        <v>81</v>
      </c>
      <c r="C17" s="2" t="str">
        <f>VLOOKUP(B17,Setup!A:B,2,)</f>
        <v>Glossy Spray Cap, Vertical Spray, 52mm, Shape #1</v>
      </c>
      <c r="D17" s="2" t="s">
        <v>159</v>
      </c>
      <c r="E17" s="3" t="s">
        <v>18</v>
      </c>
      <c r="F17" s="16"/>
      <c r="G17" s="33">
        <v>45000</v>
      </c>
      <c r="H17" s="35">
        <v>45000</v>
      </c>
      <c r="I17" s="40">
        <v>11.3</v>
      </c>
      <c r="J17" s="40">
        <v>8.1999999999999993</v>
      </c>
      <c r="K17" s="18">
        <v>8</v>
      </c>
      <c r="L17" s="41">
        <f t="shared" si="3"/>
        <v>42.477876106194685</v>
      </c>
      <c r="M17" s="17">
        <v>20</v>
      </c>
      <c r="N17" s="17">
        <v>15</v>
      </c>
      <c r="O17" s="17"/>
      <c r="P17" s="47"/>
      <c r="Q17" s="17">
        <f>690+415</f>
        <v>1105</v>
      </c>
      <c r="R17" s="19">
        <f>6+1.2</f>
        <v>7.2</v>
      </c>
      <c r="S17" s="59">
        <f t="shared" si="4"/>
        <v>1.9512195121951223E-2</v>
      </c>
      <c r="T17" s="11">
        <f t="shared" si="0"/>
        <v>0.97190366972477082</v>
      </c>
      <c r="U17" s="11">
        <f t="shared" si="1"/>
        <v>0.98086124401913877</v>
      </c>
      <c r="V17" s="11">
        <f t="shared" si="2"/>
        <v>0.9533026425530049</v>
      </c>
      <c r="W17" s="7"/>
      <c r="X17" s="14"/>
      <c r="Y17" s="14"/>
      <c r="Z17" s="12"/>
      <c r="AA17" s="14"/>
      <c r="AB17" s="29"/>
      <c r="AC17" s="18">
        <v>10</v>
      </c>
    </row>
    <row r="18" spans="1:29" ht="15.75" x14ac:dyDescent="0.25">
      <c r="A18" s="58"/>
      <c r="B18" s="2" t="s">
        <v>81</v>
      </c>
      <c r="C18" s="2" t="str">
        <f>VLOOKUP(B18,Setup!A:B,2,)</f>
        <v>Glossy Spray Cap, Vertical Spray, 52mm, Shape #1</v>
      </c>
      <c r="D18" s="2" t="s">
        <v>162</v>
      </c>
      <c r="E18" s="4" t="s">
        <v>22</v>
      </c>
      <c r="F18" s="9"/>
      <c r="G18" s="33">
        <v>70200</v>
      </c>
      <c r="H18" s="35">
        <v>70200</v>
      </c>
      <c r="I18" s="40">
        <v>11.3</v>
      </c>
      <c r="J18" s="40">
        <v>8.1999999999999993</v>
      </c>
      <c r="K18" s="18">
        <v>8</v>
      </c>
      <c r="L18" s="41">
        <f t="shared" si="3"/>
        <v>42.477876106194685</v>
      </c>
      <c r="M18" s="17">
        <v>25</v>
      </c>
      <c r="N18" s="17">
        <v>15</v>
      </c>
      <c r="O18" s="17"/>
      <c r="P18" s="47"/>
      <c r="Q18" s="10">
        <f>305+720+720+40</f>
        <v>1785</v>
      </c>
      <c r="R18" s="19">
        <f>7.1+0.8+1.6+7.8</f>
        <v>17.3</v>
      </c>
      <c r="S18" s="59">
        <f t="shared" si="4"/>
        <v>3.0053505663261763E-2</v>
      </c>
      <c r="T18" s="11">
        <f t="shared" si="0"/>
        <v>0.93368644067796625</v>
      </c>
      <c r="U18" s="11">
        <f t="shared" si="1"/>
        <v>0.97082335480824367</v>
      </c>
      <c r="V18" s="11">
        <f t="shared" si="2"/>
        <v>0.90644460267795135</v>
      </c>
      <c r="W18" s="7"/>
      <c r="X18" s="14"/>
      <c r="Y18" s="14"/>
      <c r="Z18" s="12"/>
      <c r="AA18" s="14"/>
      <c r="AB18" s="29"/>
      <c r="AC18" s="18">
        <v>25</v>
      </c>
    </row>
    <row r="19" spans="1:29" ht="15.75" x14ac:dyDescent="0.25">
      <c r="A19" s="58"/>
      <c r="B19" s="2" t="s">
        <v>81</v>
      </c>
      <c r="C19" s="2" t="str">
        <f>VLOOKUP(B19,Setup!A:B,2,)</f>
        <v>Glossy Spray Cap, Vertical Spray, 52mm, Shape #1</v>
      </c>
      <c r="D19" s="2" t="s">
        <v>157</v>
      </c>
      <c r="E19" s="3" t="s">
        <v>47</v>
      </c>
      <c r="F19" s="9"/>
      <c r="G19" s="33">
        <v>25200</v>
      </c>
      <c r="H19" s="35">
        <v>25200</v>
      </c>
      <c r="I19" s="40">
        <v>11.3</v>
      </c>
      <c r="J19" s="40">
        <v>8.1999999999999993</v>
      </c>
      <c r="K19" s="18">
        <v>8</v>
      </c>
      <c r="L19" s="41">
        <f t="shared" si="3"/>
        <v>42.477876106194685</v>
      </c>
      <c r="M19" s="17">
        <v>70</v>
      </c>
      <c r="N19" s="17">
        <f>15+15</f>
        <v>30</v>
      </c>
      <c r="O19" s="17"/>
      <c r="P19" s="47"/>
      <c r="Q19" s="10">
        <f>620+55</f>
        <v>675</v>
      </c>
      <c r="R19" s="19">
        <v>1.7</v>
      </c>
      <c r="S19" s="59">
        <f t="shared" si="4"/>
        <v>8.2268679829655446E-3</v>
      </c>
      <c r="T19" s="11">
        <f t="shared" si="0"/>
        <v>0.91976744186046522</v>
      </c>
      <c r="U19" s="11">
        <f t="shared" si="1"/>
        <v>0.99184026111164447</v>
      </c>
      <c r="V19" s="11">
        <f t="shared" si="2"/>
        <v>0.91226237969687307</v>
      </c>
      <c r="W19" s="7"/>
      <c r="X19" s="21" t="s">
        <v>102</v>
      </c>
      <c r="Y19" s="14">
        <v>70</v>
      </c>
      <c r="Z19" s="12"/>
      <c r="AA19" s="14"/>
      <c r="AB19" s="29" t="s">
        <v>103</v>
      </c>
      <c r="AC19" s="18">
        <f>25+15</f>
        <v>40</v>
      </c>
    </row>
    <row r="20" spans="1:29" ht="15.75" x14ac:dyDescent="0.25">
      <c r="A20" s="58"/>
      <c r="B20" s="2" t="s">
        <v>81</v>
      </c>
      <c r="C20" s="2" t="str">
        <f>VLOOKUP(B20,Setup!A:B,2,)</f>
        <v>Glossy Spray Cap, Vertical Spray, 52mm, Shape #1</v>
      </c>
      <c r="D20" s="2" t="s">
        <v>160</v>
      </c>
      <c r="E20" s="3" t="s">
        <v>44</v>
      </c>
      <c r="F20" s="9"/>
      <c r="G20" s="33">
        <v>35100</v>
      </c>
      <c r="H20" s="35">
        <v>35100</v>
      </c>
      <c r="I20" s="40">
        <v>11.3</v>
      </c>
      <c r="J20" s="40">
        <v>8.1999999999999993</v>
      </c>
      <c r="K20" s="18">
        <v>8</v>
      </c>
      <c r="L20" s="41">
        <f t="shared" si="3"/>
        <v>42.477876106194685</v>
      </c>
      <c r="M20" s="17">
        <v>30</v>
      </c>
      <c r="N20" s="17">
        <v>15</v>
      </c>
      <c r="O20" s="17"/>
      <c r="P20" s="47"/>
      <c r="Q20" s="10">
        <f>665+250</f>
        <v>915</v>
      </c>
      <c r="R20" s="19">
        <f>9+2.5</f>
        <v>11.5</v>
      </c>
      <c r="S20" s="59">
        <f t="shared" si="4"/>
        <v>3.9955527760405812E-2</v>
      </c>
      <c r="T20" s="11">
        <f t="shared" si="0"/>
        <v>0.91812499999999997</v>
      </c>
      <c r="U20" s="11">
        <f t="shared" si="1"/>
        <v>0.96157958038219971</v>
      </c>
      <c r="V20" s="11">
        <f t="shared" si="2"/>
        <v>0.88285025223840707</v>
      </c>
      <c r="W20" s="7"/>
      <c r="X20" s="14"/>
      <c r="Y20" s="14"/>
      <c r="Z20" s="12"/>
      <c r="AA20" s="14"/>
      <c r="AB20" s="29"/>
      <c r="AC20" s="18">
        <v>25</v>
      </c>
    </row>
    <row r="21" spans="1:29" ht="15.75" x14ac:dyDescent="0.25">
      <c r="A21" s="58"/>
      <c r="B21" s="2" t="s">
        <v>81</v>
      </c>
      <c r="C21" s="2" t="str">
        <f>VLOOKUP(B21,Setup!A:B,2,)</f>
        <v>Glossy Spray Cap, Vertical Spray, 52mm, Shape #1</v>
      </c>
      <c r="D21" s="2" t="s">
        <v>156</v>
      </c>
      <c r="E21" s="3" t="s">
        <v>24</v>
      </c>
      <c r="F21" s="16"/>
      <c r="G21" s="33">
        <v>40050</v>
      </c>
      <c r="H21" s="35">
        <v>40050</v>
      </c>
      <c r="I21" s="40">
        <v>11.3</v>
      </c>
      <c r="J21" s="40">
        <v>8.1999999999999993</v>
      </c>
      <c r="K21" s="18">
        <v>8</v>
      </c>
      <c r="L21" s="41">
        <f t="shared" si="3"/>
        <v>42.477876106194685</v>
      </c>
      <c r="M21" s="17">
        <v>50</v>
      </c>
      <c r="N21" s="17">
        <v>15</v>
      </c>
      <c r="O21" s="17"/>
      <c r="P21" s="47"/>
      <c r="Q21" s="17">
        <f>470+585</f>
        <v>1055</v>
      </c>
      <c r="R21" s="19">
        <f>13.9+5.4</f>
        <v>19.3</v>
      </c>
      <c r="S21" s="59">
        <f t="shared" si="4"/>
        <v>5.8768003410371181E-2</v>
      </c>
      <c r="T21" s="11">
        <f t="shared" si="0"/>
        <v>0.90658052884615392</v>
      </c>
      <c r="U21" s="11">
        <f t="shared" si="1"/>
        <v>0.94449397486411091</v>
      </c>
      <c r="V21" s="11">
        <f t="shared" si="2"/>
        <v>0.8562598472243117</v>
      </c>
      <c r="W21" s="7"/>
      <c r="X21" s="21" t="s">
        <v>102</v>
      </c>
      <c r="Y21" s="14">
        <v>50</v>
      </c>
      <c r="Z21" s="12"/>
      <c r="AA21" s="14"/>
      <c r="AB21" s="29" t="s">
        <v>103</v>
      </c>
      <c r="AC21" s="18">
        <v>15</v>
      </c>
    </row>
    <row r="22" spans="1:29" ht="15.75" x14ac:dyDescent="0.25">
      <c r="A22" s="58"/>
      <c r="B22" s="2" t="s">
        <v>81</v>
      </c>
      <c r="C22" s="2" t="str">
        <f>VLOOKUP(B22,Setup!A:B,2,)</f>
        <v>Glossy Spray Cap, Vertical Spray, 52mm, Shape #1</v>
      </c>
      <c r="D22" s="2" t="s">
        <v>150</v>
      </c>
      <c r="E22" s="3" t="s">
        <v>46</v>
      </c>
      <c r="F22" s="9"/>
      <c r="G22" s="33">
        <v>19350</v>
      </c>
      <c r="H22" s="35">
        <v>19350</v>
      </c>
      <c r="I22" s="40">
        <v>11.3</v>
      </c>
      <c r="J22" s="40">
        <v>8.1999999999999993</v>
      </c>
      <c r="K22" s="18">
        <v>8</v>
      </c>
      <c r="L22" s="41">
        <f t="shared" si="3"/>
        <v>42.477876106194685</v>
      </c>
      <c r="M22" s="17">
        <v>15</v>
      </c>
      <c r="N22" s="17">
        <v>15</v>
      </c>
      <c r="O22" s="17"/>
      <c r="P22" s="47"/>
      <c r="Q22" s="10">
        <f>135+365</f>
        <v>500</v>
      </c>
      <c r="R22" s="19">
        <f>7.7+0.7</f>
        <v>8.4</v>
      </c>
      <c r="S22" s="59">
        <f t="shared" si="4"/>
        <v>5.2940064284363778E-2</v>
      </c>
      <c r="T22" s="11">
        <f t="shared" si="0"/>
        <v>0.93923969072164959</v>
      </c>
      <c r="U22" s="11">
        <f t="shared" si="1"/>
        <v>0.94972167355000903</v>
      </c>
      <c r="V22" s="11">
        <f t="shared" si="2"/>
        <v>0.89201629093675794</v>
      </c>
      <c r="W22" s="7"/>
      <c r="X22" s="14"/>
      <c r="Y22" s="14"/>
      <c r="Z22" s="12"/>
      <c r="AA22" s="14"/>
      <c r="AB22" s="29"/>
      <c r="AC22" s="18">
        <v>10</v>
      </c>
    </row>
    <row r="23" spans="1:29" ht="15.75" x14ac:dyDescent="0.25">
      <c r="A23" s="58"/>
      <c r="B23" s="2" t="s">
        <v>81</v>
      </c>
      <c r="C23" s="2" t="str">
        <f>VLOOKUP(B23,Setup!A:B,2,)</f>
        <v>Glossy Spray Cap, Vertical Spray, 52mm, Shape #1</v>
      </c>
      <c r="D23" s="2" t="s">
        <v>162</v>
      </c>
      <c r="E23" s="4" t="s">
        <v>22</v>
      </c>
      <c r="F23" s="16"/>
      <c r="G23" s="33">
        <f>42300+117900</f>
        <v>160200</v>
      </c>
      <c r="H23" s="35">
        <f>42300+117900</f>
        <v>160200</v>
      </c>
      <c r="I23" s="40">
        <v>11.3</v>
      </c>
      <c r="J23" s="40">
        <v>8.1999999999999993</v>
      </c>
      <c r="K23" s="18">
        <v>8</v>
      </c>
      <c r="L23" s="41">
        <f t="shared" si="3"/>
        <v>42.477876106194685</v>
      </c>
      <c r="M23" s="17">
        <v>20</v>
      </c>
      <c r="N23" s="17">
        <f>15+15+15+15+15+15</f>
        <v>90</v>
      </c>
      <c r="O23" s="17"/>
      <c r="P23" s="47"/>
      <c r="Q23" s="17">
        <f>355+720+720+720+665+720+190+55</f>
        <v>4145</v>
      </c>
      <c r="R23" s="19">
        <f>6.9+1.7+2.5+1.7+7+1+1.3</f>
        <v>22.099999999999998</v>
      </c>
      <c r="S23" s="59">
        <f t="shared" si="4"/>
        <v>1.6823482841569985E-2</v>
      </c>
      <c r="T23" s="11">
        <f t="shared" si="0"/>
        <v>0.93005548705302099</v>
      </c>
      <c r="U23" s="11">
        <f t="shared" si="1"/>
        <v>0.98345486397053317</v>
      </c>
      <c r="V23" s="11">
        <f t="shared" si="2"/>
        <v>0.91466759250477669</v>
      </c>
      <c r="W23" s="7"/>
      <c r="X23" s="12" t="s">
        <v>94</v>
      </c>
      <c r="Y23" s="14">
        <v>55</v>
      </c>
      <c r="Z23" s="12"/>
      <c r="AA23" s="14"/>
      <c r="AB23" s="29" t="s">
        <v>104</v>
      </c>
      <c r="AC23" s="18">
        <f>25+20+25+25+10+15</f>
        <v>120</v>
      </c>
    </row>
    <row r="24" spans="1:29" ht="15.75" x14ac:dyDescent="0.25">
      <c r="A24" s="58"/>
      <c r="B24" s="2" t="s">
        <v>81</v>
      </c>
      <c r="C24" s="2" t="str">
        <f>VLOOKUP(B24,Setup!A:B,2,)</f>
        <v>Glossy Spray Cap, Vertical Spray, 52mm, Shape #1</v>
      </c>
      <c r="D24" s="2" t="s">
        <v>152</v>
      </c>
      <c r="E24" s="3" t="s">
        <v>27</v>
      </c>
      <c r="F24" s="9"/>
      <c r="G24" s="33">
        <v>43200</v>
      </c>
      <c r="H24" s="35">
        <v>43200</v>
      </c>
      <c r="I24" s="40">
        <v>11.3</v>
      </c>
      <c r="J24" s="40">
        <v>8.1999999999999993</v>
      </c>
      <c r="K24" s="18">
        <v>8</v>
      </c>
      <c r="L24" s="41">
        <f t="shared" si="3"/>
        <v>42.477876106194685</v>
      </c>
      <c r="M24" s="17">
        <v>20</v>
      </c>
      <c r="N24" s="17">
        <v>15</v>
      </c>
      <c r="O24" s="17"/>
      <c r="P24" s="47"/>
      <c r="Q24" s="10">
        <f>530+530</f>
        <v>1060</v>
      </c>
      <c r="R24" s="19">
        <f>7+0.8</f>
        <v>7.8</v>
      </c>
      <c r="S24" s="59">
        <f t="shared" si="4"/>
        <v>2.2018970189701899E-2</v>
      </c>
      <c r="T24" s="11">
        <f t="shared" si="0"/>
        <v>0.97320574162679441</v>
      </c>
      <c r="U24" s="11">
        <f t="shared" si="1"/>
        <v>0.97845541929068613</v>
      </c>
      <c r="V24" s="11">
        <f t="shared" si="2"/>
        <v>0.95223843197954827</v>
      </c>
      <c r="W24" s="7"/>
      <c r="X24" s="14"/>
      <c r="Y24" s="14"/>
      <c r="Z24" s="12"/>
      <c r="AA24" s="14"/>
      <c r="AB24" s="29"/>
      <c r="AC24" s="18">
        <v>10</v>
      </c>
    </row>
    <row r="25" spans="1:29" ht="15.75" x14ac:dyDescent="0.25">
      <c r="A25" s="58"/>
      <c r="B25" s="2" t="s">
        <v>81</v>
      </c>
      <c r="C25" s="2" t="str">
        <f>VLOOKUP(B25,Setup!A:B,2,)</f>
        <v>Glossy Spray Cap, Vertical Spray, 52mm, Shape #1</v>
      </c>
      <c r="D25" s="2" t="s">
        <v>156</v>
      </c>
      <c r="E25" s="2" t="s">
        <v>25</v>
      </c>
      <c r="F25" s="9"/>
      <c r="G25" s="33">
        <v>43200</v>
      </c>
      <c r="H25" s="35">
        <v>43200</v>
      </c>
      <c r="I25" s="40">
        <v>11.3</v>
      </c>
      <c r="J25" s="40">
        <v>8.1999999999999993</v>
      </c>
      <c r="K25" s="18">
        <v>8</v>
      </c>
      <c r="L25" s="41">
        <f t="shared" si="3"/>
        <v>42.477876106194685</v>
      </c>
      <c r="M25" s="17">
        <v>20</v>
      </c>
      <c r="N25" s="17">
        <v>15</v>
      </c>
      <c r="O25" s="17"/>
      <c r="P25" s="47"/>
      <c r="Q25" s="17">
        <f>190+720+165</f>
        <v>1075</v>
      </c>
      <c r="R25" s="19">
        <f>6.9+2.2+2.5</f>
        <v>11.600000000000001</v>
      </c>
      <c r="S25" s="59">
        <f t="shared" si="4"/>
        <v>3.274616079494129E-2</v>
      </c>
      <c r="T25" s="11">
        <f t="shared" si="0"/>
        <v>0.95943396226415101</v>
      </c>
      <c r="U25" s="11">
        <f t="shared" si="1"/>
        <v>0.96829214957358412</v>
      </c>
      <c r="V25" s="11">
        <f t="shared" si="2"/>
        <v>0.92901237369465572</v>
      </c>
      <c r="W25" s="7"/>
      <c r="X25" s="14"/>
      <c r="Y25" s="14"/>
      <c r="Z25" s="12"/>
      <c r="AA25" s="14"/>
      <c r="AB25" s="29"/>
      <c r="AC25" s="18">
        <v>25</v>
      </c>
    </row>
    <row r="26" spans="1:29" ht="15.75" x14ac:dyDescent="0.25">
      <c r="A26" s="58"/>
      <c r="B26" s="2" t="s">
        <v>81</v>
      </c>
      <c r="C26" s="2" t="str">
        <f>VLOOKUP(B26,Setup!A:B,2,)</f>
        <v>Glossy Spray Cap, Vertical Spray, 52mm, Shape #1</v>
      </c>
      <c r="D26" s="2" t="s">
        <v>160</v>
      </c>
      <c r="E26" s="3" t="s">
        <v>44</v>
      </c>
      <c r="F26" s="9"/>
      <c r="G26" s="33">
        <v>196650</v>
      </c>
      <c r="H26" s="35">
        <v>196650</v>
      </c>
      <c r="I26" s="40">
        <v>11.3</v>
      </c>
      <c r="J26" s="40">
        <v>8.1999999999999993</v>
      </c>
      <c r="K26" s="18">
        <v>8</v>
      </c>
      <c r="L26" s="41">
        <f t="shared" si="3"/>
        <v>42.477876106194685</v>
      </c>
      <c r="M26" s="17">
        <v>15</v>
      </c>
      <c r="N26" s="17">
        <f>15+15+15+15+15</f>
        <v>75</v>
      </c>
      <c r="O26" s="17"/>
      <c r="P26" s="47"/>
      <c r="Q26" s="42">
        <f>555+720+720+720+720+720+720+30</f>
        <v>4905</v>
      </c>
      <c r="R26" s="19">
        <f>4.9+3.6+0.9+1.8+1.7+2.1+4.7+2.7+3.7</f>
        <v>26.099999999999998</v>
      </c>
      <c r="S26" s="59">
        <f t="shared" si="4"/>
        <v>1.6185745381481275E-2</v>
      </c>
      <c r="T26" s="11">
        <f t="shared" si="0"/>
        <v>0.95848214285714306</v>
      </c>
      <c r="U26" s="11">
        <f t="shared" si="1"/>
        <v>0.98407206019662763</v>
      </c>
      <c r="V26" s="11">
        <f t="shared" si="2"/>
        <v>0.94321549698310714</v>
      </c>
      <c r="W26" s="7"/>
      <c r="X26" s="14"/>
      <c r="Y26" s="14"/>
      <c r="Z26" s="12"/>
      <c r="AA26" s="14"/>
      <c r="AB26" s="29"/>
      <c r="AC26" s="18">
        <f>15+15+25+15+25</f>
        <v>95</v>
      </c>
    </row>
    <row r="27" spans="1:29" x14ac:dyDescent="0.25">
      <c r="G27" s="51">
        <f>SUM(G2:G26)</f>
        <v>1570500</v>
      </c>
      <c r="H27" s="51">
        <f>SUM(H2:H26)</f>
        <v>1570500</v>
      </c>
      <c r="M27" s="51">
        <f>SUM(M2:M26)</f>
        <v>765</v>
      </c>
      <c r="N27" s="51">
        <f t="shared" ref="N27:O27" si="5">SUM(N2:N26)</f>
        <v>720</v>
      </c>
      <c r="O27" s="51">
        <f t="shared" si="5"/>
        <v>535</v>
      </c>
      <c r="Q27" s="51">
        <f>SUM(Q2:Q26)</f>
        <v>40235</v>
      </c>
      <c r="R27" s="51">
        <f>SUM(R2:R26)</f>
        <v>273.8</v>
      </c>
      <c r="S27" s="51"/>
    </row>
  </sheetData>
  <autoFilter ref="A1:AA26" xr:uid="{C7B991B8-EEF6-4D5C-BA37-743E594A641C}"/>
  <mergeCells count="1">
    <mergeCell ref="A2:A26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8964-30B9-49E3-BB29-C9A3C1D82ED3}">
  <sheetPr>
    <pageSetUpPr fitToPage="1"/>
  </sheetPr>
  <dimension ref="A1:AC27"/>
  <sheetViews>
    <sheetView zoomScale="59" zoomScaleNormal="59" workbookViewId="0">
      <pane ySplit="1" topLeftCell="A2" activePane="bottomLeft" state="frozen"/>
      <selection pane="bottomLeft" activeCell="P38" sqref="P38"/>
    </sheetView>
  </sheetViews>
  <sheetFormatPr defaultRowHeight="15" x14ac:dyDescent="0.25"/>
  <cols>
    <col min="1" max="1" width="11.140625" customWidth="1"/>
    <col min="2" max="2" width="23" customWidth="1"/>
    <col min="3" max="3" width="75.5703125" customWidth="1"/>
    <col min="4" max="4" width="21.5703125" customWidth="1"/>
    <col min="5" max="5" width="11.28515625" customWidth="1"/>
    <col min="6" max="6" width="0" hidden="1" customWidth="1"/>
    <col min="7" max="8" width="13.85546875" customWidth="1"/>
    <col min="9" max="9" width="11.5703125" customWidth="1"/>
    <col min="10" max="10" width="11.140625" customWidth="1"/>
    <col min="11" max="11" width="12.28515625" customWidth="1"/>
    <col min="12" max="12" width="14.42578125" customWidth="1"/>
    <col min="13" max="13" width="15.42578125" customWidth="1"/>
    <col min="14" max="15" width="17.7109375" customWidth="1"/>
    <col min="16" max="16" width="53.42578125" customWidth="1"/>
    <col min="17" max="17" width="14.5703125" customWidth="1"/>
    <col min="18" max="18" width="10.28515625" customWidth="1"/>
    <col min="19" max="19" width="13.7109375" customWidth="1"/>
    <col min="20" max="21" width="10.28515625" customWidth="1"/>
    <col min="22" max="22" width="12.7109375" customWidth="1"/>
    <col min="23" max="23" width="2.28515625" hidden="1" customWidth="1"/>
    <col min="24" max="24" width="11" hidden="1" customWidth="1"/>
    <col min="25" max="25" width="14.28515625" hidden="1" customWidth="1"/>
    <col min="26" max="26" width="0" hidden="1" customWidth="1"/>
    <col min="27" max="27" width="14.85546875" hidden="1" customWidth="1"/>
    <col min="28" max="28" width="46" hidden="1" customWidth="1"/>
    <col min="29" max="29" width="17.7109375" hidden="1" customWidth="1"/>
    <col min="30" max="30" width="0" hidden="1" customWidth="1"/>
  </cols>
  <sheetData>
    <row r="1" spans="1:29" ht="96" customHeight="1" x14ac:dyDescent="0.25">
      <c r="A1" s="8" t="s">
        <v>133</v>
      </c>
      <c r="B1" s="31" t="s">
        <v>136</v>
      </c>
      <c r="C1" s="31" t="s">
        <v>136</v>
      </c>
      <c r="D1" s="31" t="s">
        <v>134</v>
      </c>
      <c r="E1" s="32" t="s">
        <v>135</v>
      </c>
      <c r="F1" s="8" t="s">
        <v>1</v>
      </c>
      <c r="G1" s="8" t="s">
        <v>194</v>
      </c>
      <c r="H1" s="8" t="s">
        <v>195</v>
      </c>
      <c r="I1" s="8" t="s">
        <v>207</v>
      </c>
      <c r="J1" s="8" t="s">
        <v>208</v>
      </c>
      <c r="K1" s="8" t="s">
        <v>210</v>
      </c>
      <c r="L1" s="8" t="s">
        <v>209</v>
      </c>
      <c r="M1" s="8" t="s">
        <v>137</v>
      </c>
      <c r="N1" s="8" t="s">
        <v>138</v>
      </c>
      <c r="O1" s="8" t="s">
        <v>139</v>
      </c>
      <c r="P1" s="8" t="s">
        <v>206</v>
      </c>
      <c r="Q1" s="8" t="s">
        <v>140</v>
      </c>
      <c r="R1" s="8" t="s">
        <v>141</v>
      </c>
      <c r="S1" s="8" t="s">
        <v>215</v>
      </c>
      <c r="T1" s="8" t="s">
        <v>113</v>
      </c>
      <c r="U1" s="8" t="s">
        <v>114</v>
      </c>
      <c r="V1" s="8" t="s">
        <v>0</v>
      </c>
      <c r="W1" s="7"/>
      <c r="X1" s="8" t="s">
        <v>79</v>
      </c>
      <c r="Y1" s="8" t="s">
        <v>112</v>
      </c>
      <c r="Z1" s="8" t="s">
        <v>79</v>
      </c>
      <c r="AA1" s="8" t="s">
        <v>112</v>
      </c>
      <c r="AB1" s="8" t="s">
        <v>90</v>
      </c>
      <c r="AC1" s="8" t="s">
        <v>115</v>
      </c>
    </row>
    <row r="2" spans="1:29" ht="15.75" x14ac:dyDescent="0.25">
      <c r="A2" s="58">
        <v>3</v>
      </c>
      <c r="B2" s="2" t="s">
        <v>81</v>
      </c>
      <c r="C2" s="2" t="str">
        <f>VLOOKUP(B2,Setup!A:B,2,)</f>
        <v>Glossy Spray Cap, Vertical Spray, 52mm, Shape #1</v>
      </c>
      <c r="D2" s="2" t="s">
        <v>163</v>
      </c>
      <c r="E2" s="5" t="s">
        <v>3</v>
      </c>
      <c r="F2" s="16"/>
      <c r="G2" s="33">
        <v>90000</v>
      </c>
      <c r="H2" s="35">
        <v>90000</v>
      </c>
      <c r="I2" s="40">
        <v>11.3</v>
      </c>
      <c r="J2" s="40">
        <v>8.1999999999999993</v>
      </c>
      <c r="K2" s="18">
        <v>8</v>
      </c>
      <c r="L2" s="41">
        <f>(60/I2)*K2</f>
        <v>42.477876106194685</v>
      </c>
      <c r="M2" s="17">
        <v>70</v>
      </c>
      <c r="N2" s="17">
        <f>15+15+15</f>
        <v>45</v>
      </c>
      <c r="O2" s="17"/>
      <c r="P2" s="47"/>
      <c r="Q2" s="42">
        <f>620+720+720+200+70</f>
        <v>2330</v>
      </c>
      <c r="R2" s="19">
        <f>7.4+1.3+0.7+0.7</f>
        <v>10.1</v>
      </c>
      <c r="S2" s="59">
        <f>R2/(G2*J2/1000)</f>
        <v>1.3685636856368566E-2</v>
      </c>
      <c r="T2" s="11">
        <f t="shared" ref="T2:T23" si="0">(H2/(L2*(Q2-N2-M2-O2)))*((Q2-N2-M2-O2)/(Q2-N2-O2))</f>
        <v>0.92724288840262603</v>
      </c>
      <c r="U2" s="11">
        <f t="shared" ref="U2:U22" si="1">(H2*J2/(H2*J2+R2*1000))</f>
        <v>0.98649913113220156</v>
      </c>
      <c r="V2" s="11">
        <f t="shared" ref="V2:V23" si="2">T2*U2</f>
        <v>0.91472430375770353</v>
      </c>
      <c r="W2" s="7"/>
      <c r="X2" s="12" t="s">
        <v>91</v>
      </c>
      <c r="Y2" s="14">
        <v>70</v>
      </c>
      <c r="Z2" s="12"/>
      <c r="AA2" s="14"/>
      <c r="AB2" s="29"/>
      <c r="AC2" s="18">
        <f>10+10+10</f>
        <v>30</v>
      </c>
    </row>
    <row r="3" spans="1:29" ht="15.75" x14ac:dyDescent="0.25">
      <c r="A3" s="58"/>
      <c r="B3" s="2" t="s">
        <v>81</v>
      </c>
      <c r="C3" s="2" t="str">
        <f>VLOOKUP(B3,Setup!A:B,2,)</f>
        <v>Glossy Spray Cap, Vertical Spray, 52mm, Shape #1</v>
      </c>
      <c r="D3" s="2" t="s">
        <v>163</v>
      </c>
      <c r="E3" s="3" t="s">
        <v>47</v>
      </c>
      <c r="F3" s="9"/>
      <c r="G3" s="33">
        <v>50400</v>
      </c>
      <c r="H3" s="35">
        <v>50400</v>
      </c>
      <c r="I3" s="40">
        <v>11.3</v>
      </c>
      <c r="J3" s="40">
        <v>8.1999999999999993</v>
      </c>
      <c r="K3" s="18">
        <v>8</v>
      </c>
      <c r="L3" s="41">
        <f t="shared" ref="L3:L26" si="3">(60/I3)*K3</f>
        <v>42.477876106194685</v>
      </c>
      <c r="M3" s="17">
        <v>15</v>
      </c>
      <c r="N3" s="17">
        <f>15+15</f>
        <v>30</v>
      </c>
      <c r="O3" s="17"/>
      <c r="P3" s="47"/>
      <c r="Q3" s="10">
        <f>530+720+55</f>
        <v>1305</v>
      </c>
      <c r="R3" s="19">
        <f>4.9+1.3+7.6</f>
        <v>13.8</v>
      </c>
      <c r="S3" s="59">
        <f t="shared" ref="S3:S26" si="4">R3/(G3*J3/1000)</f>
        <v>3.3391405342624865E-2</v>
      </c>
      <c r="T3" s="11">
        <f t="shared" si="0"/>
        <v>0.93058823529411783</v>
      </c>
      <c r="U3" s="11">
        <f t="shared" si="1"/>
        <v>0.96768755268333806</v>
      </c>
      <c r="V3" s="11">
        <f t="shared" si="2"/>
        <v>0.90051865196767122</v>
      </c>
      <c r="W3" s="7"/>
      <c r="X3" s="14"/>
      <c r="Y3" s="14"/>
      <c r="Z3" s="12"/>
      <c r="AA3" s="14"/>
      <c r="AB3" s="29"/>
      <c r="AC3" s="18">
        <f>25+10</f>
        <v>35</v>
      </c>
    </row>
    <row r="4" spans="1:29" ht="15.75" x14ac:dyDescent="0.25">
      <c r="A4" s="58"/>
      <c r="B4" s="2" t="s">
        <v>81</v>
      </c>
      <c r="C4" s="2" t="str">
        <f>VLOOKUP(B4,Setup!A:B,2,)</f>
        <v>Glossy Spray Cap, Vertical Spray, 52mm, Shape #1</v>
      </c>
      <c r="D4" s="2" t="s">
        <v>165</v>
      </c>
      <c r="E4" s="3" t="s">
        <v>40</v>
      </c>
      <c r="F4" s="9"/>
      <c r="G4" s="33">
        <v>20250</v>
      </c>
      <c r="H4" s="35">
        <v>20250</v>
      </c>
      <c r="I4" s="40">
        <v>11.3</v>
      </c>
      <c r="J4" s="40">
        <v>8.1999999999999993</v>
      </c>
      <c r="K4" s="18">
        <v>8</v>
      </c>
      <c r="L4" s="41">
        <f t="shared" si="3"/>
        <v>42.477876106194685</v>
      </c>
      <c r="M4" s="17">
        <f>20</f>
        <v>20</v>
      </c>
      <c r="N4" s="17"/>
      <c r="O4" s="17"/>
      <c r="P4" s="47"/>
      <c r="Q4" s="17">
        <v>505</v>
      </c>
      <c r="R4" s="19">
        <v>9.3000000000000007</v>
      </c>
      <c r="S4" s="59">
        <f t="shared" si="4"/>
        <v>5.6007226738934053E-2</v>
      </c>
      <c r="T4" s="11">
        <f t="shared" si="0"/>
        <v>0.94399752475247523</v>
      </c>
      <c r="U4" s="11">
        <f t="shared" si="1"/>
        <v>0.94696321642429426</v>
      </c>
      <c r="V4" s="11">
        <f t="shared" si="2"/>
        <v>0.89393093233617626</v>
      </c>
      <c r="W4" s="7"/>
      <c r="X4" s="14"/>
      <c r="Y4" s="14"/>
      <c r="Z4" s="12"/>
      <c r="AA4" s="14"/>
      <c r="AB4" s="29"/>
      <c r="AC4" s="18"/>
    </row>
    <row r="5" spans="1:29" ht="15.75" x14ac:dyDescent="0.25">
      <c r="A5" s="58"/>
      <c r="B5" s="2" t="s">
        <v>81</v>
      </c>
      <c r="C5" s="2" t="str">
        <f>VLOOKUP(B5,Setup!A:B,2,)</f>
        <v>Glossy Spray Cap, Vertical Spray, 52mm, Shape #1</v>
      </c>
      <c r="D5" s="2" t="s">
        <v>151</v>
      </c>
      <c r="E5" s="3" t="s">
        <v>39</v>
      </c>
      <c r="F5" s="9"/>
      <c r="G5" s="33">
        <v>20250</v>
      </c>
      <c r="H5" s="35">
        <v>20250</v>
      </c>
      <c r="I5" s="40">
        <v>11.3</v>
      </c>
      <c r="J5" s="40">
        <v>8.1999999999999993</v>
      </c>
      <c r="K5" s="18">
        <v>8</v>
      </c>
      <c r="L5" s="41">
        <f t="shared" si="3"/>
        <v>42.477876106194685</v>
      </c>
      <c r="M5" s="17">
        <f>30</f>
        <v>30</v>
      </c>
      <c r="N5" s="17">
        <v>15</v>
      </c>
      <c r="O5" s="17"/>
      <c r="P5" s="47"/>
      <c r="Q5" s="17">
        <f>100+445</f>
        <v>545</v>
      </c>
      <c r="R5" s="19">
        <f>2.2+2.2+0.36</f>
        <v>4.7600000000000007</v>
      </c>
      <c r="S5" s="59">
        <f t="shared" si="4"/>
        <v>2.8666064438422165E-2</v>
      </c>
      <c r="T5" s="11">
        <f t="shared" si="0"/>
        <v>0.89946933962264153</v>
      </c>
      <c r="U5" s="11">
        <f t="shared" si="1"/>
        <v>0.97213277911129325</v>
      </c>
      <c r="V5" s="11">
        <f t="shared" si="2"/>
        <v>0.87440362885275824</v>
      </c>
      <c r="W5" s="7"/>
      <c r="X5" s="12" t="s">
        <v>93</v>
      </c>
      <c r="Y5" s="14">
        <v>95</v>
      </c>
      <c r="Z5" s="12"/>
      <c r="AA5" s="14"/>
      <c r="AB5" s="29"/>
      <c r="AC5" s="18">
        <v>25</v>
      </c>
    </row>
    <row r="6" spans="1:29" ht="16.5" customHeight="1" x14ac:dyDescent="0.25">
      <c r="A6" s="58"/>
      <c r="B6" s="54" t="s">
        <v>78</v>
      </c>
      <c r="C6" s="2" t="str">
        <f>VLOOKUP(B6,Setup!A:B,2,)</f>
        <v>Dispenser - Component of 35mm Hair Styling Mousse Dispenser</v>
      </c>
      <c r="D6" s="2" t="s">
        <v>154</v>
      </c>
      <c r="E6" s="2" t="s">
        <v>64</v>
      </c>
      <c r="F6" s="9"/>
      <c r="G6" s="34">
        <v>100500</v>
      </c>
      <c r="H6" s="36">
        <v>100500</v>
      </c>
      <c r="I6" s="40">
        <v>19.350000000000001</v>
      </c>
      <c r="J6" s="40">
        <v>3.3</v>
      </c>
      <c r="K6" s="18">
        <v>12</v>
      </c>
      <c r="L6" s="41">
        <f t="shared" si="3"/>
        <v>37.20930232558139</v>
      </c>
      <c r="M6" s="17">
        <v>95</v>
      </c>
      <c r="N6" s="17">
        <f>15+15+15+15</f>
        <v>60</v>
      </c>
      <c r="O6" s="17"/>
      <c r="P6" s="48" t="s">
        <v>211</v>
      </c>
      <c r="Q6" s="10">
        <f>500+720+720+720+140+95</f>
        <v>2895</v>
      </c>
      <c r="R6" s="19">
        <f>0.5+2+0.6+0.6</f>
        <v>3.7</v>
      </c>
      <c r="S6" s="59">
        <f t="shared" si="4"/>
        <v>1.1156339514548471E-2</v>
      </c>
      <c r="T6" s="11">
        <f t="shared" si="0"/>
        <v>0.95271164021164034</v>
      </c>
      <c r="U6" s="11">
        <f t="shared" si="1"/>
        <v>0.98896675115550914</v>
      </c>
      <c r="V6" s="11">
        <f t="shared" si="2"/>
        <v>0.94220013560814231</v>
      </c>
      <c r="W6" s="7"/>
      <c r="X6" s="12" t="s">
        <v>100</v>
      </c>
      <c r="Y6" s="14">
        <v>180</v>
      </c>
      <c r="Z6" s="12" t="s">
        <v>105</v>
      </c>
      <c r="AA6" s="14">
        <v>60</v>
      </c>
      <c r="AB6" s="29" t="s">
        <v>107</v>
      </c>
      <c r="AC6" s="18">
        <f>10+10+10+10</f>
        <v>40</v>
      </c>
    </row>
    <row r="7" spans="1:29" ht="15.75" x14ac:dyDescent="0.25">
      <c r="A7" s="58"/>
      <c r="B7" s="2" t="s">
        <v>71</v>
      </c>
      <c r="C7" s="2" t="str">
        <f>VLOOKUP(B7,Setup!A:B,2,)</f>
        <v>Glossy Protective Cap, 52mm</v>
      </c>
      <c r="D7" s="2" t="s">
        <v>166</v>
      </c>
      <c r="E7" s="4" t="s">
        <v>6</v>
      </c>
      <c r="F7" s="9"/>
      <c r="G7" s="33">
        <v>100350</v>
      </c>
      <c r="H7" s="35">
        <v>100350</v>
      </c>
      <c r="I7" s="40">
        <v>7.5</v>
      </c>
      <c r="J7" s="40">
        <v>6</v>
      </c>
      <c r="K7" s="18">
        <v>8</v>
      </c>
      <c r="L7" s="41">
        <f t="shared" si="3"/>
        <v>64</v>
      </c>
      <c r="M7" s="17">
        <v>135</v>
      </c>
      <c r="N7" s="17">
        <f>15+15</f>
        <v>30</v>
      </c>
      <c r="O7" s="17"/>
      <c r="P7" s="48" t="s">
        <v>211</v>
      </c>
      <c r="Q7" s="17">
        <f>120+135+720+700+165</f>
        <v>1840</v>
      </c>
      <c r="R7" s="19">
        <f>4.4+1.5+5.5+1.4</f>
        <v>12.8</v>
      </c>
      <c r="S7" s="59">
        <f t="shared" si="4"/>
        <v>2.1258927088523501E-2</v>
      </c>
      <c r="T7" s="11">
        <f t="shared" si="0"/>
        <v>0.86628107734806625</v>
      </c>
      <c r="U7" s="11">
        <f t="shared" si="1"/>
        <v>0.97918360709058383</v>
      </c>
      <c r="V7" s="11">
        <f t="shared" si="2"/>
        <v>0.84824823007199657</v>
      </c>
      <c r="W7" s="7"/>
      <c r="X7" s="12" t="s">
        <v>105</v>
      </c>
      <c r="Y7" s="14">
        <v>20</v>
      </c>
      <c r="Z7" s="12" t="s">
        <v>93</v>
      </c>
      <c r="AA7" s="14">
        <v>135</v>
      </c>
      <c r="AB7" s="29" t="s">
        <v>108</v>
      </c>
      <c r="AC7" s="18">
        <f>20+10</f>
        <v>30</v>
      </c>
    </row>
    <row r="8" spans="1:29" ht="15.75" x14ac:dyDescent="0.25">
      <c r="A8" s="58"/>
      <c r="B8" s="2" t="s">
        <v>71</v>
      </c>
      <c r="C8" s="2" t="str">
        <f>VLOOKUP(B8,Setup!A:B,2,)</f>
        <v>Glossy Protective Cap, 52mm</v>
      </c>
      <c r="D8" s="2" t="s">
        <v>156</v>
      </c>
      <c r="E8" s="4" t="s">
        <v>82</v>
      </c>
      <c r="F8" s="9"/>
      <c r="G8" s="33">
        <v>70200</v>
      </c>
      <c r="H8" s="35">
        <v>70200</v>
      </c>
      <c r="I8" s="40">
        <v>7.5</v>
      </c>
      <c r="J8" s="40">
        <v>6</v>
      </c>
      <c r="K8" s="18">
        <v>8</v>
      </c>
      <c r="L8" s="41">
        <f t="shared" si="3"/>
        <v>64</v>
      </c>
      <c r="M8" s="17">
        <v>20</v>
      </c>
      <c r="N8" s="17">
        <f>15</f>
        <v>15</v>
      </c>
      <c r="O8" s="17"/>
      <c r="P8" s="47"/>
      <c r="Q8" s="43">
        <f>525+645+75</f>
        <v>1245</v>
      </c>
      <c r="R8" s="19">
        <f>7.8</f>
        <v>7.8</v>
      </c>
      <c r="S8" s="59">
        <f t="shared" si="4"/>
        <v>1.8518518518518517E-2</v>
      </c>
      <c r="T8" s="11">
        <f t="shared" si="0"/>
        <v>0.8917682926829269</v>
      </c>
      <c r="U8" s="11">
        <f t="shared" si="1"/>
        <v>0.98181818181818181</v>
      </c>
      <c r="V8" s="11">
        <f t="shared" si="2"/>
        <v>0.87555432372505548</v>
      </c>
      <c r="W8" s="7"/>
      <c r="X8" s="12" t="s">
        <v>102</v>
      </c>
      <c r="Y8" s="14">
        <v>75</v>
      </c>
      <c r="Z8" s="12"/>
      <c r="AA8" s="14"/>
      <c r="AB8" s="29" t="s">
        <v>109</v>
      </c>
      <c r="AC8" s="18">
        <f>10</f>
        <v>10</v>
      </c>
    </row>
    <row r="9" spans="1:29" ht="15.75" x14ac:dyDescent="0.25">
      <c r="A9" s="58"/>
      <c r="B9" s="2" t="s">
        <v>71</v>
      </c>
      <c r="C9" s="2" t="str">
        <f>VLOOKUP(B9,Setup!A:B,2,)</f>
        <v>Glossy Protective Cap, 52mm</v>
      </c>
      <c r="D9" s="2" t="s">
        <v>157</v>
      </c>
      <c r="E9" s="3" t="s">
        <v>20</v>
      </c>
      <c r="F9" s="9"/>
      <c r="G9" s="33">
        <v>43200</v>
      </c>
      <c r="H9" s="35">
        <v>43200</v>
      </c>
      <c r="I9" s="40">
        <v>7.5</v>
      </c>
      <c r="J9" s="40">
        <v>6</v>
      </c>
      <c r="K9" s="18">
        <v>8</v>
      </c>
      <c r="L9" s="41">
        <f t="shared" si="3"/>
        <v>64</v>
      </c>
      <c r="M9" s="17">
        <v>75</v>
      </c>
      <c r="N9" s="17">
        <v>15</v>
      </c>
      <c r="O9" s="17"/>
      <c r="P9" s="47"/>
      <c r="Q9" s="43">
        <f>720</f>
        <v>720</v>
      </c>
      <c r="R9" s="19">
        <f>12.4+0.6</f>
        <v>13</v>
      </c>
      <c r="S9" s="59">
        <f t="shared" si="4"/>
        <v>5.0154320987654322E-2</v>
      </c>
      <c r="T9" s="11">
        <f t="shared" si="0"/>
        <v>0.95744680851063824</v>
      </c>
      <c r="U9" s="11">
        <f t="shared" si="1"/>
        <v>0.95224099926524619</v>
      </c>
      <c r="V9" s="11">
        <f t="shared" si="2"/>
        <v>0.91172010567949102</v>
      </c>
      <c r="W9" s="7"/>
      <c r="X9" s="12"/>
      <c r="Y9" s="14"/>
      <c r="Z9" s="12"/>
      <c r="AA9" s="14"/>
      <c r="AB9" s="29"/>
      <c r="AC9" s="18">
        <v>10</v>
      </c>
    </row>
    <row r="10" spans="1:29" ht="15.75" x14ac:dyDescent="0.25">
      <c r="A10" s="58"/>
      <c r="B10" s="2" t="s">
        <v>71</v>
      </c>
      <c r="C10" s="2" t="str">
        <f>VLOOKUP(B10,Setup!A:B,2,)</f>
        <v>Glossy Protective Cap, 52mm</v>
      </c>
      <c r="D10" s="2" t="s">
        <v>159</v>
      </c>
      <c r="E10" s="4" t="s">
        <v>5</v>
      </c>
      <c r="F10" s="9"/>
      <c r="G10" s="33">
        <v>36000</v>
      </c>
      <c r="H10" s="35">
        <v>36000</v>
      </c>
      <c r="I10" s="40">
        <v>7.5</v>
      </c>
      <c r="J10" s="40">
        <v>6</v>
      </c>
      <c r="K10" s="18">
        <v>8</v>
      </c>
      <c r="L10" s="41">
        <f t="shared" si="3"/>
        <v>64</v>
      </c>
      <c r="M10" s="17">
        <v>20</v>
      </c>
      <c r="N10" s="17">
        <f>15</f>
        <v>15</v>
      </c>
      <c r="O10" s="17"/>
      <c r="P10" s="47"/>
      <c r="Q10" s="43">
        <v>620</v>
      </c>
      <c r="R10" s="19">
        <f>7.4</f>
        <v>7.4</v>
      </c>
      <c r="S10" s="59">
        <f t="shared" si="4"/>
        <v>3.425925925925926E-2</v>
      </c>
      <c r="T10" s="11">
        <f t="shared" si="0"/>
        <v>0.92975206611570249</v>
      </c>
      <c r="U10" s="11">
        <f t="shared" si="1"/>
        <v>0.96687555953446735</v>
      </c>
      <c r="V10" s="11">
        <f t="shared" si="2"/>
        <v>0.8989545491539469</v>
      </c>
      <c r="W10" s="7"/>
      <c r="X10" s="12"/>
      <c r="Y10" s="14"/>
      <c r="Z10" s="12"/>
      <c r="AA10" s="14"/>
      <c r="AB10" s="29"/>
      <c r="AC10" s="18">
        <f>15</f>
        <v>15</v>
      </c>
    </row>
    <row r="11" spans="1:29" ht="15.75" x14ac:dyDescent="0.25">
      <c r="A11" s="58"/>
      <c r="B11" s="2" t="s">
        <v>71</v>
      </c>
      <c r="C11" s="2" t="str">
        <f>VLOOKUP(B11,Setup!A:B,2,)</f>
        <v>Glossy Protective Cap, 52mm</v>
      </c>
      <c r="D11" s="2" t="s">
        <v>167</v>
      </c>
      <c r="E11" s="3" t="s">
        <v>21</v>
      </c>
      <c r="F11" s="9"/>
      <c r="G11" s="33">
        <v>45000</v>
      </c>
      <c r="H11" s="35">
        <v>45000</v>
      </c>
      <c r="I11" s="40">
        <v>7.5</v>
      </c>
      <c r="J11" s="40">
        <v>6</v>
      </c>
      <c r="K11" s="18">
        <v>8</v>
      </c>
      <c r="L11" s="41">
        <f t="shared" si="3"/>
        <v>64</v>
      </c>
      <c r="M11" s="17">
        <v>20</v>
      </c>
      <c r="N11" s="17">
        <v>15</v>
      </c>
      <c r="O11" s="17"/>
      <c r="P11" s="47"/>
      <c r="Q11" s="43">
        <f>60+720</f>
        <v>780</v>
      </c>
      <c r="R11" s="19">
        <f>6.4+1.7</f>
        <v>8.1</v>
      </c>
      <c r="S11" s="59">
        <f t="shared" si="4"/>
        <v>0.03</v>
      </c>
      <c r="T11" s="11">
        <f t="shared" si="0"/>
        <v>0.91911764705882359</v>
      </c>
      <c r="U11" s="11">
        <f t="shared" si="1"/>
        <v>0.970873786407767</v>
      </c>
      <c r="V11" s="11">
        <f t="shared" si="2"/>
        <v>0.8923472301541977</v>
      </c>
      <c r="W11" s="7"/>
      <c r="X11" s="12"/>
      <c r="Y11" s="14"/>
      <c r="Z11" s="12"/>
      <c r="AA11" s="14"/>
      <c r="AB11" s="29"/>
      <c r="AC11" s="18">
        <f>10</f>
        <v>10</v>
      </c>
    </row>
    <row r="12" spans="1:29" ht="15.75" x14ac:dyDescent="0.25">
      <c r="A12" s="58"/>
      <c r="B12" s="2" t="s">
        <v>71</v>
      </c>
      <c r="C12" s="2" t="str">
        <f>VLOOKUP(B12,Setup!A:B,2,)</f>
        <v>Glossy Protective Cap, 52mm</v>
      </c>
      <c r="D12" s="2" t="s">
        <v>154</v>
      </c>
      <c r="E12" s="2" t="s">
        <v>7</v>
      </c>
      <c r="F12" s="23"/>
      <c r="G12" s="33">
        <v>46350</v>
      </c>
      <c r="H12" s="35">
        <v>46350</v>
      </c>
      <c r="I12" s="40">
        <v>7.5</v>
      </c>
      <c r="J12" s="40">
        <v>6</v>
      </c>
      <c r="K12" s="18">
        <v>8</v>
      </c>
      <c r="L12" s="41">
        <f t="shared" si="3"/>
        <v>64</v>
      </c>
      <c r="M12" s="17">
        <v>20</v>
      </c>
      <c r="N12" s="17">
        <v>15</v>
      </c>
      <c r="O12" s="17"/>
      <c r="P12" s="47"/>
      <c r="Q12" s="43">
        <f>720+70</f>
        <v>790</v>
      </c>
      <c r="R12" s="19">
        <f>1.5</f>
        <v>1.5</v>
      </c>
      <c r="S12" s="59">
        <f t="shared" si="4"/>
        <v>5.3937432578209273E-3</v>
      </c>
      <c r="T12" s="11">
        <f t="shared" si="0"/>
        <v>0.93447580645161299</v>
      </c>
      <c r="U12" s="11">
        <f t="shared" si="1"/>
        <v>0.99463519313304716</v>
      </c>
      <c r="V12" s="11">
        <f t="shared" si="2"/>
        <v>0.92946252422816011</v>
      </c>
      <c r="W12" s="7"/>
      <c r="X12" s="12" t="s">
        <v>93</v>
      </c>
      <c r="Y12" s="14">
        <v>90</v>
      </c>
      <c r="Z12" s="12"/>
      <c r="AA12" s="14"/>
      <c r="AB12" s="29" t="s">
        <v>96</v>
      </c>
      <c r="AC12" s="18">
        <v>25</v>
      </c>
    </row>
    <row r="13" spans="1:29" ht="15.75" x14ac:dyDescent="0.25">
      <c r="A13" s="58"/>
      <c r="B13" s="53" t="s">
        <v>72</v>
      </c>
      <c r="C13" s="2" t="str">
        <f>VLOOKUP(B13,Setup!A:B,2,)</f>
        <v>Glossy Protective Cap, 45mm</v>
      </c>
      <c r="D13" s="2" t="s">
        <v>157</v>
      </c>
      <c r="E13" s="5" t="s">
        <v>83</v>
      </c>
      <c r="F13" s="23"/>
      <c r="G13" s="33">
        <v>40200</v>
      </c>
      <c r="H13" s="35">
        <v>40200</v>
      </c>
      <c r="I13" s="40">
        <v>7.8</v>
      </c>
      <c r="J13" s="40">
        <v>5</v>
      </c>
      <c r="K13" s="18">
        <v>8</v>
      </c>
      <c r="L13" s="41">
        <f t="shared" si="3"/>
        <v>61.53846153846154</v>
      </c>
      <c r="M13" s="17">
        <f>20+90</f>
        <v>110</v>
      </c>
      <c r="N13" s="17"/>
      <c r="O13" s="17"/>
      <c r="P13" s="48" t="s">
        <v>211</v>
      </c>
      <c r="Q13" s="43">
        <f>540+110+110</f>
        <v>760</v>
      </c>
      <c r="R13" s="19">
        <f>10.3</f>
        <v>10.3</v>
      </c>
      <c r="S13" s="59">
        <f t="shared" si="4"/>
        <v>5.1243781094527367E-2</v>
      </c>
      <c r="T13" s="11">
        <f t="shared" si="0"/>
        <v>0.85953947368421046</v>
      </c>
      <c r="U13" s="11">
        <f t="shared" si="1"/>
        <v>0.95125414103170847</v>
      </c>
      <c r="V13" s="11">
        <f t="shared" si="2"/>
        <v>0.81764048372232045</v>
      </c>
      <c r="W13" s="7"/>
      <c r="X13" s="12" t="s">
        <v>93</v>
      </c>
      <c r="Y13" s="14">
        <v>150</v>
      </c>
      <c r="Z13" s="12"/>
      <c r="AA13" s="14"/>
      <c r="AB13" s="29" t="s">
        <v>96</v>
      </c>
      <c r="AC13" s="18"/>
    </row>
    <row r="14" spans="1:29" ht="15.75" x14ac:dyDescent="0.25">
      <c r="A14" s="58"/>
      <c r="B14" s="55" t="s">
        <v>84</v>
      </c>
      <c r="C14" s="2" t="str">
        <f>VLOOKUP(B14,Setup!A:B,2,)</f>
        <v>Matte Spray Cap horizontal spray 52mm</v>
      </c>
      <c r="D14" s="2" t="s">
        <v>154</v>
      </c>
      <c r="E14" s="2" t="s">
        <v>61</v>
      </c>
      <c r="F14" s="24"/>
      <c r="G14" s="33">
        <f>97200+103200</f>
        <v>200400</v>
      </c>
      <c r="H14" s="35">
        <f>97200+103200</f>
        <v>200400</v>
      </c>
      <c r="I14" s="40">
        <v>12</v>
      </c>
      <c r="J14" s="40">
        <v>6</v>
      </c>
      <c r="K14" s="18">
        <v>8</v>
      </c>
      <c r="L14" s="41">
        <f t="shared" si="3"/>
        <v>40</v>
      </c>
      <c r="M14" s="17">
        <v>150</v>
      </c>
      <c r="N14" s="17">
        <f>15+15+15+15+15+15+15</f>
        <v>105</v>
      </c>
      <c r="O14" s="17"/>
      <c r="P14" s="48" t="s">
        <v>211</v>
      </c>
      <c r="Q14" s="43">
        <f>460+150+720+720+720+720+720+720+610</f>
        <v>5540</v>
      </c>
      <c r="R14" s="19">
        <f>5.1+1.2+1+0.6+0.9+0.2+1.2+0.3+0.5</f>
        <v>10.999999999999998</v>
      </c>
      <c r="S14" s="59">
        <f t="shared" si="4"/>
        <v>9.1483699268130377E-3</v>
      </c>
      <c r="T14" s="11">
        <f t="shared" si="0"/>
        <v>0.92180312787488505</v>
      </c>
      <c r="U14" s="11">
        <f t="shared" si="1"/>
        <v>0.99093456403494318</v>
      </c>
      <c r="V14" s="11">
        <f t="shared" si="2"/>
        <v>0.91344658064674622</v>
      </c>
      <c r="W14" s="7"/>
      <c r="X14" s="12" t="s">
        <v>93</v>
      </c>
      <c r="Y14" s="14">
        <v>120</v>
      </c>
      <c r="Z14" s="12"/>
      <c r="AA14" s="14"/>
      <c r="AB14" s="29" t="s">
        <v>96</v>
      </c>
      <c r="AC14" s="18">
        <f>10+10+10+10+10+10+10</f>
        <v>70</v>
      </c>
    </row>
    <row r="15" spans="1:29" ht="15.75" x14ac:dyDescent="0.25">
      <c r="A15" s="58"/>
      <c r="B15" s="56" t="s">
        <v>77</v>
      </c>
      <c r="C15" s="2" t="str">
        <f>VLOOKUP(B15,Setup!A:B,2,)</f>
        <v>Protective Cap for Freshmatic 65mm</v>
      </c>
      <c r="D15" s="2" t="s">
        <v>163</v>
      </c>
      <c r="E15" s="3" t="s">
        <v>63</v>
      </c>
      <c r="F15" s="23"/>
      <c r="G15" s="33">
        <v>230040</v>
      </c>
      <c r="H15" s="35">
        <v>230040</v>
      </c>
      <c r="I15" s="40">
        <v>9.4</v>
      </c>
      <c r="J15" s="40">
        <v>8.3000000000000007</v>
      </c>
      <c r="K15" s="18">
        <v>8</v>
      </c>
      <c r="L15" s="41">
        <f t="shared" si="3"/>
        <v>51.063829787234042</v>
      </c>
      <c r="M15" s="17">
        <v>120</v>
      </c>
      <c r="N15" s="17">
        <f>15+15+15+15+15+15</f>
        <v>90</v>
      </c>
      <c r="O15" s="17"/>
      <c r="P15" s="48" t="s">
        <v>211</v>
      </c>
      <c r="Q15" s="43">
        <f>120+720+720+720+720+720+720+375</f>
        <v>4815</v>
      </c>
      <c r="R15" s="19">
        <f>6.1+0.2+0.6+0.6+0.4+0.8+0.4+5.1</f>
        <v>14.2</v>
      </c>
      <c r="S15" s="59">
        <f t="shared" si="4"/>
        <v>7.43715603153354E-3</v>
      </c>
      <c r="T15" s="11">
        <f t="shared" si="0"/>
        <v>0.95342857142857151</v>
      </c>
      <c r="U15" s="11">
        <f t="shared" si="1"/>
        <v>0.99261774693636495</v>
      </c>
      <c r="V15" s="11">
        <f t="shared" si="2"/>
        <v>0.94639012043618576</v>
      </c>
      <c r="W15" s="7"/>
      <c r="X15" s="12" t="s">
        <v>93</v>
      </c>
      <c r="Y15" s="14">
        <v>120</v>
      </c>
      <c r="Z15" s="12" t="s">
        <v>91</v>
      </c>
      <c r="AA15" s="14">
        <v>15</v>
      </c>
      <c r="AB15" s="29" t="s">
        <v>96</v>
      </c>
      <c r="AC15" s="18">
        <f>10+10+10+10+10+10</f>
        <v>60</v>
      </c>
    </row>
    <row r="16" spans="1:29" ht="15.75" x14ac:dyDescent="0.25">
      <c r="A16" s="58"/>
      <c r="B16" s="2" t="s">
        <v>81</v>
      </c>
      <c r="C16" s="2" t="str">
        <f>VLOOKUP(B16,Setup!A:B,2,)</f>
        <v>Glossy Spray Cap, Vertical Spray, 52mm, Shape #1</v>
      </c>
      <c r="D16" s="2" t="s">
        <v>168</v>
      </c>
      <c r="E16" s="3" t="s">
        <v>37</v>
      </c>
      <c r="F16" s="23"/>
      <c r="G16" s="33">
        <v>35100</v>
      </c>
      <c r="H16" s="35">
        <v>35100</v>
      </c>
      <c r="I16" s="40">
        <v>11.3</v>
      </c>
      <c r="J16" s="40">
        <v>8.1999999999999993</v>
      </c>
      <c r="K16" s="18">
        <v>8</v>
      </c>
      <c r="L16" s="41">
        <f t="shared" si="3"/>
        <v>42.477876106194685</v>
      </c>
      <c r="M16" s="17">
        <f>110+55</f>
        <v>165</v>
      </c>
      <c r="N16" s="17">
        <f>15+15</f>
        <v>30</v>
      </c>
      <c r="O16" s="17"/>
      <c r="P16" s="48" t="s">
        <v>211</v>
      </c>
      <c r="Q16" s="43">
        <f>235+110+720</f>
        <v>1065</v>
      </c>
      <c r="R16" s="19">
        <f>9.7</f>
        <v>9.6999999999999993</v>
      </c>
      <c r="S16" s="59">
        <f t="shared" si="4"/>
        <v>3.3701619067472724E-2</v>
      </c>
      <c r="T16" s="11">
        <f t="shared" si="0"/>
        <v>0.79836956521739133</v>
      </c>
      <c r="U16" s="11">
        <f t="shared" si="1"/>
        <v>0.96739714977144398</v>
      </c>
      <c r="V16" s="11">
        <f t="shared" si="2"/>
        <v>0.77234044185557138</v>
      </c>
      <c r="W16" s="7"/>
      <c r="X16" s="12" t="s">
        <v>93</v>
      </c>
      <c r="Y16" s="14">
        <v>90</v>
      </c>
      <c r="Z16" s="12"/>
      <c r="AA16" s="14"/>
      <c r="AB16" s="29" t="s">
        <v>96</v>
      </c>
      <c r="AC16" s="18">
        <f>10+10</f>
        <v>20</v>
      </c>
    </row>
    <row r="17" spans="1:29" ht="15.75" x14ac:dyDescent="0.25">
      <c r="A17" s="58"/>
      <c r="B17" s="2" t="s">
        <v>81</v>
      </c>
      <c r="C17" s="2" t="str">
        <f>VLOOKUP(B17,Setup!A:B,2,)</f>
        <v>Glossy Spray Cap, Vertical Spray, 52mm, Shape #1</v>
      </c>
      <c r="D17" s="2" t="s">
        <v>159</v>
      </c>
      <c r="E17" s="3" t="s">
        <v>18</v>
      </c>
      <c r="F17" s="24"/>
      <c r="G17" s="33">
        <v>25200</v>
      </c>
      <c r="H17" s="35">
        <v>25200</v>
      </c>
      <c r="I17" s="40">
        <v>11.3</v>
      </c>
      <c r="J17" s="40">
        <v>8.1999999999999993</v>
      </c>
      <c r="K17" s="18">
        <v>8</v>
      </c>
      <c r="L17" s="41">
        <f t="shared" si="3"/>
        <v>42.477876106194685</v>
      </c>
      <c r="M17" s="17">
        <v>30</v>
      </c>
      <c r="N17" s="17">
        <f>15</f>
        <v>15</v>
      </c>
      <c r="O17" s="17"/>
      <c r="P17" s="47"/>
      <c r="Q17" s="43">
        <f>635</f>
        <v>635</v>
      </c>
      <c r="R17" s="19">
        <f>10.6</f>
        <v>10.6</v>
      </c>
      <c r="S17" s="59">
        <f t="shared" si="4"/>
        <v>5.1296941540843986E-2</v>
      </c>
      <c r="T17" s="11">
        <f t="shared" si="0"/>
        <v>0.95685483870967747</v>
      </c>
      <c r="U17" s="11">
        <f t="shared" si="1"/>
        <v>0.95120603940342474</v>
      </c>
      <c r="V17" s="11">
        <f t="shared" si="2"/>
        <v>0.91016610141303511</v>
      </c>
      <c r="W17" s="7"/>
      <c r="X17" s="12"/>
      <c r="Y17" s="14"/>
      <c r="Z17" s="12"/>
      <c r="AA17" s="14"/>
      <c r="AB17" s="29"/>
      <c r="AC17" s="18">
        <f>10</f>
        <v>10</v>
      </c>
    </row>
    <row r="18" spans="1:29" ht="15.75" x14ac:dyDescent="0.25">
      <c r="A18" s="58"/>
      <c r="B18" s="2" t="s">
        <v>81</v>
      </c>
      <c r="C18" s="2" t="str">
        <f>VLOOKUP(B18,Setup!A:B,2,)</f>
        <v>Glossy Spray Cap, Vertical Spray, 52mm, Shape #1</v>
      </c>
      <c r="D18" s="2" t="s">
        <v>149</v>
      </c>
      <c r="E18" s="2" t="s">
        <v>45</v>
      </c>
      <c r="F18" s="24"/>
      <c r="G18" s="33">
        <v>22050</v>
      </c>
      <c r="H18" s="35">
        <v>22050</v>
      </c>
      <c r="I18" s="40">
        <v>11.3</v>
      </c>
      <c r="J18" s="40">
        <v>8.1999999999999993</v>
      </c>
      <c r="K18" s="18">
        <v>8</v>
      </c>
      <c r="L18" s="41">
        <f t="shared" si="3"/>
        <v>42.477876106194685</v>
      </c>
      <c r="M18" s="17">
        <v>20</v>
      </c>
      <c r="N18" s="17">
        <f>15</f>
        <v>15</v>
      </c>
      <c r="O18" s="17"/>
      <c r="P18" s="47"/>
      <c r="Q18" s="43">
        <f>65+495</f>
        <v>560</v>
      </c>
      <c r="R18" s="19">
        <f>6.1+1.6</f>
        <v>7.6999999999999993</v>
      </c>
      <c r="S18" s="59">
        <f t="shared" si="4"/>
        <v>4.2586140147115759E-2</v>
      </c>
      <c r="T18" s="11">
        <f t="shared" si="0"/>
        <v>0.9524655963302755</v>
      </c>
      <c r="U18" s="11">
        <f t="shared" si="1"/>
        <v>0.95915336056442624</v>
      </c>
      <c r="V18" s="11">
        <f t="shared" si="2"/>
        <v>0.913560577542184</v>
      </c>
      <c r="W18" s="7"/>
      <c r="X18" s="12"/>
      <c r="Y18" s="14"/>
      <c r="Z18" s="12"/>
      <c r="AA18" s="14"/>
      <c r="AB18" s="29"/>
      <c r="AC18" s="18">
        <f>25</f>
        <v>25</v>
      </c>
    </row>
    <row r="19" spans="1:29" ht="15.75" x14ac:dyDescent="0.25">
      <c r="A19" s="58"/>
      <c r="B19" s="2" t="s">
        <v>81</v>
      </c>
      <c r="C19" s="2" t="str">
        <f>VLOOKUP(B19,Setup!A:B,2,)</f>
        <v>Glossy Spray Cap, Vertical Spray, 52mm, Shape #1</v>
      </c>
      <c r="D19" s="2" t="s">
        <v>163</v>
      </c>
      <c r="E19" s="2" t="s">
        <v>26</v>
      </c>
      <c r="F19" s="23"/>
      <c r="G19" s="33">
        <f>8550+14850</f>
        <v>23400</v>
      </c>
      <c r="H19" s="35">
        <f>8550+14850</f>
        <v>23400</v>
      </c>
      <c r="I19" s="40">
        <v>11.3</v>
      </c>
      <c r="J19" s="40">
        <v>8.1999999999999993</v>
      </c>
      <c r="K19" s="18">
        <v>8</v>
      </c>
      <c r="L19" s="41">
        <f t="shared" si="3"/>
        <v>42.477876106194685</v>
      </c>
      <c r="M19" s="17">
        <v>20</v>
      </c>
      <c r="N19" s="17">
        <v>15</v>
      </c>
      <c r="O19" s="17"/>
      <c r="P19" s="47"/>
      <c r="Q19" s="43">
        <f>205+375</f>
        <v>580</v>
      </c>
      <c r="R19" s="19">
        <f>5.4+0.7</f>
        <v>6.1000000000000005</v>
      </c>
      <c r="S19" s="59">
        <f t="shared" si="4"/>
        <v>3.1790702522409849E-2</v>
      </c>
      <c r="T19" s="11">
        <f t="shared" si="0"/>
        <v>0.97500000000000009</v>
      </c>
      <c r="U19" s="11">
        <f t="shared" si="1"/>
        <v>0.96918880695019693</v>
      </c>
      <c r="V19" s="11">
        <f t="shared" si="2"/>
        <v>0.94495908677644214</v>
      </c>
      <c r="W19" s="7"/>
      <c r="X19" s="12"/>
      <c r="Y19" s="14"/>
      <c r="Z19" s="12"/>
      <c r="AA19" s="14"/>
      <c r="AB19" s="29"/>
      <c r="AC19" s="18">
        <f>10</f>
        <v>10</v>
      </c>
    </row>
    <row r="20" spans="1:29" ht="15.75" x14ac:dyDescent="0.25">
      <c r="A20" s="58"/>
      <c r="B20" s="2" t="s">
        <v>81</v>
      </c>
      <c r="C20" s="2" t="str">
        <f>VLOOKUP(B20,Setup!A:B,2,)</f>
        <v>Glossy Spray Cap, Vertical Spray, 52mm, Shape #1</v>
      </c>
      <c r="D20" s="2" t="s">
        <v>163</v>
      </c>
      <c r="E20" s="3" t="s">
        <v>47</v>
      </c>
      <c r="F20" s="23"/>
      <c r="G20" s="33">
        <v>70200</v>
      </c>
      <c r="H20" s="35">
        <v>70200</v>
      </c>
      <c r="I20" s="40">
        <v>11.3</v>
      </c>
      <c r="J20" s="40">
        <v>8.1999999999999993</v>
      </c>
      <c r="K20" s="18">
        <v>8</v>
      </c>
      <c r="L20" s="41">
        <f t="shared" si="3"/>
        <v>42.477876106194685</v>
      </c>
      <c r="M20" s="17">
        <v>20</v>
      </c>
      <c r="N20" s="17">
        <f>15+15</f>
        <v>30</v>
      </c>
      <c r="O20" s="17"/>
      <c r="P20" s="47"/>
      <c r="Q20" s="43">
        <f>325+720+700</f>
        <v>1745</v>
      </c>
      <c r="R20" s="19">
        <f>7.1+2.1+0.9</f>
        <v>10.1</v>
      </c>
      <c r="S20" s="59">
        <f t="shared" si="4"/>
        <v>1.7545688277395593E-2</v>
      </c>
      <c r="T20" s="11">
        <f t="shared" si="0"/>
        <v>0.96362973760932968</v>
      </c>
      <c r="U20" s="11">
        <f t="shared" si="1"/>
        <v>0.98275685457711615</v>
      </c>
      <c r="V20" s="11">
        <f t="shared" si="2"/>
        <v>0.94701372990991661</v>
      </c>
      <c r="W20" s="7"/>
      <c r="X20" s="12"/>
      <c r="Y20" s="14"/>
      <c r="Z20" s="12"/>
      <c r="AA20" s="14"/>
      <c r="AB20" s="29"/>
      <c r="AC20" s="18">
        <f>25+10</f>
        <v>35</v>
      </c>
    </row>
    <row r="21" spans="1:29" ht="15.75" x14ac:dyDescent="0.25">
      <c r="A21" s="58"/>
      <c r="B21" s="2" t="s">
        <v>81</v>
      </c>
      <c r="C21" s="2" t="str">
        <f>VLOOKUP(B21,Setup!A:B,2,)</f>
        <v>Glossy Spray Cap, Vertical Spray, 52mm, Shape #1</v>
      </c>
      <c r="D21" s="2" t="s">
        <v>163</v>
      </c>
      <c r="E21" s="5" t="s">
        <v>3</v>
      </c>
      <c r="F21" s="23"/>
      <c r="G21" s="33">
        <v>60300</v>
      </c>
      <c r="H21" s="35">
        <v>60300</v>
      </c>
      <c r="I21" s="40">
        <v>11.3</v>
      </c>
      <c r="J21" s="40">
        <v>8.1999999999999993</v>
      </c>
      <c r="K21" s="18">
        <v>8</v>
      </c>
      <c r="L21" s="41">
        <f t="shared" si="3"/>
        <v>42.477876106194685</v>
      </c>
      <c r="M21" s="17">
        <v>20</v>
      </c>
      <c r="N21" s="17">
        <f>15+15</f>
        <v>30</v>
      </c>
      <c r="O21" s="17"/>
      <c r="P21" s="47"/>
      <c r="Q21" s="43">
        <f>720+720+50</f>
        <v>1490</v>
      </c>
      <c r="R21" s="19">
        <f>8.3+0.96</f>
        <v>9.2600000000000016</v>
      </c>
      <c r="S21" s="59">
        <f t="shared" si="4"/>
        <v>1.8727500707842907E-2</v>
      </c>
      <c r="T21" s="11">
        <f t="shared" si="0"/>
        <v>0.97230308219178074</v>
      </c>
      <c r="U21" s="11">
        <f t="shared" si="1"/>
        <v>0.98161677122210755</v>
      </c>
      <c r="V21" s="11">
        <f t="shared" si="2"/>
        <v>0.95442901219039933</v>
      </c>
      <c r="W21" s="7"/>
      <c r="X21" s="12"/>
      <c r="Y21" s="14"/>
      <c r="Z21" s="12"/>
      <c r="AA21" s="14"/>
      <c r="AB21" s="29"/>
      <c r="AC21" s="18">
        <f>10+10</f>
        <v>20</v>
      </c>
    </row>
    <row r="22" spans="1:29" ht="15.75" x14ac:dyDescent="0.25">
      <c r="A22" s="58"/>
      <c r="B22" s="2" t="s">
        <v>81</v>
      </c>
      <c r="C22" s="2" t="str">
        <f>VLOOKUP(B22,Setup!A:B,2,)</f>
        <v>Glossy Spray Cap, Vertical Spray, 52mm, Shape #1</v>
      </c>
      <c r="D22" s="2" t="s">
        <v>163</v>
      </c>
      <c r="E22" s="3" t="s">
        <v>47</v>
      </c>
      <c r="F22" s="24"/>
      <c r="G22" s="33">
        <v>80100</v>
      </c>
      <c r="H22" s="35">
        <v>80100</v>
      </c>
      <c r="I22" s="40">
        <v>11.3</v>
      </c>
      <c r="J22" s="40">
        <v>8.1999999999999993</v>
      </c>
      <c r="K22" s="18">
        <v>8</v>
      </c>
      <c r="L22" s="41">
        <f t="shared" si="3"/>
        <v>42.477876106194685</v>
      </c>
      <c r="M22" s="17">
        <v>25</v>
      </c>
      <c r="N22" s="17">
        <f>15+15</f>
        <v>30</v>
      </c>
      <c r="O22" s="17"/>
      <c r="P22" s="47"/>
      <c r="Q22" s="43">
        <f>635+720+615</f>
        <v>1970</v>
      </c>
      <c r="R22" s="19">
        <f>8.2+1.1+1.05</f>
        <v>10.35</v>
      </c>
      <c r="S22" s="59">
        <f t="shared" si="4"/>
        <v>1.575774184708139E-2</v>
      </c>
      <c r="T22" s="11">
        <f t="shared" si="0"/>
        <v>0.97200386597938171</v>
      </c>
      <c r="U22" s="11">
        <f t="shared" si="1"/>
        <v>0.98448671253203834</v>
      </c>
      <c r="V22" s="11">
        <f t="shared" si="2"/>
        <v>0.95692489058647345</v>
      </c>
      <c r="W22" s="7"/>
      <c r="X22" s="12"/>
      <c r="Y22" s="14"/>
      <c r="Z22" s="12"/>
      <c r="AA22" s="14"/>
      <c r="AB22" s="29"/>
      <c r="AC22" s="18">
        <f>10+15</f>
        <v>25</v>
      </c>
    </row>
    <row r="23" spans="1:29" ht="15.75" x14ac:dyDescent="0.25">
      <c r="A23" s="58"/>
      <c r="B23" s="2" t="s">
        <v>81</v>
      </c>
      <c r="C23" s="2" t="str">
        <f>VLOOKUP(B23,Setup!A:B,2,)</f>
        <v>Glossy Spray Cap, Vertical Spray, 52mm, Shape #1</v>
      </c>
      <c r="D23" s="2" t="s">
        <v>157</v>
      </c>
      <c r="E23" s="3" t="s">
        <v>28</v>
      </c>
      <c r="F23" s="23"/>
      <c r="G23" s="33">
        <v>43200</v>
      </c>
      <c r="H23" s="35">
        <v>43200</v>
      </c>
      <c r="I23" s="40">
        <v>11.3</v>
      </c>
      <c r="J23" s="40">
        <v>8.1999999999999993</v>
      </c>
      <c r="K23" s="18">
        <v>8</v>
      </c>
      <c r="L23" s="41">
        <f t="shared" si="3"/>
        <v>42.477876106194685</v>
      </c>
      <c r="M23" s="17">
        <v>30</v>
      </c>
      <c r="N23" s="17">
        <v>15</v>
      </c>
      <c r="O23" s="17"/>
      <c r="P23" s="47"/>
      <c r="Q23" s="43">
        <f>75+720+260</f>
        <v>1055</v>
      </c>
      <c r="R23" s="19">
        <f>6.96+1.1+0.8</f>
        <v>8.8600000000000012</v>
      </c>
      <c r="S23" s="59">
        <f t="shared" si="4"/>
        <v>2.5011291779584468E-2</v>
      </c>
      <c r="T23" s="11">
        <f t="shared" si="0"/>
        <v>0.97788461538461535</v>
      </c>
      <c r="U23" s="11">
        <f t="shared" ref="U23:U26" si="5">(H23*J23/(H23*J23+R23*1000))</f>
        <v>0.97559900853759296</v>
      </c>
      <c r="V23" s="11">
        <f t="shared" si="2"/>
        <v>0.9540232612333962</v>
      </c>
      <c r="W23" s="7"/>
      <c r="X23" s="12"/>
      <c r="Y23" s="14"/>
      <c r="Z23" s="12"/>
      <c r="AA23" s="14"/>
      <c r="AB23" s="29"/>
      <c r="AC23" s="18">
        <f>10</f>
        <v>10</v>
      </c>
    </row>
    <row r="24" spans="1:29" ht="15.75" x14ac:dyDescent="0.25">
      <c r="A24" s="58"/>
      <c r="B24" s="2" t="s">
        <v>81</v>
      </c>
      <c r="C24" s="2" t="str">
        <f>VLOOKUP(B24,Setup!A:B,2,)</f>
        <v>Glossy Spray Cap, Vertical Spray, 52mm, Shape #1</v>
      </c>
      <c r="D24" s="2" t="s">
        <v>157</v>
      </c>
      <c r="E24" s="3" t="s">
        <v>38</v>
      </c>
      <c r="F24" s="23"/>
      <c r="G24" s="33">
        <v>34200</v>
      </c>
      <c r="H24" s="35">
        <v>34200</v>
      </c>
      <c r="I24" s="40">
        <v>11.3</v>
      </c>
      <c r="J24" s="40">
        <v>8.1999999999999993</v>
      </c>
      <c r="K24" s="18">
        <v>8</v>
      </c>
      <c r="L24" s="41">
        <f t="shared" si="3"/>
        <v>42.477876106194685</v>
      </c>
      <c r="M24" s="17">
        <v>35</v>
      </c>
      <c r="N24" s="17">
        <f>15</f>
        <v>15</v>
      </c>
      <c r="O24" s="17"/>
      <c r="P24" s="47"/>
      <c r="Q24" s="43">
        <f>415+430</f>
        <v>845</v>
      </c>
      <c r="R24" s="19">
        <f>10.65+1.5</f>
        <v>12.15</v>
      </c>
      <c r="S24" s="59">
        <f t="shared" si="4"/>
        <v>4.3324775353016688E-2</v>
      </c>
      <c r="T24" s="11">
        <f t="shared" ref="T24:T26" si="6">(H24/(L24*(Q24-N24-M24-O24)))*((Q24-N24-M24-O24)/(Q24-N24-O24))</f>
        <v>0.97003012048192783</v>
      </c>
      <c r="U24" s="11">
        <f t="shared" si="5"/>
        <v>0.95847431559520146</v>
      </c>
      <c r="V24" s="11">
        <f t="shared" ref="V24:V26" si="7">T24*U24</f>
        <v>0.92974895583564654</v>
      </c>
      <c r="W24" s="7"/>
      <c r="X24" s="12"/>
      <c r="Y24" s="14"/>
      <c r="Z24" s="12"/>
      <c r="AA24" s="14"/>
      <c r="AB24" s="29"/>
      <c r="AC24" s="18">
        <f>25</f>
        <v>25</v>
      </c>
    </row>
    <row r="25" spans="1:29" ht="15.75" x14ac:dyDescent="0.25">
      <c r="A25" s="58"/>
      <c r="B25" s="2" t="s">
        <v>81</v>
      </c>
      <c r="C25" s="2" t="str">
        <f>VLOOKUP(B25,Setup!A:B,2,)</f>
        <v>Glossy Spray Cap, Vertical Spray, 52mm, Shape #1</v>
      </c>
      <c r="D25" s="2" t="s">
        <v>164</v>
      </c>
      <c r="E25" s="3" t="s">
        <v>36</v>
      </c>
      <c r="F25" s="23"/>
      <c r="G25" s="33">
        <v>34200</v>
      </c>
      <c r="H25" s="35">
        <v>34200</v>
      </c>
      <c r="I25" s="40">
        <v>11.3</v>
      </c>
      <c r="J25" s="40">
        <v>8.1999999999999993</v>
      </c>
      <c r="K25" s="18">
        <v>8</v>
      </c>
      <c r="L25" s="41">
        <f t="shared" si="3"/>
        <v>42.477876106194685</v>
      </c>
      <c r="M25" s="17">
        <v>30</v>
      </c>
      <c r="N25" s="17">
        <v>15</v>
      </c>
      <c r="O25" s="17"/>
      <c r="P25" s="47"/>
      <c r="Q25" s="43">
        <f>260+580</f>
        <v>840</v>
      </c>
      <c r="R25" s="19">
        <f>11</f>
        <v>11</v>
      </c>
      <c r="S25" s="59">
        <f t="shared" si="4"/>
        <v>3.9224076451290828E-2</v>
      </c>
      <c r="T25" s="11">
        <f t="shared" si="6"/>
        <v>0.97590909090909095</v>
      </c>
      <c r="U25" s="11">
        <f t="shared" si="5"/>
        <v>0.96225638210266262</v>
      </c>
      <c r="V25" s="11">
        <f t="shared" si="7"/>
        <v>0.93907475107928029</v>
      </c>
      <c r="W25" s="7"/>
      <c r="X25" s="12"/>
      <c r="Y25" s="14"/>
      <c r="Z25" s="12"/>
      <c r="AA25" s="14"/>
      <c r="AB25" s="29"/>
      <c r="AC25" s="18">
        <v>10</v>
      </c>
    </row>
    <row r="26" spans="1:29" ht="15.75" x14ac:dyDescent="0.25">
      <c r="A26" s="58"/>
      <c r="B26" s="2" t="s">
        <v>81</v>
      </c>
      <c r="C26" s="2" t="str">
        <f>VLOOKUP(B26,Setup!A:B,2,)</f>
        <v>Glossy Spray Cap, Vertical Spray, 52mm, Shape #1</v>
      </c>
      <c r="D26" s="2" t="s">
        <v>156</v>
      </c>
      <c r="E26" s="3" t="s">
        <v>24</v>
      </c>
      <c r="F26" s="23"/>
      <c r="G26" s="33">
        <v>63900</v>
      </c>
      <c r="H26" s="35">
        <v>63900</v>
      </c>
      <c r="I26" s="40">
        <v>11.3</v>
      </c>
      <c r="J26" s="40">
        <v>8.1999999999999993</v>
      </c>
      <c r="K26" s="18">
        <v>8</v>
      </c>
      <c r="L26" s="41">
        <f t="shared" si="3"/>
        <v>42.477876106194685</v>
      </c>
      <c r="M26" s="17">
        <v>30</v>
      </c>
      <c r="N26" s="17">
        <f>15+15</f>
        <v>30</v>
      </c>
      <c r="O26" s="17"/>
      <c r="P26" s="47"/>
      <c r="Q26" s="43">
        <f>110+720+720</f>
        <v>1550</v>
      </c>
      <c r="R26" s="19">
        <f>11.2+1.2+1.6</f>
        <v>13.999999999999998</v>
      </c>
      <c r="S26" s="59">
        <f t="shared" si="4"/>
        <v>2.671857704492538E-2</v>
      </c>
      <c r="T26" s="11">
        <f t="shared" si="6"/>
        <v>0.98967927631578956</v>
      </c>
      <c r="U26" s="11">
        <f t="shared" si="5"/>
        <v>0.97397672775939637</v>
      </c>
      <c r="V26" s="11">
        <f t="shared" si="7"/>
        <v>0.96392458307734019</v>
      </c>
      <c r="W26" s="7"/>
      <c r="X26" s="12"/>
      <c r="Y26" s="14"/>
      <c r="Z26" s="12"/>
      <c r="AA26" s="14"/>
      <c r="AB26" s="29"/>
      <c r="AC26" s="18">
        <f>25+10</f>
        <v>35</v>
      </c>
    </row>
    <row r="27" spans="1:29" x14ac:dyDescent="0.25">
      <c r="G27" s="51">
        <f>SUM(G2:G26)</f>
        <v>1584990</v>
      </c>
      <c r="H27" s="51">
        <f>SUM(H2:H26)</f>
        <v>1584990</v>
      </c>
      <c r="M27" s="51">
        <f>SUM(M2:M26)</f>
        <v>1325</v>
      </c>
      <c r="N27" s="51">
        <f t="shared" ref="N27:O27" si="8">SUM(N2:N26)</f>
        <v>690</v>
      </c>
      <c r="O27" s="51">
        <f t="shared" si="8"/>
        <v>0</v>
      </c>
      <c r="Q27" s="51">
        <f>SUM(Q2:Q26)</f>
        <v>37025</v>
      </c>
      <c r="R27" s="51">
        <f>SUM(R2:R26)</f>
        <v>237.57999999999998</v>
      </c>
      <c r="S27" s="51"/>
    </row>
  </sheetData>
  <autoFilter ref="A1:AA26" xr:uid="{C7B991B8-EEF6-4D5C-BA37-743E594A641C}"/>
  <mergeCells count="1">
    <mergeCell ref="A2:A26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52A8-B01E-4562-8556-918391EDDC51}">
  <sheetPr>
    <pageSetUpPr fitToPage="1"/>
  </sheetPr>
  <dimension ref="A1:AC7"/>
  <sheetViews>
    <sheetView zoomScale="59" zoomScaleNormal="59" workbookViewId="0">
      <pane ySplit="1" topLeftCell="A2" activePane="bottomLeft" state="frozen"/>
      <selection pane="bottomLeft" activeCell="S11" sqref="S11"/>
    </sheetView>
  </sheetViews>
  <sheetFormatPr defaultRowHeight="15" x14ac:dyDescent="0.25"/>
  <cols>
    <col min="1" max="1" width="11.140625" customWidth="1"/>
    <col min="2" max="2" width="23" customWidth="1"/>
    <col min="3" max="3" width="75.5703125" customWidth="1"/>
    <col min="4" max="4" width="21.5703125" customWidth="1"/>
    <col min="5" max="5" width="11.28515625" customWidth="1"/>
    <col min="6" max="6" width="0" hidden="1" customWidth="1"/>
    <col min="7" max="8" width="13.85546875" customWidth="1"/>
    <col min="9" max="9" width="11.5703125" customWidth="1"/>
    <col min="10" max="11" width="11.140625" customWidth="1"/>
    <col min="12" max="12" width="14.42578125" customWidth="1"/>
    <col min="13" max="13" width="15.42578125" customWidth="1"/>
    <col min="14" max="15" width="17.7109375" customWidth="1"/>
    <col min="16" max="16" width="52" customWidth="1"/>
    <col min="17" max="17" width="14.5703125" customWidth="1"/>
    <col min="18" max="18" width="10.28515625" customWidth="1"/>
    <col min="19" max="19" width="14.42578125" customWidth="1"/>
    <col min="20" max="21" width="10.28515625" customWidth="1"/>
    <col min="22" max="22" width="12.7109375" customWidth="1"/>
    <col min="23" max="23" width="2.28515625" hidden="1" customWidth="1"/>
    <col min="24" max="24" width="11" hidden="1" customWidth="1"/>
    <col min="25" max="25" width="14.28515625" hidden="1" customWidth="1"/>
    <col min="26" max="26" width="0" hidden="1" customWidth="1"/>
    <col min="27" max="27" width="14.85546875" hidden="1" customWidth="1"/>
    <col min="28" max="28" width="46" hidden="1" customWidth="1"/>
    <col min="29" max="29" width="17.7109375" hidden="1" customWidth="1"/>
    <col min="30" max="30" width="0" hidden="1" customWidth="1"/>
  </cols>
  <sheetData>
    <row r="1" spans="1:29" ht="96" customHeight="1" x14ac:dyDescent="0.25">
      <c r="A1" s="8" t="s">
        <v>133</v>
      </c>
      <c r="B1" s="31" t="s">
        <v>136</v>
      </c>
      <c r="C1" s="31" t="s">
        <v>136</v>
      </c>
      <c r="D1" s="31" t="s">
        <v>134</v>
      </c>
      <c r="E1" s="32" t="s">
        <v>135</v>
      </c>
      <c r="F1" s="8" t="s">
        <v>1</v>
      </c>
      <c r="G1" s="8" t="s">
        <v>194</v>
      </c>
      <c r="H1" s="8" t="s">
        <v>195</v>
      </c>
      <c r="I1" s="8" t="s">
        <v>207</v>
      </c>
      <c r="J1" s="8" t="s">
        <v>208</v>
      </c>
      <c r="K1" s="8" t="s">
        <v>210</v>
      </c>
      <c r="L1" s="8" t="s">
        <v>209</v>
      </c>
      <c r="M1" s="8" t="s">
        <v>137</v>
      </c>
      <c r="N1" s="8" t="s">
        <v>138</v>
      </c>
      <c r="O1" s="8" t="s">
        <v>139</v>
      </c>
      <c r="P1" s="8" t="s">
        <v>206</v>
      </c>
      <c r="Q1" s="8" t="s">
        <v>140</v>
      </c>
      <c r="R1" s="8" t="s">
        <v>141</v>
      </c>
      <c r="S1" s="8" t="s">
        <v>215</v>
      </c>
      <c r="T1" s="8" t="s">
        <v>113</v>
      </c>
      <c r="U1" s="8" t="s">
        <v>114</v>
      </c>
      <c r="V1" s="8" t="s">
        <v>0</v>
      </c>
      <c r="W1" s="7"/>
      <c r="X1" s="8" t="s">
        <v>79</v>
      </c>
      <c r="Y1" s="8" t="s">
        <v>112</v>
      </c>
      <c r="Z1" s="8" t="s">
        <v>79</v>
      </c>
      <c r="AA1" s="8" t="s">
        <v>112</v>
      </c>
      <c r="AB1" s="8" t="s">
        <v>90</v>
      </c>
      <c r="AC1" s="8" t="s">
        <v>115</v>
      </c>
    </row>
    <row r="2" spans="1:29" ht="15.75" x14ac:dyDescent="0.25">
      <c r="A2" s="58">
        <v>4</v>
      </c>
      <c r="B2" s="2" t="s">
        <v>76</v>
      </c>
      <c r="C2" s="2" t="str">
        <f>VLOOKUP(B2,Setup!A:B,2,)</f>
        <v>Glossy Protective Cap, 65mm</v>
      </c>
      <c r="D2" s="2" t="s">
        <v>149</v>
      </c>
      <c r="E2" s="3" t="s">
        <v>65</v>
      </c>
      <c r="F2" s="23"/>
      <c r="G2" s="33">
        <v>32130</v>
      </c>
      <c r="H2" s="35">
        <v>32130</v>
      </c>
      <c r="I2" s="40">
        <v>8.5</v>
      </c>
      <c r="J2" s="40">
        <v>9</v>
      </c>
      <c r="K2" s="18">
        <v>8</v>
      </c>
      <c r="L2" s="41">
        <f>(60/I2)*K2</f>
        <v>56.470588235294116</v>
      </c>
      <c r="M2" s="17">
        <v>120</v>
      </c>
      <c r="N2" s="17"/>
      <c r="O2" s="17"/>
      <c r="P2" s="47"/>
      <c r="Q2" s="43">
        <f>600+120</f>
        <v>720</v>
      </c>
      <c r="R2" s="19">
        <f>11.1+1.9</f>
        <v>13</v>
      </c>
      <c r="S2" s="59">
        <f>R2/(G2*J2/1000)</f>
        <v>4.4956254106580905E-2</v>
      </c>
      <c r="T2" s="11">
        <f t="shared" ref="T2:T5" si="0">(H2/(L2*(Q2-N2-M2-O2)))*((Q2-N2-M2-O2)/(Q2-N2-O2))</f>
        <v>0.79023437500000004</v>
      </c>
      <c r="U2" s="11">
        <f t="shared" ref="U2:U5" si="1">(H2*J2/(H2*J2+R2*1000))</f>
        <v>0.95697786014495156</v>
      </c>
      <c r="V2" s="11">
        <f t="shared" ref="V2:V5" si="2">T2*U2</f>
        <v>0.7562368012004832</v>
      </c>
      <c r="W2" s="7"/>
      <c r="X2" s="25" t="s">
        <v>91</v>
      </c>
      <c r="Y2" s="14">
        <v>120</v>
      </c>
      <c r="Z2" s="12"/>
      <c r="AA2" s="14"/>
      <c r="AB2" s="29" t="s">
        <v>95</v>
      </c>
      <c r="AC2" s="18"/>
    </row>
    <row r="3" spans="1:29" ht="15.75" x14ac:dyDescent="0.25">
      <c r="A3" s="58"/>
      <c r="B3" s="2" t="s">
        <v>76</v>
      </c>
      <c r="C3" s="2" t="str">
        <f>VLOOKUP(B3,Setup!A:B,2,)</f>
        <v>Glossy Protective Cap, 65mm</v>
      </c>
      <c r="D3" s="2" t="s">
        <v>169</v>
      </c>
      <c r="E3" s="3" t="s">
        <v>66</v>
      </c>
      <c r="F3" s="24"/>
      <c r="G3" s="33">
        <v>20250</v>
      </c>
      <c r="H3" s="35">
        <v>20250</v>
      </c>
      <c r="I3" s="40">
        <v>8.5</v>
      </c>
      <c r="J3" s="40">
        <v>9</v>
      </c>
      <c r="K3" s="18">
        <v>8</v>
      </c>
      <c r="L3" s="41">
        <f t="shared" ref="L3:L5" si="3">(60/I3)*K3</f>
        <v>56.470588235294116</v>
      </c>
      <c r="M3" s="17">
        <v>15</v>
      </c>
      <c r="N3" s="17">
        <v>15</v>
      </c>
      <c r="O3" s="17"/>
      <c r="P3" s="47"/>
      <c r="Q3" s="43">
        <v>395</v>
      </c>
      <c r="R3" s="19">
        <v>7.3</v>
      </c>
      <c r="S3" s="59">
        <f t="shared" ref="S3:S5" si="4">R3/(G3*J3/1000)</f>
        <v>4.0054869684499311E-2</v>
      </c>
      <c r="T3" s="11">
        <f t="shared" si="0"/>
        <v>0.94366776315789469</v>
      </c>
      <c r="U3" s="11">
        <f t="shared" si="1"/>
        <v>0.96148773410709576</v>
      </c>
      <c r="V3" s="11">
        <f t="shared" si="2"/>
        <v>0.90732497934859568</v>
      </c>
      <c r="W3" s="7"/>
      <c r="X3" s="12"/>
      <c r="Y3" s="14"/>
      <c r="Z3" s="12"/>
      <c r="AA3" s="14"/>
      <c r="AB3" s="29"/>
      <c r="AC3" s="18">
        <v>10</v>
      </c>
    </row>
    <row r="4" spans="1:29" ht="15.75" x14ac:dyDescent="0.25">
      <c r="A4" s="58"/>
      <c r="B4" s="2" t="s">
        <v>76</v>
      </c>
      <c r="C4" s="2" t="str">
        <f>VLOOKUP(B4,Setup!A:B,2,)</f>
        <v>Glossy Protective Cap, 65mm</v>
      </c>
      <c r="D4" s="2" t="s">
        <v>170</v>
      </c>
      <c r="E4" s="3" t="s">
        <v>67</v>
      </c>
      <c r="F4" s="24"/>
      <c r="G4" s="33">
        <v>32130</v>
      </c>
      <c r="H4" s="35">
        <v>32130</v>
      </c>
      <c r="I4" s="40">
        <v>8.5</v>
      </c>
      <c r="J4" s="40">
        <v>9</v>
      </c>
      <c r="K4" s="18">
        <v>8</v>
      </c>
      <c r="L4" s="41">
        <f t="shared" si="3"/>
        <v>56.470588235294116</v>
      </c>
      <c r="M4" s="17">
        <v>20</v>
      </c>
      <c r="N4" s="17">
        <v>15</v>
      </c>
      <c r="O4" s="17"/>
      <c r="P4" s="47"/>
      <c r="Q4" s="43">
        <f>325+290</f>
        <v>615</v>
      </c>
      <c r="R4" s="19">
        <f>10.6+5.4</f>
        <v>16</v>
      </c>
      <c r="S4" s="59">
        <f t="shared" si="4"/>
        <v>5.5330774285022651E-2</v>
      </c>
      <c r="T4" s="11">
        <f t="shared" si="0"/>
        <v>0.94828124999999996</v>
      </c>
      <c r="U4" s="11">
        <f t="shared" si="1"/>
        <v>0.94757020676999704</v>
      </c>
      <c r="V4" s="11">
        <f t="shared" si="2"/>
        <v>0.8985630601386112</v>
      </c>
      <c r="W4" s="7"/>
      <c r="X4" s="12"/>
      <c r="Y4" s="14"/>
      <c r="Z4" s="12"/>
      <c r="AA4" s="14"/>
      <c r="AB4" s="29"/>
      <c r="AC4" s="18">
        <v>15</v>
      </c>
    </row>
    <row r="5" spans="1:29" ht="15.75" x14ac:dyDescent="0.25">
      <c r="A5" s="58"/>
      <c r="B5" s="2" t="s">
        <v>76</v>
      </c>
      <c r="C5" s="2" t="str">
        <f>VLOOKUP(B5,Setup!A:B,2,)</f>
        <v>Glossy Protective Cap, 65mm</v>
      </c>
      <c r="D5" s="2" t="s">
        <v>171</v>
      </c>
      <c r="E5" s="3" t="s">
        <v>85</v>
      </c>
      <c r="F5" s="23"/>
      <c r="G5" s="33">
        <v>14310</v>
      </c>
      <c r="H5" s="35">
        <v>14310</v>
      </c>
      <c r="I5" s="40">
        <v>8.5</v>
      </c>
      <c r="J5" s="40">
        <v>9</v>
      </c>
      <c r="K5" s="18">
        <v>8</v>
      </c>
      <c r="L5" s="41">
        <f t="shared" si="3"/>
        <v>56.470588235294116</v>
      </c>
      <c r="M5" s="17">
        <v>15</v>
      </c>
      <c r="N5" s="17"/>
      <c r="O5" s="17"/>
      <c r="P5" s="47"/>
      <c r="Q5" s="43">
        <v>280</v>
      </c>
      <c r="R5" s="19">
        <v>2.2999999999999998</v>
      </c>
      <c r="S5" s="59">
        <f t="shared" si="4"/>
        <v>1.7858529388927711E-2</v>
      </c>
      <c r="T5" s="11">
        <f t="shared" si="0"/>
        <v>0.90502232142857142</v>
      </c>
      <c r="U5" s="11">
        <f t="shared" si="1"/>
        <v>0.98245480204439695</v>
      </c>
      <c r="V5" s="11">
        <f t="shared" si="2"/>
        <v>0.88914352564486776</v>
      </c>
      <c r="W5" s="7"/>
      <c r="X5" s="12"/>
      <c r="Y5" s="14"/>
      <c r="Z5" s="12"/>
      <c r="AA5" s="14"/>
      <c r="AB5" s="29"/>
      <c r="AC5" s="18"/>
    </row>
    <row r="6" spans="1:29" ht="15.75" x14ac:dyDescent="0.25">
      <c r="A6" s="58"/>
      <c r="B6" s="39"/>
      <c r="C6" s="6" t="s">
        <v>86</v>
      </c>
      <c r="D6" s="6"/>
      <c r="E6" s="37"/>
      <c r="F6" s="37"/>
      <c r="G6" s="37"/>
      <c r="H6" s="38"/>
      <c r="I6" s="40"/>
      <c r="J6" s="40"/>
      <c r="K6" s="40"/>
      <c r="L6" s="41"/>
      <c r="M6" s="17"/>
      <c r="N6" s="17"/>
      <c r="O6" s="17"/>
      <c r="P6" s="47"/>
      <c r="Q6" s="44"/>
      <c r="R6" s="19"/>
      <c r="S6" s="19"/>
      <c r="T6" s="19"/>
      <c r="U6" s="19"/>
      <c r="V6" s="19"/>
      <c r="W6" s="7"/>
      <c r="X6" s="12"/>
      <c r="Y6" s="14"/>
      <c r="Z6" s="12"/>
      <c r="AA6" s="14"/>
      <c r="AB6" s="29"/>
      <c r="AC6" s="18"/>
    </row>
    <row r="7" spans="1:29" x14ac:dyDescent="0.25">
      <c r="G7" s="51">
        <f>SUM(G2:G6)</f>
        <v>98820</v>
      </c>
      <c r="H7" s="51">
        <f>SUM(H2:H6)</f>
        <v>98820</v>
      </c>
      <c r="M7" s="51">
        <f>SUM(M2:M6)</f>
        <v>170</v>
      </c>
      <c r="N7" s="51">
        <f>SUM(N2:N6)</f>
        <v>30</v>
      </c>
      <c r="O7" s="51">
        <f>SUM(O2:O6)</f>
        <v>0</v>
      </c>
      <c r="Q7" s="51">
        <f>SUM(Q2:Q6)</f>
        <v>2010</v>
      </c>
      <c r="R7" s="51">
        <f>SUM(R2:R6)</f>
        <v>38.599999999999994</v>
      </c>
      <c r="S7" s="51"/>
    </row>
  </sheetData>
  <autoFilter ref="A1:AA6" xr:uid="{C7B991B8-EEF6-4D5C-BA37-743E594A641C}"/>
  <mergeCells count="1">
    <mergeCell ref="A2:A6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5BB6-CC3A-47AB-A107-E51C68E8CF40}">
  <sheetPr>
    <pageSetUpPr fitToPage="1"/>
  </sheetPr>
  <dimension ref="A1:AC69"/>
  <sheetViews>
    <sheetView zoomScale="59" zoomScaleNormal="59" workbookViewId="0">
      <pane ySplit="1" topLeftCell="A24" activePane="bottomLeft" state="frozen"/>
      <selection pane="bottomLeft" activeCell="P73" sqref="P73"/>
    </sheetView>
  </sheetViews>
  <sheetFormatPr defaultRowHeight="15" x14ac:dyDescent="0.25"/>
  <cols>
    <col min="1" max="1" width="11.140625" customWidth="1"/>
    <col min="2" max="2" width="23" customWidth="1"/>
    <col min="3" max="3" width="75.5703125" customWidth="1"/>
    <col min="4" max="4" width="21.5703125" customWidth="1"/>
    <col min="5" max="5" width="11.28515625" customWidth="1"/>
    <col min="6" max="6" width="0" hidden="1" customWidth="1"/>
    <col min="7" max="8" width="13.85546875" customWidth="1"/>
    <col min="9" max="9" width="11.5703125" customWidth="1"/>
    <col min="10" max="11" width="11.140625" customWidth="1"/>
    <col min="12" max="12" width="14.42578125" customWidth="1"/>
    <col min="13" max="13" width="15.42578125" customWidth="1"/>
    <col min="14" max="15" width="17.7109375" customWidth="1"/>
    <col min="16" max="16" width="51.7109375" customWidth="1"/>
    <col min="17" max="17" width="14.5703125" customWidth="1"/>
    <col min="18" max="18" width="10.28515625" customWidth="1"/>
    <col min="19" max="19" width="14.140625" customWidth="1"/>
    <col min="20" max="21" width="10.28515625" customWidth="1"/>
    <col min="22" max="22" width="12.7109375" customWidth="1"/>
    <col min="23" max="23" width="2.28515625" hidden="1" customWidth="1"/>
    <col min="24" max="24" width="11" hidden="1" customWidth="1"/>
    <col min="25" max="25" width="14.28515625" hidden="1" customWidth="1"/>
    <col min="26" max="26" width="0" hidden="1" customWidth="1"/>
    <col min="27" max="27" width="14.85546875" hidden="1" customWidth="1"/>
    <col min="28" max="28" width="46" hidden="1" customWidth="1"/>
    <col min="29" max="29" width="17.7109375" hidden="1" customWidth="1"/>
    <col min="30" max="30" width="0" hidden="1" customWidth="1"/>
  </cols>
  <sheetData>
    <row r="1" spans="1:29" ht="96" customHeight="1" x14ac:dyDescent="0.25">
      <c r="A1" s="8" t="s">
        <v>133</v>
      </c>
      <c r="B1" s="31" t="s">
        <v>136</v>
      </c>
      <c r="C1" s="31" t="s">
        <v>136</v>
      </c>
      <c r="D1" s="31" t="s">
        <v>134</v>
      </c>
      <c r="E1" s="32" t="s">
        <v>135</v>
      </c>
      <c r="F1" s="8" t="s">
        <v>1</v>
      </c>
      <c r="G1" s="8" t="s">
        <v>194</v>
      </c>
      <c r="H1" s="8" t="s">
        <v>195</v>
      </c>
      <c r="I1" s="8" t="s">
        <v>207</v>
      </c>
      <c r="J1" s="8" t="s">
        <v>208</v>
      </c>
      <c r="K1" s="8" t="s">
        <v>210</v>
      </c>
      <c r="L1" s="8" t="s">
        <v>209</v>
      </c>
      <c r="M1" s="8" t="s">
        <v>137</v>
      </c>
      <c r="N1" s="8" t="s">
        <v>138</v>
      </c>
      <c r="O1" s="8" t="s">
        <v>139</v>
      </c>
      <c r="P1" s="8" t="s">
        <v>206</v>
      </c>
      <c r="Q1" s="8" t="s">
        <v>140</v>
      </c>
      <c r="R1" s="8" t="s">
        <v>141</v>
      </c>
      <c r="S1" s="8" t="s">
        <v>215</v>
      </c>
      <c r="T1" s="8" t="s">
        <v>113</v>
      </c>
      <c r="U1" s="8" t="s">
        <v>114</v>
      </c>
      <c r="V1" s="8" t="s">
        <v>0</v>
      </c>
      <c r="W1" s="7"/>
      <c r="X1" s="8" t="s">
        <v>79</v>
      </c>
      <c r="Y1" s="8" t="s">
        <v>112</v>
      </c>
      <c r="Z1" s="8" t="s">
        <v>79</v>
      </c>
      <c r="AA1" s="8" t="s">
        <v>112</v>
      </c>
      <c r="AB1" s="8" t="s">
        <v>90</v>
      </c>
      <c r="AC1" s="8" t="s">
        <v>115</v>
      </c>
    </row>
    <row r="2" spans="1:29" ht="15.75" x14ac:dyDescent="0.25">
      <c r="A2" s="58">
        <v>5</v>
      </c>
      <c r="B2" s="2" t="s">
        <v>76</v>
      </c>
      <c r="C2" s="2" t="str">
        <f>VLOOKUP(B2,Setup!A:B,2,)</f>
        <v>Glossy Protective Cap, 65mm</v>
      </c>
      <c r="D2" s="2" t="s">
        <v>183</v>
      </c>
      <c r="E2" s="3" t="s">
        <v>87</v>
      </c>
      <c r="F2" s="24"/>
      <c r="G2" s="34">
        <v>32130</v>
      </c>
      <c r="H2" s="36">
        <v>32130</v>
      </c>
      <c r="I2" s="40">
        <v>8.5</v>
      </c>
      <c r="J2" s="40">
        <v>9</v>
      </c>
      <c r="K2" s="18">
        <v>8</v>
      </c>
      <c r="L2" s="41">
        <f>(60/I2)*K2</f>
        <v>56.470588235294116</v>
      </c>
      <c r="M2" s="17">
        <v>40</v>
      </c>
      <c r="N2" s="17">
        <v>15</v>
      </c>
      <c r="O2" s="17"/>
      <c r="P2" s="47"/>
      <c r="Q2" s="43">
        <f>520+65+40</f>
        <v>625</v>
      </c>
      <c r="R2" s="19">
        <f>6.3+4.1</f>
        <v>10.399999999999999</v>
      </c>
      <c r="S2" s="59">
        <f>R2/(G2*J2/1000)</f>
        <v>3.5965003285264717E-2</v>
      </c>
      <c r="T2" s="11">
        <f t="shared" ref="T2:T57" si="0">(H2/(L2*(Q2-N2-M2-O2)))*((Q2-N2-M2-O2)/(Q2-N2-O2))</f>
        <v>0.93273565573770501</v>
      </c>
      <c r="U2" s="11">
        <f t="shared" ref="U2:U65" si="1">(H2*J2/(H2*J2+R2*1000))</f>
        <v>0.96528357312147406</v>
      </c>
      <c r="V2" s="11">
        <f t="shared" ref="V2:V65" si="2">T2*U2</f>
        <v>0.90035440654829302</v>
      </c>
      <c r="W2" s="7"/>
      <c r="X2" s="12" t="s">
        <v>91</v>
      </c>
      <c r="Y2" s="14">
        <v>40</v>
      </c>
      <c r="Z2" s="12"/>
      <c r="AA2" s="14"/>
      <c r="AB2" s="29"/>
      <c r="AC2" s="18">
        <f>10</f>
        <v>10</v>
      </c>
    </row>
    <row r="3" spans="1:29" ht="15.75" x14ac:dyDescent="0.25">
      <c r="A3" s="58"/>
      <c r="B3" s="2" t="s">
        <v>76</v>
      </c>
      <c r="C3" s="2" t="str">
        <f>VLOOKUP(B3,Setup!A:B,2,)</f>
        <v>Glossy Protective Cap, 65mm</v>
      </c>
      <c r="D3" s="2" t="s">
        <v>142</v>
      </c>
      <c r="E3" s="3" t="s">
        <v>42</v>
      </c>
      <c r="F3" s="23"/>
      <c r="G3" s="34">
        <v>20250</v>
      </c>
      <c r="H3" s="36">
        <v>20250</v>
      </c>
      <c r="I3" s="40">
        <v>8.5</v>
      </c>
      <c r="J3" s="40">
        <v>9</v>
      </c>
      <c r="K3" s="18">
        <v>8</v>
      </c>
      <c r="L3" s="41">
        <f t="shared" ref="L3:L66" si="3">(60/I3)*K3</f>
        <v>56.470588235294116</v>
      </c>
      <c r="M3" s="17">
        <v>10</v>
      </c>
      <c r="N3" s="17"/>
      <c r="O3" s="17"/>
      <c r="P3" s="47"/>
      <c r="Q3" s="43">
        <f>365</f>
        <v>365</v>
      </c>
      <c r="R3" s="19">
        <f>4.9</f>
        <v>4.9000000000000004</v>
      </c>
      <c r="S3" s="59">
        <f t="shared" ref="S3:S66" si="4">R3/(G3*J3/1000)</f>
        <v>2.6886145404663924E-2</v>
      </c>
      <c r="T3" s="11">
        <f t="shared" si="0"/>
        <v>0.98244863013698636</v>
      </c>
      <c r="U3" s="11">
        <f t="shared" si="1"/>
        <v>0.97381779321399942</v>
      </c>
      <c r="V3" s="11">
        <f t="shared" si="2"/>
        <v>0.95672595694611673</v>
      </c>
      <c r="W3" s="7"/>
      <c r="X3" s="12"/>
      <c r="Y3" s="14"/>
      <c r="Z3" s="12"/>
      <c r="AA3" s="14"/>
      <c r="AB3" s="29"/>
      <c r="AC3" s="18"/>
    </row>
    <row r="4" spans="1:29" ht="15.75" x14ac:dyDescent="0.25">
      <c r="A4" s="58"/>
      <c r="B4" s="2" t="s">
        <v>76</v>
      </c>
      <c r="C4" s="2" t="str">
        <f>VLOOKUP(B4,Setup!A:B,2,)</f>
        <v>Glossy Protective Cap, 65mm</v>
      </c>
      <c r="D4" s="2" t="s">
        <v>180</v>
      </c>
      <c r="E4" s="3" t="s">
        <v>51</v>
      </c>
      <c r="F4" s="24"/>
      <c r="G4" s="34">
        <v>40230</v>
      </c>
      <c r="H4" s="36">
        <v>40230</v>
      </c>
      <c r="I4" s="40">
        <v>8.5</v>
      </c>
      <c r="J4" s="40">
        <v>9</v>
      </c>
      <c r="K4" s="18">
        <v>8</v>
      </c>
      <c r="L4" s="41">
        <f t="shared" si="3"/>
        <v>56.470588235294116</v>
      </c>
      <c r="M4" s="17">
        <v>15</v>
      </c>
      <c r="N4" s="17">
        <f>15</f>
        <v>15</v>
      </c>
      <c r="O4" s="17"/>
      <c r="P4" s="47"/>
      <c r="Q4" s="43">
        <f>255+485</f>
        <v>740</v>
      </c>
      <c r="R4" s="19">
        <v>6.6</v>
      </c>
      <c r="S4" s="59">
        <f t="shared" si="4"/>
        <v>1.8228519347087579E-2</v>
      </c>
      <c r="T4" s="11">
        <f t="shared" si="0"/>
        <v>0.98262931034482737</v>
      </c>
      <c r="U4" s="11">
        <f t="shared" si="1"/>
        <v>0.98209781105053295</v>
      </c>
      <c r="V4" s="11">
        <f t="shared" si="2"/>
        <v>0.9650380947637498</v>
      </c>
      <c r="W4" s="7"/>
      <c r="X4" s="12"/>
      <c r="Y4" s="14"/>
      <c r="Z4" s="12"/>
      <c r="AA4" s="14"/>
      <c r="AB4" s="29"/>
      <c r="AC4" s="18">
        <f>15</f>
        <v>15</v>
      </c>
    </row>
    <row r="5" spans="1:29" ht="15.75" x14ac:dyDescent="0.25">
      <c r="A5" s="58"/>
      <c r="B5" s="2" t="s">
        <v>76</v>
      </c>
      <c r="C5" s="2" t="str">
        <f>VLOOKUP(B5,Setup!A:B,2,)</f>
        <v>Glossy Protective Cap, 65mm</v>
      </c>
      <c r="D5" s="2" t="s">
        <v>186</v>
      </c>
      <c r="E5" s="3" t="s">
        <v>68</v>
      </c>
      <c r="F5" s="24"/>
      <c r="G5" s="34">
        <v>18000</v>
      </c>
      <c r="H5" s="36">
        <v>18000</v>
      </c>
      <c r="I5" s="40">
        <v>8.5</v>
      </c>
      <c r="J5" s="40">
        <v>9</v>
      </c>
      <c r="K5" s="18">
        <v>8</v>
      </c>
      <c r="L5" s="41">
        <f t="shared" si="3"/>
        <v>56.470588235294116</v>
      </c>
      <c r="M5" s="17">
        <v>15</v>
      </c>
      <c r="N5" s="17">
        <v>15</v>
      </c>
      <c r="O5" s="17"/>
      <c r="P5" s="47"/>
      <c r="Q5" s="43">
        <f>235+105</f>
        <v>340</v>
      </c>
      <c r="R5" s="19">
        <f>9.1+0.3</f>
        <v>9.4</v>
      </c>
      <c r="S5" s="59">
        <f t="shared" si="4"/>
        <v>5.8024691358024696E-2</v>
      </c>
      <c r="T5" s="11">
        <f t="shared" si="0"/>
        <v>0.98076923076923095</v>
      </c>
      <c r="U5" s="11">
        <f t="shared" si="1"/>
        <v>0.94515752625437577</v>
      </c>
      <c r="V5" s="11">
        <f t="shared" si="2"/>
        <v>0.9269814199802533</v>
      </c>
      <c r="W5" s="7"/>
      <c r="X5" s="12"/>
      <c r="Y5" s="14"/>
      <c r="Z5" s="12"/>
      <c r="AA5" s="14"/>
      <c r="AB5" s="29"/>
      <c r="AC5" s="18">
        <f>10</f>
        <v>10</v>
      </c>
    </row>
    <row r="6" spans="1:29" ht="15.75" x14ac:dyDescent="0.25">
      <c r="A6" s="58"/>
      <c r="B6" s="2" t="s">
        <v>76</v>
      </c>
      <c r="C6" s="2" t="str">
        <f>VLOOKUP(B6,Setup!A:B,2,)</f>
        <v>Glossy Protective Cap, 65mm</v>
      </c>
      <c r="D6" s="2" t="s">
        <v>181</v>
      </c>
      <c r="E6" s="3" t="s">
        <v>85</v>
      </c>
      <c r="F6" s="24"/>
      <c r="G6" s="34">
        <v>16740</v>
      </c>
      <c r="H6" s="36">
        <v>16740</v>
      </c>
      <c r="I6" s="40">
        <v>8.5</v>
      </c>
      <c r="J6" s="40">
        <v>9</v>
      </c>
      <c r="K6" s="18">
        <v>8</v>
      </c>
      <c r="L6" s="41">
        <f t="shared" si="3"/>
        <v>56.470588235294116</v>
      </c>
      <c r="M6" s="17">
        <v>10</v>
      </c>
      <c r="N6" s="17"/>
      <c r="O6" s="17"/>
      <c r="P6" s="47"/>
      <c r="Q6" s="43">
        <f>300</f>
        <v>300</v>
      </c>
      <c r="R6" s="19">
        <f>5.3</f>
        <v>5.3</v>
      </c>
      <c r="S6" s="59">
        <f t="shared" si="4"/>
        <v>3.5178547723350592E-2</v>
      </c>
      <c r="T6" s="11">
        <f t="shared" si="0"/>
        <v>0.98812499999999992</v>
      </c>
      <c r="U6" s="11">
        <f t="shared" si="1"/>
        <v>0.96601692741728651</v>
      </c>
      <c r="V6" s="11">
        <f t="shared" si="2"/>
        <v>0.95454547640420617</v>
      </c>
      <c r="W6" s="7"/>
      <c r="X6" s="12"/>
      <c r="Y6" s="14"/>
      <c r="Z6" s="12"/>
      <c r="AA6" s="14"/>
      <c r="AB6" s="29"/>
      <c r="AC6" s="18"/>
    </row>
    <row r="7" spans="1:29" ht="15.75" x14ac:dyDescent="0.25">
      <c r="A7" s="58"/>
      <c r="B7" s="2" t="s">
        <v>76</v>
      </c>
      <c r="C7" s="2" t="str">
        <f>VLOOKUP(B7,Setup!A:B,2,)</f>
        <v>Glossy Protective Cap, 65mm</v>
      </c>
      <c r="D7" s="2" t="s">
        <v>146</v>
      </c>
      <c r="E7" s="3" t="s">
        <v>70</v>
      </c>
      <c r="F7" s="24"/>
      <c r="G7" s="34">
        <v>10800</v>
      </c>
      <c r="H7" s="36">
        <v>10800</v>
      </c>
      <c r="I7" s="40">
        <v>8.5</v>
      </c>
      <c r="J7" s="40">
        <v>9</v>
      </c>
      <c r="K7" s="18">
        <v>8</v>
      </c>
      <c r="L7" s="41">
        <f t="shared" si="3"/>
        <v>56.470588235294116</v>
      </c>
      <c r="M7" s="17">
        <v>10</v>
      </c>
      <c r="N7" s="17"/>
      <c r="O7" s="17"/>
      <c r="P7" s="47"/>
      <c r="Q7" s="43">
        <f>210</f>
        <v>210</v>
      </c>
      <c r="R7" s="19">
        <v>6.3</v>
      </c>
      <c r="S7" s="59">
        <f t="shared" si="4"/>
        <v>6.4814814814814811E-2</v>
      </c>
      <c r="T7" s="11">
        <f t="shared" si="0"/>
        <v>0.9107142857142857</v>
      </c>
      <c r="U7" s="11">
        <f t="shared" si="1"/>
        <v>0.93913043478260871</v>
      </c>
      <c r="V7" s="11">
        <f t="shared" si="2"/>
        <v>0.85527950310559009</v>
      </c>
      <c r="W7" s="7"/>
      <c r="X7" s="12"/>
      <c r="Y7" s="14"/>
      <c r="Z7" s="12"/>
      <c r="AA7" s="14"/>
      <c r="AB7" s="29"/>
      <c r="AC7" s="18"/>
    </row>
    <row r="8" spans="1:29" ht="15.75" x14ac:dyDescent="0.25">
      <c r="A8" s="58"/>
      <c r="B8" s="2" t="s">
        <v>76</v>
      </c>
      <c r="C8" s="2" t="str">
        <f>VLOOKUP(B8,Setup!A:B,2,)</f>
        <v>Glossy Protective Cap, 65mm</v>
      </c>
      <c r="D8" s="2" t="s">
        <v>172</v>
      </c>
      <c r="E8" s="3" t="s">
        <v>50</v>
      </c>
      <c r="F8" s="24"/>
      <c r="G8" s="34">
        <v>30240</v>
      </c>
      <c r="H8" s="36">
        <v>30240</v>
      </c>
      <c r="I8" s="40">
        <v>8.5</v>
      </c>
      <c r="J8" s="40">
        <v>9</v>
      </c>
      <c r="K8" s="18">
        <v>8</v>
      </c>
      <c r="L8" s="41">
        <f t="shared" si="3"/>
        <v>56.470588235294116</v>
      </c>
      <c r="M8" s="17">
        <v>10</v>
      </c>
      <c r="N8" s="17">
        <f>15</f>
        <v>15</v>
      </c>
      <c r="O8" s="17"/>
      <c r="P8" s="47"/>
      <c r="Q8" s="43">
        <f>75+515</f>
        <v>590</v>
      </c>
      <c r="R8" s="19">
        <f>4.4+1.46+0.9+0.7</f>
        <v>7.4600000000000009</v>
      </c>
      <c r="S8" s="59">
        <f t="shared" si="4"/>
        <v>2.7410346854791299E-2</v>
      </c>
      <c r="T8" s="11">
        <f t="shared" si="0"/>
        <v>0.93130434782608695</v>
      </c>
      <c r="U8" s="11">
        <f t="shared" si="1"/>
        <v>0.97332093555539656</v>
      </c>
      <c r="V8" s="11">
        <f t="shared" si="2"/>
        <v>0.90645801911289536</v>
      </c>
      <c r="W8" s="7"/>
      <c r="X8" s="12"/>
      <c r="Y8" s="14"/>
      <c r="Z8" s="12"/>
      <c r="AA8" s="14"/>
      <c r="AB8" s="29"/>
      <c r="AC8" s="18">
        <f>25</f>
        <v>25</v>
      </c>
    </row>
    <row r="9" spans="1:29" ht="15.75" x14ac:dyDescent="0.25">
      <c r="A9" s="58"/>
      <c r="B9" s="2" t="s">
        <v>76</v>
      </c>
      <c r="C9" s="2" t="str">
        <f>VLOOKUP(B9,Setup!A:B,2,)</f>
        <v>Glossy Protective Cap, 65mm</v>
      </c>
      <c r="D9" s="2" t="s">
        <v>143</v>
      </c>
      <c r="E9" s="3" t="s">
        <v>88</v>
      </c>
      <c r="F9" s="24"/>
      <c r="G9" s="34">
        <v>31050</v>
      </c>
      <c r="H9" s="36">
        <v>31050</v>
      </c>
      <c r="I9" s="40">
        <v>8.5</v>
      </c>
      <c r="J9" s="40">
        <v>9</v>
      </c>
      <c r="K9" s="18">
        <v>8</v>
      </c>
      <c r="L9" s="41">
        <f t="shared" si="3"/>
        <v>56.470588235294116</v>
      </c>
      <c r="M9" s="17">
        <v>25</v>
      </c>
      <c r="N9" s="17">
        <v>15</v>
      </c>
      <c r="O9" s="17"/>
      <c r="P9" s="47"/>
      <c r="Q9" s="43">
        <f>190+390</f>
        <v>580</v>
      </c>
      <c r="R9" s="19">
        <f>9.3</f>
        <v>9.3000000000000007</v>
      </c>
      <c r="S9" s="59">
        <f t="shared" si="4"/>
        <v>3.3279656468062267E-2</v>
      </c>
      <c r="T9" s="11">
        <f t="shared" si="0"/>
        <v>0.97317477876106206</v>
      </c>
      <c r="U9" s="11">
        <f t="shared" si="1"/>
        <v>0.96779220779220776</v>
      </c>
      <c r="V9" s="11">
        <f t="shared" si="2"/>
        <v>0.94183096770486163</v>
      </c>
      <c r="W9" s="7"/>
      <c r="X9" s="12"/>
      <c r="Y9" s="14"/>
      <c r="Z9" s="12"/>
      <c r="AA9" s="14"/>
      <c r="AB9" s="29"/>
      <c r="AC9" s="18">
        <v>10</v>
      </c>
    </row>
    <row r="10" spans="1:29" ht="15.75" x14ac:dyDescent="0.25">
      <c r="A10" s="58"/>
      <c r="B10" s="2" t="s">
        <v>76</v>
      </c>
      <c r="C10" s="2" t="str">
        <f>VLOOKUP(B10,Setup!A:B,2,)</f>
        <v>Glossy Protective Cap, 65mm</v>
      </c>
      <c r="D10" s="2" t="s">
        <v>143</v>
      </c>
      <c r="E10" s="3" t="s">
        <v>69</v>
      </c>
      <c r="F10" s="24"/>
      <c r="G10" s="34">
        <v>10800</v>
      </c>
      <c r="H10" s="36">
        <v>10800</v>
      </c>
      <c r="I10" s="40">
        <v>8.5</v>
      </c>
      <c r="J10" s="40">
        <v>9</v>
      </c>
      <c r="K10" s="18">
        <v>8</v>
      </c>
      <c r="L10" s="41">
        <f t="shared" si="3"/>
        <v>56.470588235294116</v>
      </c>
      <c r="M10" s="17">
        <v>40</v>
      </c>
      <c r="N10" s="17"/>
      <c r="O10" s="17"/>
      <c r="P10" s="47"/>
      <c r="Q10" s="43">
        <f>190</f>
        <v>190</v>
      </c>
      <c r="R10" s="19">
        <f>6.8+7+2.2</f>
        <v>16</v>
      </c>
      <c r="S10" s="59">
        <f t="shared" si="4"/>
        <v>0.16460905349794239</v>
      </c>
      <c r="T10" s="11">
        <f t="shared" si="0"/>
        <v>1.0065789473684212</v>
      </c>
      <c r="U10" s="11">
        <f t="shared" si="1"/>
        <v>0.85865724381625441</v>
      </c>
      <c r="V10" s="11">
        <f t="shared" si="2"/>
        <v>0.86430630463083524</v>
      </c>
      <c r="W10" s="7"/>
      <c r="X10" s="12"/>
      <c r="Y10" s="14"/>
      <c r="Z10" s="12"/>
      <c r="AA10" s="14"/>
      <c r="AB10" s="29"/>
      <c r="AC10" s="18"/>
    </row>
    <row r="11" spans="1:29" ht="15.75" x14ac:dyDescent="0.25">
      <c r="A11" s="58"/>
      <c r="B11" s="2" t="s">
        <v>76</v>
      </c>
      <c r="C11" s="2" t="str">
        <f>VLOOKUP(B11,Setup!A:B,2,)</f>
        <v>Glossy Protective Cap, 65mm</v>
      </c>
      <c r="D11" s="2" t="s">
        <v>173</v>
      </c>
      <c r="E11" s="3" t="s">
        <v>59</v>
      </c>
      <c r="F11" s="24"/>
      <c r="G11" s="34">
        <v>40230</v>
      </c>
      <c r="H11" s="36">
        <v>40230</v>
      </c>
      <c r="I11" s="40">
        <v>8.5</v>
      </c>
      <c r="J11" s="40">
        <v>9</v>
      </c>
      <c r="K11" s="18">
        <v>8</v>
      </c>
      <c r="L11" s="41">
        <f t="shared" si="3"/>
        <v>56.470588235294116</v>
      </c>
      <c r="M11" s="17">
        <v>15</v>
      </c>
      <c r="N11" s="17">
        <f>15</f>
        <v>15</v>
      </c>
      <c r="O11" s="17"/>
      <c r="P11" s="47"/>
      <c r="Q11" s="43">
        <f>75+655</f>
        <v>730</v>
      </c>
      <c r="R11" s="19">
        <f>7.2+0.9</f>
        <v>8.1</v>
      </c>
      <c r="S11" s="59">
        <f t="shared" si="4"/>
        <v>2.2371364653243846E-2</v>
      </c>
      <c r="T11" s="11">
        <f t="shared" si="0"/>
        <v>0.99637237762237763</v>
      </c>
      <c r="U11" s="11">
        <f t="shared" si="1"/>
        <v>0.97811816192560175</v>
      </c>
      <c r="V11" s="11">
        <f t="shared" si="2"/>
        <v>0.97456991859344155</v>
      </c>
      <c r="W11" s="7"/>
      <c r="X11" s="12"/>
      <c r="Y11" s="14"/>
      <c r="Z11" s="12"/>
      <c r="AA11" s="14"/>
      <c r="AB11" s="29"/>
      <c r="AC11" s="18">
        <f>15</f>
        <v>15</v>
      </c>
    </row>
    <row r="12" spans="1:29" ht="15.75" x14ac:dyDescent="0.25">
      <c r="A12" s="58"/>
      <c r="B12" s="2" t="s">
        <v>76</v>
      </c>
      <c r="C12" s="2" t="str">
        <f>VLOOKUP(B12,Setup!A:B,2,)</f>
        <v>Glossy Protective Cap, 65mm</v>
      </c>
      <c r="D12" s="2" t="s">
        <v>143</v>
      </c>
      <c r="E12" s="3" t="s">
        <v>52</v>
      </c>
      <c r="F12" s="24"/>
      <c r="G12" s="34">
        <v>27000</v>
      </c>
      <c r="H12" s="36">
        <v>27000</v>
      </c>
      <c r="I12" s="40">
        <v>8.5</v>
      </c>
      <c r="J12" s="40">
        <v>9</v>
      </c>
      <c r="K12" s="18">
        <v>8</v>
      </c>
      <c r="L12" s="41">
        <f t="shared" si="3"/>
        <v>56.470588235294116</v>
      </c>
      <c r="M12" s="17">
        <v>20</v>
      </c>
      <c r="N12" s="17">
        <v>15</v>
      </c>
      <c r="O12" s="17"/>
      <c r="P12" s="47"/>
      <c r="Q12" s="43">
        <f>35+470</f>
        <v>505</v>
      </c>
      <c r="R12" s="19">
        <f>0.9+5.2</f>
        <v>6.1000000000000005</v>
      </c>
      <c r="S12" s="59">
        <f t="shared" si="4"/>
        <v>2.5102880658436216E-2</v>
      </c>
      <c r="T12" s="11">
        <f t="shared" si="0"/>
        <v>0.97576530612244894</v>
      </c>
      <c r="U12" s="11">
        <f t="shared" si="1"/>
        <v>0.97551184263348056</v>
      </c>
      <c r="V12" s="11">
        <f t="shared" si="2"/>
        <v>0.95187061175333243</v>
      </c>
      <c r="W12" s="7"/>
      <c r="X12" s="12"/>
      <c r="Y12" s="14"/>
      <c r="Z12" s="12"/>
      <c r="AA12" s="14"/>
      <c r="AB12" s="29"/>
      <c r="AC12" s="18">
        <v>15</v>
      </c>
    </row>
    <row r="13" spans="1:29" ht="15.75" x14ac:dyDescent="0.25">
      <c r="A13" s="58"/>
      <c r="B13" s="2" t="s">
        <v>76</v>
      </c>
      <c r="C13" s="2" t="str">
        <f>VLOOKUP(B13,Setup!A:B,2,)</f>
        <v>Glossy Protective Cap, 65mm</v>
      </c>
      <c r="D13" s="2" t="s">
        <v>174</v>
      </c>
      <c r="E13" s="3" t="s">
        <v>41</v>
      </c>
      <c r="F13" s="24"/>
      <c r="G13" s="34">
        <v>27000</v>
      </c>
      <c r="H13" s="36">
        <v>27000</v>
      </c>
      <c r="I13" s="40">
        <v>8.5</v>
      </c>
      <c r="J13" s="40">
        <v>9</v>
      </c>
      <c r="K13" s="18">
        <v>8</v>
      </c>
      <c r="L13" s="41">
        <f t="shared" si="3"/>
        <v>56.470588235294116</v>
      </c>
      <c r="M13" s="17">
        <v>15</v>
      </c>
      <c r="N13" s="17">
        <v>15</v>
      </c>
      <c r="O13" s="17"/>
      <c r="P13" s="47"/>
      <c r="Q13" s="43">
        <f>235+290</f>
        <v>525</v>
      </c>
      <c r="R13" s="19">
        <f>7.8+0.5</f>
        <v>8.3000000000000007</v>
      </c>
      <c r="S13" s="59">
        <f t="shared" si="4"/>
        <v>3.4156378600823045E-2</v>
      </c>
      <c r="T13" s="11">
        <f t="shared" si="0"/>
        <v>0.9375</v>
      </c>
      <c r="U13" s="11">
        <f t="shared" si="1"/>
        <v>0.9669717469160366</v>
      </c>
      <c r="V13" s="11">
        <f t="shared" si="2"/>
        <v>0.90653601273378426</v>
      </c>
      <c r="W13" s="7"/>
      <c r="X13" s="12"/>
      <c r="Y13" s="14"/>
      <c r="Z13" s="12"/>
      <c r="AA13" s="14"/>
      <c r="AB13" s="29"/>
      <c r="AC13" s="18">
        <v>15</v>
      </c>
    </row>
    <row r="14" spans="1:29" ht="15.75" x14ac:dyDescent="0.25">
      <c r="A14" s="58"/>
      <c r="B14" s="2" t="s">
        <v>76</v>
      </c>
      <c r="C14" s="2" t="str">
        <f>VLOOKUP(B14,Setup!A:B,2,)</f>
        <v>Glossy Protective Cap, 65mm</v>
      </c>
      <c r="D14" s="2" t="s">
        <v>187</v>
      </c>
      <c r="E14" s="3" t="s">
        <v>57</v>
      </c>
      <c r="F14" s="24"/>
      <c r="G14" s="34">
        <v>27000</v>
      </c>
      <c r="H14" s="36">
        <v>27000</v>
      </c>
      <c r="I14" s="40">
        <v>8.5</v>
      </c>
      <c r="J14" s="40">
        <v>9</v>
      </c>
      <c r="K14" s="18">
        <v>8</v>
      </c>
      <c r="L14" s="41">
        <f t="shared" si="3"/>
        <v>56.470588235294116</v>
      </c>
      <c r="M14" s="17">
        <v>25</v>
      </c>
      <c r="N14" s="17">
        <v>15</v>
      </c>
      <c r="O14" s="17"/>
      <c r="P14" s="47"/>
      <c r="Q14" s="43">
        <f>405+95</f>
        <v>500</v>
      </c>
      <c r="R14" s="19">
        <f>7.2+3.4</f>
        <v>10.6</v>
      </c>
      <c r="S14" s="59">
        <f t="shared" si="4"/>
        <v>4.3621399176954734E-2</v>
      </c>
      <c r="T14" s="11">
        <f t="shared" si="0"/>
        <v>0.98582474226804118</v>
      </c>
      <c r="U14" s="11">
        <f t="shared" si="1"/>
        <v>0.95820189274447953</v>
      </c>
      <c r="V14" s="11">
        <f t="shared" si="2"/>
        <v>0.94461913395557573</v>
      </c>
      <c r="W14" s="7"/>
      <c r="X14" s="12"/>
      <c r="Y14" s="14"/>
      <c r="Z14" s="12"/>
      <c r="AA14" s="14"/>
      <c r="AB14" s="29"/>
      <c r="AC14" s="18">
        <v>15</v>
      </c>
    </row>
    <row r="15" spans="1:29" ht="15.75" x14ac:dyDescent="0.25">
      <c r="A15" s="58"/>
      <c r="B15" s="2" t="s">
        <v>76</v>
      </c>
      <c r="C15" s="2" t="str">
        <f>VLOOKUP(B15,Setup!A:B,2,)</f>
        <v>Glossy Protective Cap, 65mm</v>
      </c>
      <c r="D15" s="2" t="s">
        <v>182</v>
      </c>
      <c r="E15" s="3" t="s">
        <v>67</v>
      </c>
      <c r="F15" s="24"/>
      <c r="G15" s="34">
        <v>14040</v>
      </c>
      <c r="H15" s="36">
        <v>14040</v>
      </c>
      <c r="I15" s="40">
        <v>8.5</v>
      </c>
      <c r="J15" s="40">
        <v>9</v>
      </c>
      <c r="K15" s="18">
        <v>8</v>
      </c>
      <c r="L15" s="41">
        <f t="shared" si="3"/>
        <v>56.470588235294116</v>
      </c>
      <c r="M15" s="17">
        <v>20</v>
      </c>
      <c r="N15" s="17"/>
      <c r="O15" s="17"/>
      <c r="P15" s="47"/>
      <c r="Q15" s="43">
        <f>255</f>
        <v>255</v>
      </c>
      <c r="R15" s="19">
        <v>9</v>
      </c>
      <c r="S15" s="59">
        <f t="shared" si="4"/>
        <v>7.1225071225071226E-2</v>
      </c>
      <c r="T15" s="11">
        <f t="shared" si="0"/>
        <v>0.97500000000000009</v>
      </c>
      <c r="U15" s="11">
        <f t="shared" si="1"/>
        <v>0.93351063829787229</v>
      </c>
      <c r="V15" s="11">
        <f t="shared" si="2"/>
        <v>0.91017287234042554</v>
      </c>
      <c r="W15" s="7"/>
      <c r="X15" s="12"/>
      <c r="Y15" s="14"/>
      <c r="Z15" s="12"/>
      <c r="AA15" s="14"/>
      <c r="AB15" s="29"/>
      <c r="AC15" s="18"/>
    </row>
    <row r="16" spans="1:29" ht="15.75" x14ac:dyDescent="0.25">
      <c r="A16" s="58"/>
      <c r="B16" s="2" t="s">
        <v>76</v>
      </c>
      <c r="C16" s="2" t="str">
        <f>VLOOKUP(B16,Setup!A:B,2,)</f>
        <v>Glossy Protective Cap, 65mm</v>
      </c>
      <c r="D16" s="2" t="s">
        <v>175</v>
      </c>
      <c r="E16" s="3" t="s">
        <v>55</v>
      </c>
      <c r="F16" s="23"/>
      <c r="G16" s="34">
        <v>15120</v>
      </c>
      <c r="H16" s="36">
        <v>15120</v>
      </c>
      <c r="I16" s="40">
        <v>8.5</v>
      </c>
      <c r="J16" s="40">
        <v>9</v>
      </c>
      <c r="K16" s="18">
        <v>8</v>
      </c>
      <c r="L16" s="41">
        <f t="shared" si="3"/>
        <v>56.470588235294116</v>
      </c>
      <c r="M16" s="17">
        <v>15</v>
      </c>
      <c r="N16" s="17"/>
      <c r="O16" s="17"/>
      <c r="P16" s="47"/>
      <c r="Q16" s="43">
        <f>280</f>
        <v>280</v>
      </c>
      <c r="R16" s="19">
        <v>8.9</v>
      </c>
      <c r="S16" s="59">
        <f t="shared" si="4"/>
        <v>6.5402704291593172E-2</v>
      </c>
      <c r="T16" s="11">
        <f t="shared" si="0"/>
        <v>0.95624999999999993</v>
      </c>
      <c r="U16" s="11">
        <f t="shared" si="1"/>
        <v>0.93861222237550002</v>
      </c>
      <c r="V16" s="11">
        <f t="shared" si="2"/>
        <v>0.89754793764657181</v>
      </c>
      <c r="W16" s="7"/>
      <c r="X16" s="12"/>
      <c r="Y16" s="14"/>
      <c r="Z16" s="12"/>
      <c r="AA16" s="14"/>
      <c r="AB16" s="29"/>
      <c r="AC16" s="18"/>
    </row>
    <row r="17" spans="1:29" ht="15.75" x14ac:dyDescent="0.25">
      <c r="A17" s="58"/>
      <c r="B17" s="2" t="s">
        <v>76</v>
      </c>
      <c r="C17" s="2" t="str">
        <f>VLOOKUP(B17,Setup!A:B,2,)</f>
        <v>Glossy Protective Cap, 65mm</v>
      </c>
      <c r="D17" s="2" t="s">
        <v>179</v>
      </c>
      <c r="E17" s="3" t="s">
        <v>53</v>
      </c>
      <c r="F17" s="23"/>
      <c r="G17" s="34">
        <v>15120</v>
      </c>
      <c r="H17" s="36">
        <v>15120</v>
      </c>
      <c r="I17" s="40">
        <v>8.5</v>
      </c>
      <c r="J17" s="40">
        <v>9</v>
      </c>
      <c r="K17" s="18">
        <v>8</v>
      </c>
      <c r="L17" s="41">
        <f t="shared" si="3"/>
        <v>56.470588235294116</v>
      </c>
      <c r="M17" s="17">
        <v>15</v>
      </c>
      <c r="N17" s="17">
        <v>15</v>
      </c>
      <c r="O17" s="17"/>
      <c r="P17" s="47"/>
      <c r="Q17" s="43">
        <f>40+260</f>
        <v>300</v>
      </c>
      <c r="R17" s="19">
        <v>0.8</v>
      </c>
      <c r="S17" s="59">
        <f t="shared" si="4"/>
        <v>5.8788947677836561E-3</v>
      </c>
      <c r="T17" s="11">
        <f t="shared" si="0"/>
        <v>0.93947368421052624</v>
      </c>
      <c r="U17" s="11">
        <f t="shared" si="1"/>
        <v>0.99415546464056104</v>
      </c>
      <c r="V17" s="11">
        <f t="shared" si="2"/>
        <v>0.93398289704389548</v>
      </c>
      <c r="W17" s="7"/>
      <c r="X17" s="12"/>
      <c r="Y17" s="14"/>
      <c r="Z17" s="12"/>
      <c r="AA17" s="14"/>
      <c r="AB17" s="29"/>
      <c r="AC17" s="18">
        <v>15</v>
      </c>
    </row>
    <row r="18" spans="1:29" ht="15.75" x14ac:dyDescent="0.25">
      <c r="A18" s="58"/>
      <c r="B18" s="2" t="s">
        <v>76</v>
      </c>
      <c r="C18" s="2" t="str">
        <f>VLOOKUP(B18,Setup!A:B,2,)</f>
        <v>Glossy Protective Cap, 65mm</v>
      </c>
      <c r="D18" s="2" t="s">
        <v>176</v>
      </c>
      <c r="E18" s="3" t="s">
        <v>66</v>
      </c>
      <c r="F18" s="23"/>
      <c r="G18" s="34">
        <v>25110</v>
      </c>
      <c r="H18" s="36">
        <v>25110</v>
      </c>
      <c r="I18" s="40">
        <v>8.5</v>
      </c>
      <c r="J18" s="40">
        <v>9</v>
      </c>
      <c r="K18" s="18">
        <v>8</v>
      </c>
      <c r="L18" s="41">
        <f t="shared" si="3"/>
        <v>56.470588235294116</v>
      </c>
      <c r="M18" s="17">
        <v>40</v>
      </c>
      <c r="N18" s="17">
        <v>15</v>
      </c>
      <c r="O18" s="17"/>
      <c r="P18" s="47"/>
      <c r="Q18" s="43">
        <f>420+40</f>
        <v>460</v>
      </c>
      <c r="R18" s="19">
        <f>8.3+8.6</f>
        <v>16.899999999999999</v>
      </c>
      <c r="S18" s="59">
        <f t="shared" si="4"/>
        <v>7.4782070003097473E-2</v>
      </c>
      <c r="T18" s="11">
        <f t="shared" si="0"/>
        <v>0.9992275280898878</v>
      </c>
      <c r="U18" s="11">
        <f t="shared" si="1"/>
        <v>0.93042117831116966</v>
      </c>
      <c r="V18" s="11">
        <f t="shared" si="2"/>
        <v>0.92970245408635077</v>
      </c>
      <c r="W18" s="7"/>
      <c r="X18" s="12"/>
      <c r="Y18" s="14"/>
      <c r="Z18" s="12"/>
      <c r="AA18" s="14"/>
      <c r="AB18" s="29"/>
      <c r="AC18" s="18">
        <v>15</v>
      </c>
    </row>
    <row r="19" spans="1:29" ht="15.75" x14ac:dyDescent="0.25">
      <c r="A19" s="58"/>
      <c r="B19" s="2" t="s">
        <v>76</v>
      </c>
      <c r="C19" s="2" t="str">
        <f>VLOOKUP(B19,Setup!A:B,2,)</f>
        <v>Glossy Protective Cap, 65mm</v>
      </c>
      <c r="D19" s="2" t="s">
        <v>180</v>
      </c>
      <c r="E19" s="3" t="s">
        <v>51</v>
      </c>
      <c r="F19" s="23"/>
      <c r="G19" s="34">
        <v>60210</v>
      </c>
      <c r="H19" s="36">
        <v>60210</v>
      </c>
      <c r="I19" s="40">
        <v>8.5</v>
      </c>
      <c r="J19" s="40">
        <v>9</v>
      </c>
      <c r="K19" s="18">
        <v>8</v>
      </c>
      <c r="L19" s="41">
        <f t="shared" si="3"/>
        <v>56.470588235294116</v>
      </c>
      <c r="M19" s="17">
        <v>20</v>
      </c>
      <c r="N19" s="17">
        <v>15</v>
      </c>
      <c r="O19" s="17"/>
      <c r="P19" s="47"/>
      <c r="Q19" s="43">
        <f>655+455</f>
        <v>1110</v>
      </c>
      <c r="R19" s="19">
        <f>8.4+0.6</f>
        <v>9</v>
      </c>
      <c r="S19" s="59">
        <f t="shared" si="4"/>
        <v>1.6608536787908985E-2</v>
      </c>
      <c r="T19" s="11">
        <f t="shared" si="0"/>
        <v>0.97371575342465755</v>
      </c>
      <c r="U19" s="11">
        <f t="shared" si="1"/>
        <v>0.98366280019604635</v>
      </c>
      <c r="V19" s="11">
        <f t="shared" si="2"/>
        <v>0.95780796460870166</v>
      </c>
      <c r="W19" s="7"/>
      <c r="X19" s="12"/>
      <c r="Y19" s="14"/>
      <c r="Z19" s="12"/>
      <c r="AA19" s="14"/>
      <c r="AB19" s="29"/>
      <c r="AC19" s="18">
        <v>10</v>
      </c>
    </row>
    <row r="20" spans="1:29" ht="15.75" x14ac:dyDescent="0.25">
      <c r="A20" s="58"/>
      <c r="B20" s="2" t="s">
        <v>76</v>
      </c>
      <c r="C20" s="2" t="str">
        <f>VLOOKUP(B20,Setup!A:B,2,)</f>
        <v>Glossy Protective Cap, 65mm</v>
      </c>
      <c r="D20" s="2" t="s">
        <v>188</v>
      </c>
      <c r="E20" s="3" t="s">
        <v>34</v>
      </c>
      <c r="F20" s="23"/>
      <c r="G20" s="34">
        <v>20250</v>
      </c>
      <c r="H20" s="36">
        <v>20250</v>
      </c>
      <c r="I20" s="40">
        <v>8.5</v>
      </c>
      <c r="J20" s="40">
        <v>9</v>
      </c>
      <c r="K20" s="18">
        <v>8</v>
      </c>
      <c r="L20" s="41">
        <f t="shared" si="3"/>
        <v>56.470588235294116</v>
      </c>
      <c r="M20" s="17">
        <v>20</v>
      </c>
      <c r="N20" s="17">
        <f>15</f>
        <v>15</v>
      </c>
      <c r="O20" s="17"/>
      <c r="P20" s="47"/>
      <c r="Q20" s="43">
        <f>245+135</f>
        <v>380</v>
      </c>
      <c r="R20" s="19">
        <f>4.2+0.6</f>
        <v>4.8</v>
      </c>
      <c r="S20" s="59">
        <f t="shared" si="4"/>
        <v>2.6337448559670781E-2</v>
      </c>
      <c r="T20" s="11">
        <f t="shared" si="0"/>
        <v>0.98244863013698647</v>
      </c>
      <c r="U20" s="11">
        <f t="shared" si="1"/>
        <v>0.97433841218925421</v>
      </c>
      <c r="V20" s="11">
        <f t="shared" si="2"/>
        <v>0.95723743834517927</v>
      </c>
      <c r="W20" s="7"/>
      <c r="X20" s="12"/>
      <c r="Y20" s="14"/>
      <c r="Z20" s="12"/>
      <c r="AA20" s="14"/>
      <c r="AB20" s="29"/>
      <c r="AC20" s="18">
        <f>15</f>
        <v>15</v>
      </c>
    </row>
    <row r="21" spans="1:29" ht="15.75" x14ac:dyDescent="0.25">
      <c r="A21" s="58"/>
      <c r="B21" s="2" t="s">
        <v>76</v>
      </c>
      <c r="C21" s="2" t="str">
        <f>VLOOKUP(B21,Setup!A:B,2,)</f>
        <v>Glossy Protective Cap, 65mm</v>
      </c>
      <c r="D21" s="2" t="s">
        <v>184</v>
      </c>
      <c r="E21" s="3" t="s">
        <v>62</v>
      </c>
      <c r="F21" s="23"/>
      <c r="G21" s="34">
        <v>30240</v>
      </c>
      <c r="H21" s="36">
        <v>30240</v>
      </c>
      <c r="I21" s="40">
        <v>8.5</v>
      </c>
      <c r="J21" s="40">
        <v>9</v>
      </c>
      <c r="K21" s="18">
        <v>8</v>
      </c>
      <c r="L21" s="41">
        <f t="shared" si="3"/>
        <v>56.470588235294116</v>
      </c>
      <c r="M21" s="17">
        <v>20</v>
      </c>
      <c r="N21" s="17"/>
      <c r="O21" s="17"/>
      <c r="P21" s="47"/>
      <c r="Q21" s="43">
        <f>565</f>
        <v>565</v>
      </c>
      <c r="R21" s="19">
        <f>8.8</f>
        <v>8.8000000000000007</v>
      </c>
      <c r="S21" s="59">
        <f t="shared" si="4"/>
        <v>3.2333921222810112E-2</v>
      </c>
      <c r="T21" s="11">
        <f t="shared" si="0"/>
        <v>0.94778761061946892</v>
      </c>
      <c r="U21" s="11">
        <f t="shared" si="1"/>
        <v>0.96867881548974943</v>
      </c>
      <c r="V21" s="11">
        <f t="shared" si="2"/>
        <v>0.91810177999072706</v>
      </c>
      <c r="W21" s="7"/>
      <c r="X21" s="12"/>
      <c r="Y21" s="14"/>
      <c r="Z21" s="12"/>
      <c r="AA21" s="14"/>
      <c r="AB21" s="29"/>
      <c r="AC21" s="18"/>
    </row>
    <row r="22" spans="1:29" ht="15.75" x14ac:dyDescent="0.25">
      <c r="A22" s="58"/>
      <c r="B22" s="2" t="s">
        <v>76</v>
      </c>
      <c r="C22" s="2" t="str">
        <f>VLOOKUP(B22,Setup!A:B,2,)</f>
        <v>Glossy Protective Cap, 65mm</v>
      </c>
      <c r="D22" s="2" t="s">
        <v>177</v>
      </c>
      <c r="E22" s="3" t="s">
        <v>60</v>
      </c>
      <c r="F22" s="24"/>
      <c r="G22" s="34">
        <v>20250</v>
      </c>
      <c r="H22" s="36">
        <v>20250</v>
      </c>
      <c r="I22" s="40">
        <v>8.5</v>
      </c>
      <c r="J22" s="40">
        <v>9</v>
      </c>
      <c r="K22" s="18">
        <v>8</v>
      </c>
      <c r="L22" s="41">
        <f t="shared" si="3"/>
        <v>56.470588235294116</v>
      </c>
      <c r="M22" s="17">
        <v>20</v>
      </c>
      <c r="N22" s="17">
        <v>15</v>
      </c>
      <c r="O22" s="17"/>
      <c r="P22" s="47"/>
      <c r="Q22" s="43">
        <f>380</f>
        <v>380</v>
      </c>
      <c r="R22" s="19">
        <f>4.58</f>
        <v>4.58</v>
      </c>
      <c r="S22" s="59">
        <f t="shared" si="4"/>
        <v>2.5130315500685872E-2</v>
      </c>
      <c r="T22" s="11">
        <f t="shared" si="0"/>
        <v>0.98244863013698647</v>
      </c>
      <c r="U22" s="11">
        <f t="shared" si="1"/>
        <v>0.97548573569555208</v>
      </c>
      <c r="V22" s="11">
        <f t="shared" si="2"/>
        <v>0.95836462475226558</v>
      </c>
      <c r="W22" s="7"/>
      <c r="X22" s="12"/>
      <c r="Y22" s="14"/>
      <c r="Z22" s="12"/>
      <c r="AA22" s="14"/>
      <c r="AB22" s="29"/>
      <c r="AC22" s="18">
        <v>10</v>
      </c>
    </row>
    <row r="23" spans="1:29" ht="15.75" x14ac:dyDescent="0.25">
      <c r="A23" s="58"/>
      <c r="B23" s="2" t="s">
        <v>76</v>
      </c>
      <c r="C23" s="2" t="str">
        <f>VLOOKUP(B23,Setup!A:B,2,)</f>
        <v>Glossy Protective Cap, 65mm</v>
      </c>
      <c r="D23" s="2" t="s">
        <v>189</v>
      </c>
      <c r="E23" s="3" t="s">
        <v>59</v>
      </c>
      <c r="F23" s="24"/>
      <c r="G23" s="34">
        <v>30240</v>
      </c>
      <c r="H23" s="36">
        <v>30240</v>
      </c>
      <c r="I23" s="40">
        <v>8.5</v>
      </c>
      <c r="J23" s="40">
        <v>9</v>
      </c>
      <c r="K23" s="18">
        <v>8</v>
      </c>
      <c r="L23" s="41">
        <f t="shared" si="3"/>
        <v>56.470588235294116</v>
      </c>
      <c r="M23" s="17">
        <v>10</v>
      </c>
      <c r="N23" s="17">
        <v>15</v>
      </c>
      <c r="O23" s="17"/>
      <c r="P23" s="47"/>
      <c r="Q23" s="43">
        <f>330+230</f>
        <v>560</v>
      </c>
      <c r="R23" s="19">
        <f>1.66+4.7+0.5</f>
        <v>6.86</v>
      </c>
      <c r="S23" s="59">
        <f t="shared" si="4"/>
        <v>2.5205761316872428E-2</v>
      </c>
      <c r="T23" s="11">
        <f t="shared" si="0"/>
        <v>0.98256880733944951</v>
      </c>
      <c r="U23" s="11">
        <f t="shared" si="1"/>
        <v>0.97541394882087307</v>
      </c>
      <c r="V23" s="11">
        <f t="shared" si="2"/>
        <v>0.95841132035518806</v>
      </c>
      <c r="W23" s="7"/>
      <c r="X23" s="12"/>
      <c r="Y23" s="14"/>
      <c r="Z23" s="12"/>
      <c r="AA23" s="14"/>
      <c r="AB23" s="29"/>
      <c r="AC23" s="18">
        <v>15</v>
      </c>
    </row>
    <row r="24" spans="1:29" ht="15.75" x14ac:dyDescent="0.25">
      <c r="A24" s="58"/>
      <c r="B24" s="2" t="s">
        <v>76</v>
      </c>
      <c r="C24" s="2" t="str">
        <f>VLOOKUP(B24,Setup!A:B,2,)</f>
        <v>Glossy Protective Cap, 65mm</v>
      </c>
      <c r="D24" s="2" t="s">
        <v>178</v>
      </c>
      <c r="E24" s="5" t="s">
        <v>49</v>
      </c>
      <c r="F24" s="23"/>
      <c r="G24" s="34">
        <v>20250</v>
      </c>
      <c r="H24" s="36">
        <v>20250</v>
      </c>
      <c r="I24" s="40">
        <v>8.5</v>
      </c>
      <c r="J24" s="40">
        <v>9</v>
      </c>
      <c r="K24" s="18">
        <v>8</v>
      </c>
      <c r="L24" s="41">
        <f t="shared" si="3"/>
        <v>56.470588235294116</v>
      </c>
      <c r="M24" s="17">
        <v>15</v>
      </c>
      <c r="N24" s="17"/>
      <c r="O24" s="17"/>
      <c r="P24" s="47"/>
      <c r="Q24" s="43">
        <f>365</f>
        <v>365</v>
      </c>
      <c r="R24" s="19">
        <f>6.7</f>
        <v>6.7</v>
      </c>
      <c r="S24" s="59">
        <f t="shared" si="4"/>
        <v>3.6762688614540469E-2</v>
      </c>
      <c r="T24" s="11">
        <f t="shared" si="0"/>
        <v>0.98244863013698625</v>
      </c>
      <c r="U24" s="11">
        <f t="shared" si="1"/>
        <v>0.96454088383170156</v>
      </c>
      <c r="V24" s="11">
        <f t="shared" si="2"/>
        <v>0.94761187003157321</v>
      </c>
      <c r="W24" s="7"/>
      <c r="X24" s="12"/>
      <c r="Y24" s="14"/>
      <c r="Z24" s="12"/>
      <c r="AA24" s="14"/>
      <c r="AB24" s="29"/>
      <c r="AC24" s="18"/>
    </row>
    <row r="25" spans="1:29" ht="15.75" x14ac:dyDescent="0.25">
      <c r="A25" s="58"/>
      <c r="B25" s="2" t="s">
        <v>76</v>
      </c>
      <c r="C25" s="2" t="str">
        <f>VLOOKUP(B25,Setup!A:B,2,)</f>
        <v>Glossy Protective Cap, 65mm</v>
      </c>
      <c r="D25" s="2" t="s">
        <v>179</v>
      </c>
      <c r="E25" s="4" t="s">
        <v>31</v>
      </c>
      <c r="F25" s="23"/>
      <c r="G25" s="34">
        <v>100170</v>
      </c>
      <c r="H25" s="36">
        <v>100170</v>
      </c>
      <c r="I25" s="40">
        <v>8.5</v>
      </c>
      <c r="J25" s="40">
        <v>9</v>
      </c>
      <c r="K25" s="18">
        <v>8</v>
      </c>
      <c r="L25" s="41">
        <f t="shared" si="3"/>
        <v>56.470588235294116</v>
      </c>
      <c r="M25" s="17">
        <v>15</v>
      </c>
      <c r="N25" s="17">
        <f>15+15</f>
        <v>30</v>
      </c>
      <c r="O25" s="17"/>
      <c r="P25" s="47"/>
      <c r="Q25" s="43">
        <f>90+720+720+305</f>
        <v>1835</v>
      </c>
      <c r="R25" s="19">
        <f>7+0.4+0.8</f>
        <v>8.2000000000000011</v>
      </c>
      <c r="S25" s="59">
        <f t="shared" si="4"/>
        <v>9.0956485086464145E-3</v>
      </c>
      <c r="T25" s="11">
        <f t="shared" si="0"/>
        <v>0.98273891966759008</v>
      </c>
      <c r="U25" s="11">
        <f t="shared" si="1"/>
        <v>0.99098633660536639</v>
      </c>
      <c r="V25" s="11">
        <f t="shared" si="2"/>
        <v>0.97388084184090051</v>
      </c>
      <c r="W25" s="7"/>
      <c r="X25" s="12"/>
      <c r="Y25" s="14"/>
      <c r="Z25" s="12"/>
      <c r="AA25" s="14"/>
      <c r="AB25" s="29"/>
      <c r="AC25" s="18">
        <f>10+15</f>
        <v>25</v>
      </c>
    </row>
    <row r="26" spans="1:29" ht="15.75" x14ac:dyDescent="0.25">
      <c r="A26" s="58"/>
      <c r="B26" s="2" t="s">
        <v>76</v>
      </c>
      <c r="C26" s="2" t="str">
        <f>VLOOKUP(B26,Setup!A:B,2,)</f>
        <v>Glossy Protective Cap, 65mm</v>
      </c>
      <c r="D26" s="2" t="s">
        <v>176</v>
      </c>
      <c r="E26" s="2" t="s">
        <v>89</v>
      </c>
      <c r="F26" s="23"/>
      <c r="G26" s="34">
        <v>10260</v>
      </c>
      <c r="H26" s="36">
        <v>10260</v>
      </c>
      <c r="I26" s="40">
        <v>8.5</v>
      </c>
      <c r="J26" s="40">
        <v>9</v>
      </c>
      <c r="K26" s="18">
        <v>8</v>
      </c>
      <c r="L26" s="41">
        <f t="shared" si="3"/>
        <v>56.470588235294116</v>
      </c>
      <c r="M26" s="17">
        <v>25</v>
      </c>
      <c r="N26" s="17"/>
      <c r="O26" s="17"/>
      <c r="P26" s="47"/>
      <c r="Q26" s="43">
        <f>190</f>
        <v>190</v>
      </c>
      <c r="R26" s="19">
        <v>9.9</v>
      </c>
      <c r="S26" s="59">
        <f t="shared" si="4"/>
        <v>0.10721247563352826</v>
      </c>
      <c r="T26" s="11">
        <f t="shared" si="0"/>
        <v>0.95625000000000004</v>
      </c>
      <c r="U26" s="11">
        <f t="shared" si="1"/>
        <v>0.903169014084507</v>
      </c>
      <c r="V26" s="11">
        <f t="shared" si="2"/>
        <v>0.86365536971830992</v>
      </c>
      <c r="W26" s="7"/>
      <c r="X26" s="12"/>
      <c r="Y26" s="14"/>
      <c r="Z26" s="12"/>
      <c r="AA26" s="14"/>
      <c r="AB26" s="29"/>
      <c r="AC26" s="18"/>
    </row>
    <row r="27" spans="1:29" ht="15.75" x14ac:dyDescent="0.25">
      <c r="A27" s="58"/>
      <c r="B27" s="2" t="s">
        <v>76</v>
      </c>
      <c r="C27" s="2" t="str">
        <f>VLOOKUP(B27,Setup!A:B,2,)</f>
        <v>Glossy Protective Cap, 65mm</v>
      </c>
      <c r="D27" s="2" t="s">
        <v>175</v>
      </c>
      <c r="E27" s="3" t="s">
        <v>65</v>
      </c>
      <c r="F27" s="23"/>
      <c r="G27" s="34">
        <v>45090</v>
      </c>
      <c r="H27" s="36">
        <v>45090</v>
      </c>
      <c r="I27" s="40">
        <v>8.5</v>
      </c>
      <c r="J27" s="40">
        <v>9</v>
      </c>
      <c r="K27" s="18">
        <v>8</v>
      </c>
      <c r="L27" s="41">
        <f t="shared" si="3"/>
        <v>56.470588235294116</v>
      </c>
      <c r="M27" s="17">
        <v>10</v>
      </c>
      <c r="N27" s="17">
        <v>15</v>
      </c>
      <c r="O27" s="17"/>
      <c r="P27" s="47"/>
      <c r="Q27" s="43">
        <f>175+645</f>
        <v>820</v>
      </c>
      <c r="R27" s="19">
        <f>6.3+0.6</f>
        <v>6.8999999999999995</v>
      </c>
      <c r="S27" s="59">
        <f t="shared" si="4"/>
        <v>1.7003030975086861E-2</v>
      </c>
      <c r="T27" s="11">
        <f t="shared" si="0"/>
        <v>0.9918866459627329</v>
      </c>
      <c r="U27" s="11">
        <f t="shared" si="1"/>
        <v>0.98328123864214578</v>
      </c>
      <c r="V27" s="11">
        <f t="shared" si="2"/>
        <v>0.97530352983483959</v>
      </c>
      <c r="W27" s="7"/>
      <c r="X27" s="12"/>
      <c r="Y27" s="14"/>
      <c r="Z27" s="12"/>
      <c r="AA27" s="14"/>
      <c r="AB27" s="29"/>
      <c r="AC27" s="18">
        <v>10</v>
      </c>
    </row>
    <row r="28" spans="1:29" ht="15.75" x14ac:dyDescent="0.25">
      <c r="A28" s="58"/>
      <c r="B28" s="2" t="s">
        <v>76</v>
      </c>
      <c r="C28" s="2" t="str">
        <f>VLOOKUP(B28,Setup!A:B,2,)</f>
        <v>Glossy Protective Cap, 65mm</v>
      </c>
      <c r="D28" s="2" t="s">
        <v>142</v>
      </c>
      <c r="E28" s="3" t="s">
        <v>42</v>
      </c>
      <c r="F28" s="24"/>
      <c r="G28" s="34">
        <v>10260</v>
      </c>
      <c r="H28" s="36">
        <v>10260</v>
      </c>
      <c r="I28" s="40">
        <v>8.5</v>
      </c>
      <c r="J28" s="40">
        <v>9</v>
      </c>
      <c r="K28" s="18">
        <v>8</v>
      </c>
      <c r="L28" s="41">
        <f t="shared" si="3"/>
        <v>56.470588235294116</v>
      </c>
      <c r="M28" s="17">
        <v>25</v>
      </c>
      <c r="N28" s="17">
        <v>15</v>
      </c>
      <c r="O28" s="17"/>
      <c r="P28" s="47"/>
      <c r="Q28" s="43">
        <f>50+130</f>
        <v>180</v>
      </c>
      <c r="R28" s="19">
        <f>7.12+1.3</f>
        <v>8.42</v>
      </c>
      <c r="S28" s="59">
        <f t="shared" si="4"/>
        <v>9.1184752003465444E-2</v>
      </c>
      <c r="T28" s="11">
        <f t="shared" si="0"/>
        <v>1.1011363636363636</v>
      </c>
      <c r="U28" s="11">
        <f t="shared" si="1"/>
        <v>0.91643509329098849</v>
      </c>
      <c r="V28" s="11">
        <f t="shared" si="2"/>
        <v>1.0091200061351906</v>
      </c>
      <c r="W28" s="7"/>
      <c r="X28" s="12"/>
      <c r="Y28" s="14"/>
      <c r="Z28" s="12"/>
      <c r="AA28" s="14"/>
      <c r="AB28" s="29"/>
      <c r="AC28" s="18">
        <v>15</v>
      </c>
    </row>
    <row r="29" spans="1:29" ht="15.75" x14ac:dyDescent="0.25">
      <c r="A29" s="58"/>
      <c r="B29" s="2" t="s">
        <v>76</v>
      </c>
      <c r="C29" s="2" t="str">
        <f>VLOOKUP(B29,Setup!A:B,2,)</f>
        <v>Glossy Protective Cap, 65mm</v>
      </c>
      <c r="D29" s="2" t="s">
        <v>142</v>
      </c>
      <c r="E29" s="3" t="s">
        <v>33</v>
      </c>
      <c r="F29" s="23"/>
      <c r="G29" s="34">
        <v>7020</v>
      </c>
      <c r="H29" s="36">
        <v>7020</v>
      </c>
      <c r="I29" s="40">
        <v>8.5</v>
      </c>
      <c r="J29" s="40">
        <v>9</v>
      </c>
      <c r="K29" s="18">
        <v>8</v>
      </c>
      <c r="L29" s="41">
        <f t="shared" si="3"/>
        <v>56.470588235294116</v>
      </c>
      <c r="M29" s="17">
        <v>15</v>
      </c>
      <c r="N29" s="17"/>
      <c r="O29" s="17"/>
      <c r="P29" s="47"/>
      <c r="Q29" s="43">
        <f>125</f>
        <v>125</v>
      </c>
      <c r="R29" s="19">
        <f>7.2+2.4</f>
        <v>9.6</v>
      </c>
      <c r="S29" s="59">
        <f t="shared" si="4"/>
        <v>0.15194681861348527</v>
      </c>
      <c r="T29" s="11">
        <f t="shared" si="0"/>
        <v>0.99450000000000005</v>
      </c>
      <c r="U29" s="11">
        <f t="shared" si="1"/>
        <v>0.86809563066776585</v>
      </c>
      <c r="V29" s="11">
        <f t="shared" si="2"/>
        <v>0.86332110469909318</v>
      </c>
      <c r="W29" s="7"/>
      <c r="X29" s="12"/>
      <c r="Y29" s="14"/>
      <c r="Z29" s="12"/>
      <c r="AA29" s="14"/>
      <c r="AB29" s="29"/>
      <c r="AC29" s="18"/>
    </row>
    <row r="30" spans="1:29" ht="15.75" x14ac:dyDescent="0.25">
      <c r="A30" s="58"/>
      <c r="B30" s="2" t="s">
        <v>76</v>
      </c>
      <c r="C30" s="2" t="str">
        <f>VLOOKUP(B30,Setup!A:B,2,)</f>
        <v>Glossy Protective Cap, 65mm</v>
      </c>
      <c r="D30" s="2" t="s">
        <v>143</v>
      </c>
      <c r="E30" s="4" t="s">
        <v>32</v>
      </c>
      <c r="F30" s="23"/>
      <c r="G30" s="34">
        <v>16200</v>
      </c>
      <c r="H30" s="36">
        <v>16200</v>
      </c>
      <c r="I30" s="40">
        <v>8.5</v>
      </c>
      <c r="J30" s="40">
        <v>9</v>
      </c>
      <c r="K30" s="18">
        <v>8</v>
      </c>
      <c r="L30" s="41">
        <f t="shared" si="3"/>
        <v>56.470588235294116</v>
      </c>
      <c r="M30" s="17">
        <v>20</v>
      </c>
      <c r="N30" s="17"/>
      <c r="O30" s="17"/>
      <c r="P30" s="47"/>
      <c r="Q30" s="43">
        <f>290</f>
        <v>290</v>
      </c>
      <c r="R30" s="19">
        <v>8.9</v>
      </c>
      <c r="S30" s="59">
        <f t="shared" si="4"/>
        <v>6.1042524005486966E-2</v>
      </c>
      <c r="T30" s="11">
        <f t="shared" si="0"/>
        <v>0.98922413793103448</v>
      </c>
      <c r="U30" s="11">
        <f t="shared" si="1"/>
        <v>0.94246929541047186</v>
      </c>
      <c r="V30" s="11">
        <f t="shared" si="2"/>
        <v>0.93231337627889355</v>
      </c>
      <c r="W30" s="7"/>
      <c r="X30" s="12"/>
      <c r="Y30" s="14"/>
      <c r="Z30" s="12"/>
      <c r="AA30" s="14"/>
      <c r="AB30" s="29"/>
      <c r="AC30" s="18"/>
    </row>
    <row r="31" spans="1:29" ht="15.75" x14ac:dyDescent="0.25">
      <c r="A31" s="58"/>
      <c r="B31" s="2" t="s">
        <v>76</v>
      </c>
      <c r="C31" s="2" t="str">
        <f>VLOOKUP(B31,Setup!A:B,2,)</f>
        <v>Glossy Protective Cap, 65mm</v>
      </c>
      <c r="D31" s="2" t="s">
        <v>179</v>
      </c>
      <c r="E31" s="3" t="s">
        <v>53</v>
      </c>
      <c r="F31" s="23"/>
      <c r="G31" s="34">
        <v>30240</v>
      </c>
      <c r="H31" s="36">
        <v>30240</v>
      </c>
      <c r="I31" s="40">
        <v>8.5</v>
      </c>
      <c r="J31" s="40">
        <v>9</v>
      </c>
      <c r="K31" s="18">
        <v>8</v>
      </c>
      <c r="L31" s="41">
        <f t="shared" si="3"/>
        <v>56.470588235294116</v>
      </c>
      <c r="M31" s="17">
        <v>20</v>
      </c>
      <c r="N31" s="17">
        <v>15</v>
      </c>
      <c r="O31" s="17"/>
      <c r="P31" s="47"/>
      <c r="Q31" s="43">
        <f>120+440</f>
        <v>560</v>
      </c>
      <c r="R31" s="19">
        <f>10</f>
        <v>10</v>
      </c>
      <c r="S31" s="59">
        <f t="shared" si="4"/>
        <v>3.6743092298647848E-2</v>
      </c>
      <c r="T31" s="11">
        <f t="shared" si="0"/>
        <v>0.98256880733944951</v>
      </c>
      <c r="U31" s="11">
        <f t="shared" si="1"/>
        <v>0.96455911539552031</v>
      </c>
      <c r="V31" s="11">
        <f t="shared" si="2"/>
        <v>0.94774569962257083</v>
      </c>
      <c r="W31" s="7"/>
      <c r="X31" s="12"/>
      <c r="Y31" s="14"/>
      <c r="Z31" s="12"/>
      <c r="AA31" s="14"/>
      <c r="AB31" s="29"/>
      <c r="AC31" s="18">
        <v>15</v>
      </c>
    </row>
    <row r="32" spans="1:29" ht="15.75" x14ac:dyDescent="0.25">
      <c r="A32" s="58"/>
      <c r="B32" s="2" t="s">
        <v>76</v>
      </c>
      <c r="C32" s="2" t="str">
        <f>VLOOKUP(B32,Setup!A:B,2,)</f>
        <v>Glossy Protective Cap, 65mm</v>
      </c>
      <c r="D32" s="2" t="s">
        <v>186</v>
      </c>
      <c r="E32" s="3" t="s">
        <v>68</v>
      </c>
      <c r="F32" s="23"/>
      <c r="G32" s="34">
        <v>180000</v>
      </c>
      <c r="H32" s="36">
        <v>180000</v>
      </c>
      <c r="I32" s="40">
        <v>8.5</v>
      </c>
      <c r="J32" s="40">
        <v>9</v>
      </c>
      <c r="K32" s="18">
        <v>8</v>
      </c>
      <c r="L32" s="41">
        <f t="shared" si="3"/>
        <v>56.470588235294116</v>
      </c>
      <c r="M32" s="17">
        <v>15</v>
      </c>
      <c r="N32" s="17">
        <f>15+15+15+15+15</f>
        <v>75</v>
      </c>
      <c r="O32" s="17"/>
      <c r="P32" s="47"/>
      <c r="Q32" s="43">
        <f>265+720+720+720+705+350+15</f>
        <v>3495</v>
      </c>
      <c r="R32" s="19">
        <f>9.8+3.7+1.2+0.5+0.9+4.8+0.8</f>
        <v>21.7</v>
      </c>
      <c r="S32" s="59">
        <f t="shared" si="4"/>
        <v>1.3395061728395061E-2</v>
      </c>
      <c r="T32" s="11">
        <f t="shared" si="0"/>
        <v>0.93201754385964908</v>
      </c>
      <c r="U32" s="11">
        <f t="shared" si="1"/>
        <v>0.98678199427422797</v>
      </c>
      <c r="V32" s="11">
        <f t="shared" si="2"/>
        <v>0.91969813062839223</v>
      </c>
      <c r="W32" s="7"/>
      <c r="X32" s="12" t="s">
        <v>105</v>
      </c>
      <c r="Y32" s="14">
        <v>15</v>
      </c>
      <c r="Z32" s="12"/>
      <c r="AA32" s="14"/>
      <c r="AB32" s="29" t="s">
        <v>110</v>
      </c>
      <c r="AC32" s="18">
        <f>15+10+15+15+15</f>
        <v>70</v>
      </c>
    </row>
    <row r="33" spans="1:29" ht="15.75" x14ac:dyDescent="0.25">
      <c r="A33" s="58"/>
      <c r="B33" s="2" t="s">
        <v>76</v>
      </c>
      <c r="C33" s="2" t="str">
        <f>VLOOKUP(B33,Setup!A:B,2,)</f>
        <v>Glossy Protective Cap, 65mm</v>
      </c>
      <c r="D33" s="2" t="s">
        <v>180</v>
      </c>
      <c r="E33" s="3" t="s">
        <v>51</v>
      </c>
      <c r="F33" s="24"/>
      <c r="G33" s="34">
        <v>30240</v>
      </c>
      <c r="H33" s="36">
        <v>30240</v>
      </c>
      <c r="I33" s="40">
        <v>8.5</v>
      </c>
      <c r="J33" s="40">
        <v>9</v>
      </c>
      <c r="K33" s="18">
        <v>8</v>
      </c>
      <c r="L33" s="41">
        <f t="shared" si="3"/>
        <v>56.470588235294116</v>
      </c>
      <c r="M33" s="17">
        <v>15</v>
      </c>
      <c r="N33" s="17">
        <v>15</v>
      </c>
      <c r="O33" s="17"/>
      <c r="P33" s="47"/>
      <c r="Q33" s="43">
        <f>340+225</f>
        <v>565</v>
      </c>
      <c r="R33" s="19">
        <f>6.2</f>
        <v>6.2</v>
      </c>
      <c r="S33" s="59">
        <f t="shared" si="4"/>
        <v>2.2780717225161669E-2</v>
      </c>
      <c r="T33" s="11">
        <f t="shared" si="0"/>
        <v>0.97363636363636374</v>
      </c>
      <c r="U33" s="11">
        <f t="shared" si="1"/>
        <v>0.97772668486851555</v>
      </c>
      <c r="V33" s="11">
        <f t="shared" si="2"/>
        <v>0.9519502540856184</v>
      </c>
      <c r="W33" s="7"/>
      <c r="X33" s="12"/>
      <c r="Y33" s="14"/>
      <c r="Z33" s="12"/>
      <c r="AA33" s="14"/>
      <c r="AB33" s="29"/>
      <c r="AC33" s="18">
        <v>15</v>
      </c>
    </row>
    <row r="34" spans="1:29" ht="15.75" x14ac:dyDescent="0.25">
      <c r="A34" s="58"/>
      <c r="B34" s="2" t="s">
        <v>76</v>
      </c>
      <c r="C34" s="2" t="str">
        <f>VLOOKUP(B34,Setup!A:B,2,)</f>
        <v>Glossy Protective Cap, 65mm</v>
      </c>
      <c r="D34" s="2" t="s">
        <v>183</v>
      </c>
      <c r="E34" s="3" t="s">
        <v>87</v>
      </c>
      <c r="F34" s="24"/>
      <c r="G34" s="34">
        <v>22140</v>
      </c>
      <c r="H34" s="36">
        <v>22140</v>
      </c>
      <c r="I34" s="40">
        <v>8.5</v>
      </c>
      <c r="J34" s="40">
        <v>9</v>
      </c>
      <c r="K34" s="18">
        <v>8</v>
      </c>
      <c r="L34" s="41">
        <f t="shared" si="3"/>
        <v>56.470588235294116</v>
      </c>
      <c r="M34" s="17">
        <v>25</v>
      </c>
      <c r="N34" s="17"/>
      <c r="O34" s="17"/>
      <c r="P34" s="47"/>
      <c r="Q34" s="43">
        <f>410</f>
        <v>410</v>
      </c>
      <c r="R34" s="19">
        <v>1.4</v>
      </c>
      <c r="S34" s="59">
        <f t="shared" si="4"/>
        <v>7.0259961858877848E-3</v>
      </c>
      <c r="T34" s="11">
        <f t="shared" si="0"/>
        <v>0.95625000000000004</v>
      </c>
      <c r="U34" s="11">
        <f t="shared" si="1"/>
        <v>0.99302302402073162</v>
      </c>
      <c r="V34" s="11">
        <f t="shared" si="2"/>
        <v>0.9495782667198247</v>
      </c>
      <c r="W34" s="7"/>
      <c r="X34" s="12" t="s">
        <v>93</v>
      </c>
      <c r="Y34" s="14">
        <v>60</v>
      </c>
      <c r="Z34" s="12"/>
      <c r="AA34" s="14"/>
      <c r="AB34" s="29" t="s">
        <v>96</v>
      </c>
      <c r="AC34" s="18"/>
    </row>
    <row r="35" spans="1:29" ht="15.75" customHeight="1" x14ac:dyDescent="0.25">
      <c r="A35" s="58"/>
      <c r="B35" s="2" t="s">
        <v>76</v>
      </c>
      <c r="C35" s="2" t="str">
        <f>VLOOKUP(B35,Setup!A:B,2,)</f>
        <v>Glossy Protective Cap, 65mm</v>
      </c>
      <c r="D35" s="2" t="s">
        <v>176</v>
      </c>
      <c r="E35" s="3" t="s">
        <v>66</v>
      </c>
      <c r="F35" s="26"/>
      <c r="G35" s="34">
        <v>22950</v>
      </c>
      <c r="H35" s="36">
        <v>22950</v>
      </c>
      <c r="I35" s="40">
        <v>8.5</v>
      </c>
      <c r="J35" s="40">
        <v>9</v>
      </c>
      <c r="K35" s="18">
        <v>8</v>
      </c>
      <c r="L35" s="41">
        <f t="shared" si="3"/>
        <v>56.470588235294116</v>
      </c>
      <c r="M35" s="17">
        <v>180</v>
      </c>
      <c r="N35" s="17"/>
      <c r="O35" s="17"/>
      <c r="P35" s="48" t="s">
        <v>211</v>
      </c>
      <c r="Q35" s="43">
        <f>435+180+45</f>
        <v>660</v>
      </c>
      <c r="R35" s="19">
        <f>9+0.6+0.2</f>
        <v>9.7999999999999989</v>
      </c>
      <c r="S35" s="59">
        <f t="shared" si="4"/>
        <v>4.7446138949406913E-2</v>
      </c>
      <c r="T35" s="11">
        <f t="shared" si="0"/>
        <v>0.61576704545454553</v>
      </c>
      <c r="U35" s="11">
        <f t="shared" si="1"/>
        <v>0.9547030275017333</v>
      </c>
      <c r="V35" s="11">
        <f t="shared" si="2"/>
        <v>0.58787466253125209</v>
      </c>
      <c r="W35" s="7"/>
      <c r="X35" s="12" t="s">
        <v>93</v>
      </c>
      <c r="Y35" s="14">
        <v>120</v>
      </c>
      <c r="Z35" s="12" t="s">
        <v>106</v>
      </c>
      <c r="AA35" s="14">
        <v>45</v>
      </c>
      <c r="AB35" s="30" t="s">
        <v>111</v>
      </c>
      <c r="AC35" s="18"/>
    </row>
    <row r="36" spans="1:29" ht="15.75" x14ac:dyDescent="0.25">
      <c r="A36" s="58"/>
      <c r="B36" s="2" t="s">
        <v>76</v>
      </c>
      <c r="C36" s="2" t="str">
        <f>VLOOKUP(B36,Setup!A:B,2,)</f>
        <v>Glossy Protective Cap, 65mm</v>
      </c>
      <c r="D36" s="2" t="s">
        <v>181</v>
      </c>
      <c r="E36" s="3" t="s">
        <v>85</v>
      </c>
      <c r="F36" s="24"/>
      <c r="G36" s="34">
        <v>17010</v>
      </c>
      <c r="H36" s="36">
        <v>17010</v>
      </c>
      <c r="I36" s="40">
        <v>8.5</v>
      </c>
      <c r="J36" s="40">
        <v>9</v>
      </c>
      <c r="K36" s="18">
        <v>8</v>
      </c>
      <c r="L36" s="41">
        <f t="shared" si="3"/>
        <v>56.470588235294116</v>
      </c>
      <c r="M36" s="17">
        <v>10</v>
      </c>
      <c r="N36" s="17">
        <v>15</v>
      </c>
      <c r="O36" s="17"/>
      <c r="P36" s="47"/>
      <c r="Q36" s="43">
        <f>110+220</f>
        <v>330</v>
      </c>
      <c r="R36" s="19">
        <f>4.3+4.7+1.6+1.7</f>
        <v>12.299999999999999</v>
      </c>
      <c r="S36" s="59">
        <f t="shared" si="4"/>
        <v>8.0344895159709967E-2</v>
      </c>
      <c r="T36" s="11">
        <f t="shared" si="0"/>
        <v>0.95625000000000004</v>
      </c>
      <c r="U36" s="11">
        <f t="shared" si="1"/>
        <v>0.92563032831489211</v>
      </c>
      <c r="V36" s="11">
        <f t="shared" si="2"/>
        <v>0.88513400145111565</v>
      </c>
      <c r="W36" s="7"/>
      <c r="X36" s="12"/>
      <c r="Y36" s="14"/>
      <c r="Z36" s="12"/>
      <c r="AA36" s="14"/>
      <c r="AB36" s="29"/>
      <c r="AC36" s="18">
        <v>15</v>
      </c>
    </row>
    <row r="37" spans="1:29" ht="15.75" x14ac:dyDescent="0.25">
      <c r="A37" s="58"/>
      <c r="B37" s="2" t="s">
        <v>76</v>
      </c>
      <c r="C37" s="2" t="str">
        <f>VLOOKUP(B37,Setup!A:B,2,)</f>
        <v>Glossy Protective Cap, 65mm</v>
      </c>
      <c r="D37" s="2" t="s">
        <v>172</v>
      </c>
      <c r="E37" s="3" t="s">
        <v>50</v>
      </c>
      <c r="F37" s="23"/>
      <c r="G37" s="34">
        <v>32130</v>
      </c>
      <c r="H37" s="36">
        <v>32130</v>
      </c>
      <c r="I37" s="40">
        <v>8.5</v>
      </c>
      <c r="J37" s="40">
        <v>9</v>
      </c>
      <c r="K37" s="18">
        <v>8</v>
      </c>
      <c r="L37" s="41">
        <f t="shared" si="3"/>
        <v>56.470588235294116</v>
      </c>
      <c r="M37" s="17">
        <v>15</v>
      </c>
      <c r="N37" s="17">
        <v>15</v>
      </c>
      <c r="O37" s="17"/>
      <c r="P37" s="47"/>
      <c r="Q37" s="43">
        <f>495+115</f>
        <v>610</v>
      </c>
      <c r="R37" s="19">
        <f>7+0.7</f>
        <v>7.7</v>
      </c>
      <c r="S37" s="59">
        <f t="shared" si="4"/>
        <v>2.662793512466715E-2</v>
      </c>
      <c r="T37" s="11">
        <f t="shared" si="0"/>
        <v>0.95624999999999993</v>
      </c>
      <c r="U37" s="11">
        <f t="shared" si="1"/>
        <v>0.97406272105635461</v>
      </c>
      <c r="V37" s="11">
        <f t="shared" si="2"/>
        <v>0.93144747701013908</v>
      </c>
      <c r="W37" s="7"/>
      <c r="X37" s="12"/>
      <c r="Y37" s="14"/>
      <c r="Z37" s="12"/>
      <c r="AA37" s="14"/>
      <c r="AB37" s="29"/>
      <c r="AC37" s="18">
        <v>10</v>
      </c>
    </row>
    <row r="38" spans="1:29" ht="15.75" x14ac:dyDescent="0.25">
      <c r="A38" s="58"/>
      <c r="B38" s="2" t="s">
        <v>76</v>
      </c>
      <c r="C38" s="2" t="str">
        <f>VLOOKUP(B38,Setup!A:B,2,)</f>
        <v>Glossy Protective Cap, 65mm</v>
      </c>
      <c r="D38" s="2" t="s">
        <v>143</v>
      </c>
      <c r="E38" s="3" t="s">
        <v>88</v>
      </c>
      <c r="F38" s="23"/>
      <c r="G38" s="34">
        <v>17010</v>
      </c>
      <c r="H38" s="36">
        <v>17010</v>
      </c>
      <c r="I38" s="40">
        <v>8.5</v>
      </c>
      <c r="J38" s="40">
        <v>9</v>
      </c>
      <c r="K38" s="18">
        <v>8</v>
      </c>
      <c r="L38" s="41">
        <f t="shared" si="3"/>
        <v>56.470588235294116</v>
      </c>
      <c r="M38" s="17">
        <v>25</v>
      </c>
      <c r="N38" s="17"/>
      <c r="O38" s="17"/>
      <c r="P38" s="47"/>
      <c r="Q38" s="43">
        <f>310</f>
        <v>310</v>
      </c>
      <c r="R38" s="19">
        <f>4.1+9</f>
        <v>13.1</v>
      </c>
      <c r="S38" s="59">
        <f t="shared" si="4"/>
        <v>8.557057939773989E-2</v>
      </c>
      <c r="T38" s="11">
        <f t="shared" si="0"/>
        <v>0.9716733870967742</v>
      </c>
      <c r="U38" s="11">
        <f t="shared" si="1"/>
        <v>0.92117455923942471</v>
      </c>
      <c r="V38" s="11">
        <f t="shared" si="2"/>
        <v>0.89508080408354984</v>
      </c>
      <c r="W38" s="7"/>
      <c r="X38" s="12"/>
      <c r="Y38" s="14"/>
      <c r="Z38" s="12"/>
      <c r="AA38" s="14"/>
      <c r="AB38" s="29"/>
      <c r="AC38" s="18"/>
    </row>
    <row r="39" spans="1:29" ht="15.75" x14ac:dyDescent="0.25">
      <c r="A39" s="58"/>
      <c r="B39" s="2" t="s">
        <v>76</v>
      </c>
      <c r="C39" s="2" t="str">
        <f>VLOOKUP(B39,Setup!A:B,2,)</f>
        <v>Glossy Protective Cap, 65mm</v>
      </c>
      <c r="D39" s="2" t="s">
        <v>189</v>
      </c>
      <c r="E39" s="3" t="s">
        <v>59</v>
      </c>
      <c r="F39" s="23"/>
      <c r="G39" s="34">
        <v>45090</v>
      </c>
      <c r="H39" s="36">
        <v>45090</v>
      </c>
      <c r="I39" s="40">
        <v>8.5</v>
      </c>
      <c r="J39" s="40">
        <v>9</v>
      </c>
      <c r="K39" s="18">
        <v>8</v>
      </c>
      <c r="L39" s="41">
        <f t="shared" si="3"/>
        <v>56.470588235294116</v>
      </c>
      <c r="M39" s="17">
        <v>15</v>
      </c>
      <c r="N39" s="17">
        <v>15</v>
      </c>
      <c r="O39" s="17"/>
      <c r="P39" s="47"/>
      <c r="Q39" s="43">
        <f>255+580</f>
        <v>835</v>
      </c>
      <c r="R39" s="19">
        <f>5.7+0.8</f>
        <v>6.5</v>
      </c>
      <c r="S39" s="59">
        <f t="shared" si="4"/>
        <v>1.6017348020009363E-2</v>
      </c>
      <c r="T39" s="11">
        <f t="shared" si="0"/>
        <v>0.97374237804878061</v>
      </c>
      <c r="U39" s="11">
        <f t="shared" si="1"/>
        <v>0.98423516286289447</v>
      </c>
      <c r="V39" s="11">
        <f t="shared" si="2"/>
        <v>0.9583914880453438</v>
      </c>
      <c r="W39" s="7"/>
      <c r="X39" s="12"/>
      <c r="Y39" s="14"/>
      <c r="Z39" s="12"/>
      <c r="AA39" s="14"/>
      <c r="AB39" s="29"/>
      <c r="AC39" s="18">
        <v>15</v>
      </c>
    </row>
    <row r="40" spans="1:29" ht="15.75" x14ac:dyDescent="0.25">
      <c r="A40" s="58"/>
      <c r="B40" s="2" t="s">
        <v>76</v>
      </c>
      <c r="C40" s="2" t="str">
        <f>VLOOKUP(B40,Setup!A:B,2,)</f>
        <v>Glossy Protective Cap, 65mm</v>
      </c>
      <c r="D40" s="2" t="s">
        <v>190</v>
      </c>
      <c r="E40" s="3" t="s">
        <v>54</v>
      </c>
      <c r="F40" s="24"/>
      <c r="G40" s="34">
        <v>30240</v>
      </c>
      <c r="H40" s="36">
        <v>30240</v>
      </c>
      <c r="I40" s="40">
        <v>8.5</v>
      </c>
      <c r="J40" s="40">
        <v>9</v>
      </c>
      <c r="K40" s="18">
        <v>8</v>
      </c>
      <c r="L40" s="41">
        <f t="shared" si="3"/>
        <v>56.470588235294116</v>
      </c>
      <c r="M40" s="17">
        <v>10</v>
      </c>
      <c r="N40" s="17">
        <v>15</v>
      </c>
      <c r="O40" s="17"/>
      <c r="P40" s="47"/>
      <c r="Q40" s="43">
        <f>130+430</f>
        <v>560</v>
      </c>
      <c r="R40" s="19">
        <f>5.2</f>
        <v>5.2</v>
      </c>
      <c r="S40" s="59">
        <f t="shared" si="4"/>
        <v>1.9106407995296882E-2</v>
      </c>
      <c r="T40" s="11">
        <f t="shared" si="0"/>
        <v>0.98256880733944951</v>
      </c>
      <c r="U40" s="11">
        <f t="shared" si="1"/>
        <v>0.98125180271127777</v>
      </c>
      <c r="V40" s="11">
        <f t="shared" si="2"/>
        <v>0.96414741348970501</v>
      </c>
      <c r="W40" s="7"/>
      <c r="X40" s="12"/>
      <c r="Y40" s="14"/>
      <c r="Z40" s="12"/>
      <c r="AA40" s="14"/>
      <c r="AB40" s="29"/>
      <c r="AC40" s="18">
        <v>15</v>
      </c>
    </row>
    <row r="41" spans="1:29" ht="15.75" x14ac:dyDescent="0.25">
      <c r="A41" s="58"/>
      <c r="B41" s="2" t="s">
        <v>76</v>
      </c>
      <c r="C41" s="2" t="str">
        <f>VLOOKUP(B41,Setup!A:B,2,)</f>
        <v>Glossy Protective Cap, 65mm</v>
      </c>
      <c r="D41" s="2" t="s">
        <v>175</v>
      </c>
      <c r="E41" s="3" t="s">
        <v>65</v>
      </c>
      <c r="F41" s="23"/>
      <c r="G41" s="34">
        <v>30240</v>
      </c>
      <c r="H41" s="36">
        <v>30240</v>
      </c>
      <c r="I41" s="40">
        <v>8.5</v>
      </c>
      <c r="J41" s="40">
        <v>9</v>
      </c>
      <c r="K41" s="18">
        <v>8</v>
      </c>
      <c r="L41" s="41">
        <f t="shared" si="3"/>
        <v>56.470588235294116</v>
      </c>
      <c r="M41" s="17">
        <v>15</v>
      </c>
      <c r="N41" s="17">
        <v>15</v>
      </c>
      <c r="O41" s="17"/>
      <c r="P41" s="47"/>
      <c r="Q41" s="43">
        <f>275+300</f>
        <v>575</v>
      </c>
      <c r="R41" s="19">
        <f>8.4+0.9</f>
        <v>9.3000000000000007</v>
      </c>
      <c r="S41" s="59">
        <f t="shared" si="4"/>
        <v>3.4171075837742503E-2</v>
      </c>
      <c r="T41" s="11">
        <f t="shared" si="0"/>
        <v>0.95624999999999993</v>
      </c>
      <c r="U41" s="11">
        <f t="shared" si="1"/>
        <v>0.96695800468983162</v>
      </c>
      <c r="V41" s="11">
        <f t="shared" si="2"/>
        <v>0.92465359198465147</v>
      </c>
      <c r="W41" s="7"/>
      <c r="X41" s="12"/>
      <c r="Y41" s="14"/>
      <c r="Z41" s="12"/>
      <c r="AA41" s="14"/>
      <c r="AB41" s="29"/>
      <c r="AC41" s="18">
        <v>10</v>
      </c>
    </row>
    <row r="42" spans="1:29" ht="15.75" x14ac:dyDescent="0.25">
      <c r="A42" s="58"/>
      <c r="B42" s="2" t="s">
        <v>76</v>
      </c>
      <c r="C42" s="2" t="str">
        <f>VLOOKUP(B42,Setup!A:B,2,)</f>
        <v>Glossy Protective Cap, 65mm</v>
      </c>
      <c r="D42" s="2" t="s">
        <v>176</v>
      </c>
      <c r="E42" s="2" t="s">
        <v>89</v>
      </c>
      <c r="F42" s="23"/>
      <c r="G42" s="34">
        <v>22140</v>
      </c>
      <c r="H42" s="36">
        <v>22140</v>
      </c>
      <c r="I42" s="40">
        <v>8.5</v>
      </c>
      <c r="J42" s="40">
        <v>9</v>
      </c>
      <c r="K42" s="18">
        <v>8</v>
      </c>
      <c r="L42" s="41">
        <f t="shared" si="3"/>
        <v>56.470588235294116</v>
      </c>
      <c r="M42" s="17">
        <v>20</v>
      </c>
      <c r="N42" s="17"/>
      <c r="O42" s="17"/>
      <c r="P42" s="47"/>
      <c r="Q42" s="43">
        <f>420</f>
        <v>420</v>
      </c>
      <c r="R42" s="19">
        <f>9.8</f>
        <v>9.8000000000000007</v>
      </c>
      <c r="S42" s="59">
        <f t="shared" si="4"/>
        <v>4.9181973301214502E-2</v>
      </c>
      <c r="T42" s="11">
        <f t="shared" si="0"/>
        <v>0.93348214285714282</v>
      </c>
      <c r="U42" s="11">
        <f t="shared" si="1"/>
        <v>0.95312350521381417</v>
      </c>
      <c r="V42" s="11">
        <f t="shared" si="2"/>
        <v>0.88972377205450237</v>
      </c>
      <c r="W42" s="7"/>
      <c r="X42" s="12"/>
      <c r="Y42" s="14"/>
      <c r="Z42" s="12"/>
      <c r="AA42" s="14"/>
      <c r="AB42" s="29"/>
      <c r="AC42" s="18"/>
    </row>
    <row r="43" spans="1:29" ht="15.75" x14ac:dyDescent="0.25">
      <c r="A43" s="58"/>
      <c r="B43" s="2" t="s">
        <v>76</v>
      </c>
      <c r="C43" s="2" t="str">
        <f>VLOOKUP(B43,Setup!A:B,2,)</f>
        <v>Glossy Protective Cap, 65mm</v>
      </c>
      <c r="D43" s="2" t="s">
        <v>146</v>
      </c>
      <c r="E43" s="3" t="s">
        <v>70</v>
      </c>
      <c r="F43" s="24"/>
      <c r="G43" s="34">
        <v>12150</v>
      </c>
      <c r="H43" s="36">
        <v>12150</v>
      </c>
      <c r="I43" s="40">
        <v>8.5</v>
      </c>
      <c r="J43" s="40">
        <v>9</v>
      </c>
      <c r="K43" s="18">
        <v>8</v>
      </c>
      <c r="L43" s="41">
        <f t="shared" si="3"/>
        <v>56.470588235294116</v>
      </c>
      <c r="M43" s="17">
        <v>20</v>
      </c>
      <c r="N43" s="17">
        <v>15</v>
      </c>
      <c r="O43" s="17"/>
      <c r="P43" s="47"/>
      <c r="Q43" s="43">
        <f>220</f>
        <v>220</v>
      </c>
      <c r="R43" s="19">
        <f>6.4</f>
        <v>6.4</v>
      </c>
      <c r="S43" s="59">
        <f t="shared" si="4"/>
        <v>5.8527663465935076E-2</v>
      </c>
      <c r="T43" s="11">
        <f t="shared" si="0"/>
        <v>1.0495426829268293</v>
      </c>
      <c r="U43" s="11">
        <f t="shared" si="1"/>
        <v>0.94470842332613392</v>
      </c>
      <c r="V43" s="11">
        <f t="shared" si="2"/>
        <v>0.99151181320128534</v>
      </c>
      <c r="W43" s="7"/>
      <c r="X43" s="12"/>
      <c r="Y43" s="14"/>
      <c r="Z43" s="12"/>
      <c r="AA43" s="14"/>
      <c r="AB43" s="29"/>
      <c r="AC43" s="18">
        <v>10</v>
      </c>
    </row>
    <row r="44" spans="1:29" ht="15.75" x14ac:dyDescent="0.25">
      <c r="A44" s="58"/>
      <c r="B44" s="2" t="s">
        <v>76</v>
      </c>
      <c r="C44" s="2" t="str">
        <f>VLOOKUP(B44,Setup!A:B,2,)</f>
        <v>Glossy Protective Cap, 65mm</v>
      </c>
      <c r="D44" s="2" t="s">
        <v>177</v>
      </c>
      <c r="E44" s="3" t="s">
        <v>60</v>
      </c>
      <c r="F44" s="26"/>
      <c r="G44" s="34">
        <v>32130</v>
      </c>
      <c r="H44" s="36">
        <v>32130</v>
      </c>
      <c r="I44" s="40">
        <v>8.5</v>
      </c>
      <c r="J44" s="40">
        <v>9</v>
      </c>
      <c r="K44" s="18">
        <v>8</v>
      </c>
      <c r="L44" s="41">
        <f t="shared" si="3"/>
        <v>56.470588235294116</v>
      </c>
      <c r="M44" s="17">
        <v>10</v>
      </c>
      <c r="N44" s="17">
        <v>15</v>
      </c>
      <c r="O44" s="17"/>
      <c r="P44" s="47"/>
      <c r="Q44" s="43">
        <f>490+100</f>
        <v>590</v>
      </c>
      <c r="R44" s="19">
        <f>1.2</f>
        <v>1.2</v>
      </c>
      <c r="S44" s="59">
        <f t="shared" si="4"/>
        <v>4.1498080713766984E-3</v>
      </c>
      <c r="T44" s="11">
        <f t="shared" si="0"/>
        <v>0.98951086956521739</v>
      </c>
      <c r="U44" s="11">
        <f t="shared" si="1"/>
        <v>0.99586734166752766</v>
      </c>
      <c r="V44" s="11">
        <f t="shared" si="2"/>
        <v>0.98542155922503671</v>
      </c>
      <c r="W44" s="7"/>
      <c r="X44" s="12"/>
      <c r="Y44" s="14"/>
      <c r="Z44" s="12"/>
      <c r="AA44" s="14"/>
      <c r="AB44" s="29"/>
      <c r="AC44" s="18">
        <v>10</v>
      </c>
    </row>
    <row r="45" spans="1:29" ht="15.75" x14ac:dyDescent="0.25">
      <c r="A45" s="58"/>
      <c r="B45" s="2" t="s">
        <v>76</v>
      </c>
      <c r="C45" s="2" t="str">
        <f>VLOOKUP(B45,Setup!A:B,2,)</f>
        <v>Glossy Protective Cap, 65mm</v>
      </c>
      <c r="D45" s="2" t="s">
        <v>178</v>
      </c>
      <c r="E45" s="5" t="s">
        <v>49</v>
      </c>
      <c r="F45" s="24"/>
      <c r="G45" s="34">
        <v>32130</v>
      </c>
      <c r="H45" s="36">
        <v>32130</v>
      </c>
      <c r="I45" s="40">
        <v>8.5</v>
      </c>
      <c r="J45" s="40">
        <v>9</v>
      </c>
      <c r="K45" s="18">
        <v>8</v>
      </c>
      <c r="L45" s="41">
        <f t="shared" si="3"/>
        <v>56.470588235294116</v>
      </c>
      <c r="M45" s="17">
        <v>15</v>
      </c>
      <c r="N45" s="17"/>
      <c r="O45" s="17"/>
      <c r="P45" s="47"/>
      <c r="Q45" s="43">
        <f>595</f>
        <v>595</v>
      </c>
      <c r="R45" s="19">
        <f>6.75</f>
        <v>6.75</v>
      </c>
      <c r="S45" s="59">
        <f t="shared" si="4"/>
        <v>2.3342670401493931E-2</v>
      </c>
      <c r="T45" s="11">
        <f t="shared" si="0"/>
        <v>0.95624999999999993</v>
      </c>
      <c r="U45" s="11">
        <f t="shared" si="1"/>
        <v>0.9771897810218978</v>
      </c>
      <c r="V45" s="11">
        <f t="shared" si="2"/>
        <v>0.93443772810218972</v>
      </c>
      <c r="W45" s="7"/>
      <c r="X45" s="12"/>
      <c r="Y45" s="14"/>
      <c r="Z45" s="12"/>
      <c r="AA45" s="14"/>
      <c r="AB45" s="29"/>
      <c r="AC45" s="18"/>
    </row>
    <row r="46" spans="1:29" ht="15.75" x14ac:dyDescent="0.25">
      <c r="A46" s="58"/>
      <c r="B46" s="2" t="s">
        <v>76</v>
      </c>
      <c r="C46" s="2" t="str">
        <f>VLOOKUP(B46,Setup!A:B,2,)</f>
        <v>Glossy Protective Cap, 65mm</v>
      </c>
      <c r="D46" s="2" t="s">
        <v>143</v>
      </c>
      <c r="E46" s="3" t="s">
        <v>52</v>
      </c>
      <c r="F46" s="26"/>
      <c r="G46" s="34">
        <v>25110</v>
      </c>
      <c r="H46" s="36">
        <v>25110</v>
      </c>
      <c r="I46" s="40">
        <v>8.5</v>
      </c>
      <c r="J46" s="40">
        <v>9</v>
      </c>
      <c r="K46" s="18">
        <v>8</v>
      </c>
      <c r="L46" s="41">
        <f t="shared" si="3"/>
        <v>56.470588235294116</v>
      </c>
      <c r="M46" s="17">
        <v>10</v>
      </c>
      <c r="N46" s="17">
        <v>15</v>
      </c>
      <c r="O46" s="17"/>
      <c r="P46" s="47"/>
      <c r="Q46" s="43">
        <f>480</f>
        <v>480</v>
      </c>
      <c r="R46" s="19">
        <f>7.4</f>
        <v>7.4</v>
      </c>
      <c r="S46" s="59">
        <f t="shared" si="4"/>
        <v>3.2744811717332623E-2</v>
      </c>
      <c r="T46" s="11">
        <f t="shared" si="0"/>
        <v>0.95625000000000004</v>
      </c>
      <c r="U46" s="11">
        <f t="shared" si="1"/>
        <v>0.96829341445648909</v>
      </c>
      <c r="V46" s="11">
        <f t="shared" si="2"/>
        <v>0.92593057757401775</v>
      </c>
      <c r="W46" s="7"/>
      <c r="X46" s="12"/>
      <c r="Y46" s="14"/>
      <c r="Z46" s="12"/>
      <c r="AA46" s="14"/>
      <c r="AB46" s="29"/>
      <c r="AC46" s="18">
        <v>15</v>
      </c>
    </row>
    <row r="47" spans="1:29" ht="15.75" x14ac:dyDescent="0.25">
      <c r="A47" s="58"/>
      <c r="B47" s="2" t="s">
        <v>76</v>
      </c>
      <c r="C47" s="2" t="str">
        <f>VLOOKUP(B47,Setup!A:B,2,)</f>
        <v>Glossy Protective Cap, 65mm</v>
      </c>
      <c r="D47" s="2" t="s">
        <v>190</v>
      </c>
      <c r="E47" s="3" t="s">
        <v>41</v>
      </c>
      <c r="F47" s="24"/>
      <c r="G47" s="34">
        <v>24030</v>
      </c>
      <c r="H47" s="36">
        <v>24030</v>
      </c>
      <c r="I47" s="40">
        <v>8.5</v>
      </c>
      <c r="J47" s="40">
        <v>9</v>
      </c>
      <c r="K47" s="18">
        <v>8</v>
      </c>
      <c r="L47" s="41">
        <f t="shared" si="3"/>
        <v>56.470588235294116</v>
      </c>
      <c r="M47" s="17">
        <v>10</v>
      </c>
      <c r="N47" s="17">
        <f>15+15</f>
        <v>30</v>
      </c>
      <c r="O47" s="17"/>
      <c r="P47" s="47"/>
      <c r="Q47" s="43">
        <f>260+240</f>
        <v>500</v>
      </c>
      <c r="R47" s="19">
        <f>8.1</f>
        <v>8.1</v>
      </c>
      <c r="S47" s="59">
        <f t="shared" si="4"/>
        <v>3.7453183520599245E-2</v>
      </c>
      <c r="T47" s="11">
        <f t="shared" si="0"/>
        <v>0.90538563829787233</v>
      </c>
      <c r="U47" s="11">
        <f t="shared" si="1"/>
        <v>0.96389891696750907</v>
      </c>
      <c r="V47" s="11">
        <f t="shared" si="2"/>
        <v>0.87270023619325598</v>
      </c>
      <c r="W47" s="7"/>
      <c r="X47" s="12"/>
      <c r="Y47" s="14"/>
      <c r="Z47" s="12"/>
      <c r="AA47" s="14"/>
      <c r="AB47" s="29"/>
      <c r="AC47" s="18">
        <f>25+15</f>
        <v>40</v>
      </c>
    </row>
    <row r="48" spans="1:29" ht="15.75" x14ac:dyDescent="0.25">
      <c r="A48" s="58"/>
      <c r="B48" s="2" t="s">
        <v>76</v>
      </c>
      <c r="C48" s="2" t="str">
        <f>VLOOKUP(B48,Setup!A:B,2,)</f>
        <v>Glossy Protective Cap, 65mm</v>
      </c>
      <c r="D48" s="2" t="s">
        <v>143</v>
      </c>
      <c r="E48" s="3" t="s">
        <v>69</v>
      </c>
      <c r="F48" s="24"/>
      <c r="G48" s="34">
        <v>12150</v>
      </c>
      <c r="H48" s="36">
        <v>12150</v>
      </c>
      <c r="I48" s="40">
        <v>8.5</v>
      </c>
      <c r="J48" s="40">
        <v>9</v>
      </c>
      <c r="K48" s="18">
        <v>8</v>
      </c>
      <c r="L48" s="41">
        <f t="shared" si="3"/>
        <v>56.470588235294116</v>
      </c>
      <c r="M48" s="17">
        <v>10</v>
      </c>
      <c r="N48" s="17"/>
      <c r="O48" s="17"/>
      <c r="P48" s="47"/>
      <c r="Q48" s="43">
        <f>220</f>
        <v>220</v>
      </c>
      <c r="R48" s="19">
        <f>4.6</f>
        <v>4.5999999999999996</v>
      </c>
      <c r="S48" s="59">
        <f t="shared" si="4"/>
        <v>4.2066758116140829E-2</v>
      </c>
      <c r="T48" s="11">
        <f t="shared" si="0"/>
        <v>0.97798295454545459</v>
      </c>
      <c r="U48" s="11">
        <f t="shared" si="1"/>
        <v>0.95963141728828438</v>
      </c>
      <c r="V48" s="11">
        <f t="shared" si="2"/>
        <v>0.93850316875423834</v>
      </c>
      <c r="W48" s="7"/>
      <c r="X48" s="12"/>
      <c r="Y48" s="14"/>
      <c r="Z48" s="12"/>
      <c r="AA48" s="14"/>
      <c r="AB48" s="29"/>
      <c r="AC48" s="18"/>
    </row>
    <row r="49" spans="1:29" ht="15.75" x14ac:dyDescent="0.25">
      <c r="A49" s="58"/>
      <c r="B49" s="2" t="s">
        <v>76</v>
      </c>
      <c r="C49" s="2" t="str">
        <f>VLOOKUP(B49,Setup!A:B,2,)</f>
        <v>Glossy Protective Cap, 65mm</v>
      </c>
      <c r="D49" s="2" t="s">
        <v>179</v>
      </c>
      <c r="E49" s="4" t="s">
        <v>31</v>
      </c>
      <c r="F49" s="23"/>
      <c r="G49" s="34">
        <v>50220</v>
      </c>
      <c r="H49" s="36">
        <v>50220</v>
      </c>
      <c r="I49" s="40">
        <v>8.5</v>
      </c>
      <c r="J49" s="40">
        <v>9</v>
      </c>
      <c r="K49" s="18">
        <v>8</v>
      </c>
      <c r="L49" s="41">
        <f t="shared" si="3"/>
        <v>56.470588235294116</v>
      </c>
      <c r="M49" s="17">
        <v>15</v>
      </c>
      <c r="N49" s="17">
        <v>15</v>
      </c>
      <c r="O49" s="17"/>
      <c r="P49" s="47"/>
      <c r="Q49" s="43">
        <f>235+705+15</f>
        <v>955</v>
      </c>
      <c r="R49" s="19">
        <f>7.7+3.9</f>
        <v>11.6</v>
      </c>
      <c r="S49" s="59">
        <f t="shared" si="4"/>
        <v>2.5664852427098542E-2</v>
      </c>
      <c r="T49" s="11">
        <f t="shared" si="0"/>
        <v>0.94607712765957452</v>
      </c>
      <c r="U49" s="11">
        <f t="shared" si="1"/>
        <v>0.97497735018766984</v>
      </c>
      <c r="V49" s="11">
        <f t="shared" si="2"/>
        <v>0.92240377099869386</v>
      </c>
      <c r="W49" s="7"/>
      <c r="X49" s="12" t="s">
        <v>105</v>
      </c>
      <c r="Y49" s="14">
        <v>15</v>
      </c>
      <c r="Z49" s="12"/>
      <c r="AA49" s="14"/>
      <c r="AB49" s="29" t="s">
        <v>110</v>
      </c>
      <c r="AC49" s="18">
        <v>15</v>
      </c>
    </row>
    <row r="50" spans="1:29" ht="15.75" x14ac:dyDescent="0.25">
      <c r="A50" s="58"/>
      <c r="B50" s="2" t="s">
        <v>76</v>
      </c>
      <c r="C50" s="2" t="str">
        <f>VLOOKUP(B50,Setup!A:B,2,)</f>
        <v>Glossy Protective Cap, 65mm</v>
      </c>
      <c r="D50" s="2" t="s">
        <v>189</v>
      </c>
      <c r="E50" s="3" t="s">
        <v>59</v>
      </c>
      <c r="F50" s="24"/>
      <c r="G50" s="34">
        <v>65070</v>
      </c>
      <c r="H50" s="36">
        <v>65070</v>
      </c>
      <c r="I50" s="40">
        <v>8.5</v>
      </c>
      <c r="J50" s="40">
        <v>9</v>
      </c>
      <c r="K50" s="18">
        <v>8</v>
      </c>
      <c r="L50" s="41">
        <f t="shared" si="3"/>
        <v>56.470588235294116</v>
      </c>
      <c r="M50" s="17">
        <v>15</v>
      </c>
      <c r="N50" s="17">
        <f>15+15</f>
        <v>30</v>
      </c>
      <c r="O50" s="17"/>
      <c r="P50" s="47"/>
      <c r="Q50" s="43">
        <f>720+495</f>
        <v>1215</v>
      </c>
      <c r="R50" s="19">
        <f>10.6+0.5</f>
        <v>11.1</v>
      </c>
      <c r="S50" s="59">
        <f t="shared" si="4"/>
        <v>1.8953947031402078E-2</v>
      </c>
      <c r="T50" s="11">
        <f t="shared" si="0"/>
        <v>0.97238924050632924</v>
      </c>
      <c r="U50" s="11">
        <f t="shared" si="1"/>
        <v>0.98139862249258458</v>
      </c>
      <c r="V50" s="11">
        <f t="shared" si="2"/>
        <v>0.95430146115952208</v>
      </c>
      <c r="W50" s="7"/>
      <c r="X50" s="12"/>
      <c r="Y50" s="14"/>
      <c r="Z50" s="12"/>
      <c r="AA50" s="14"/>
      <c r="AB50" s="29"/>
      <c r="AC50" s="18">
        <f>10+15</f>
        <v>25</v>
      </c>
    </row>
    <row r="51" spans="1:29" ht="15.75" x14ac:dyDescent="0.25">
      <c r="A51" s="58"/>
      <c r="B51" s="2" t="s">
        <v>76</v>
      </c>
      <c r="C51" s="2" t="str">
        <f>VLOOKUP(B51,Setup!A:B,2,)</f>
        <v>Glossy Protective Cap, 65mm</v>
      </c>
      <c r="D51" s="2" t="s">
        <v>178</v>
      </c>
      <c r="E51" s="5" t="s">
        <v>49</v>
      </c>
      <c r="F51" s="23"/>
      <c r="G51" s="34">
        <v>27000</v>
      </c>
      <c r="H51" s="36">
        <v>27000</v>
      </c>
      <c r="I51" s="40">
        <v>8.5</v>
      </c>
      <c r="J51" s="40">
        <v>9</v>
      </c>
      <c r="K51" s="18">
        <v>8</v>
      </c>
      <c r="L51" s="41">
        <f t="shared" si="3"/>
        <v>56.470588235294116</v>
      </c>
      <c r="M51" s="17">
        <v>20</v>
      </c>
      <c r="N51" s="17">
        <v>15</v>
      </c>
      <c r="O51" s="17"/>
      <c r="P51" s="47"/>
      <c r="Q51" s="43">
        <f>205+290</f>
        <v>495</v>
      </c>
      <c r="R51" s="19">
        <f>7.9+1.3+0.4</f>
        <v>9.6000000000000014</v>
      </c>
      <c r="S51" s="59">
        <f t="shared" si="4"/>
        <v>3.9506172839506179E-2</v>
      </c>
      <c r="T51" s="11">
        <f t="shared" si="0"/>
        <v>0.99609375</v>
      </c>
      <c r="U51" s="11">
        <f t="shared" si="1"/>
        <v>0.96199524940617576</v>
      </c>
      <c r="V51" s="11">
        <f t="shared" si="2"/>
        <v>0.95823745546318284</v>
      </c>
      <c r="W51" s="7"/>
      <c r="X51" s="12"/>
      <c r="Y51" s="14"/>
      <c r="Z51" s="12"/>
      <c r="AA51" s="14"/>
      <c r="AB51" s="29"/>
      <c r="AC51" s="18">
        <v>15</v>
      </c>
    </row>
    <row r="52" spans="1:29" ht="15.75" x14ac:dyDescent="0.25">
      <c r="A52" s="58"/>
      <c r="B52" s="2" t="s">
        <v>76</v>
      </c>
      <c r="C52" s="2" t="str">
        <f>VLOOKUP(B52,Setup!A:B,2,)</f>
        <v>Glossy Protective Cap, 65mm</v>
      </c>
      <c r="D52" s="2" t="s">
        <v>180</v>
      </c>
      <c r="E52" s="3" t="s">
        <v>51</v>
      </c>
      <c r="F52" s="24"/>
      <c r="G52" s="34">
        <f>21870+23490</f>
        <v>45360</v>
      </c>
      <c r="H52" s="36">
        <f>21870+23490</f>
        <v>45360</v>
      </c>
      <c r="I52" s="40">
        <v>8.5</v>
      </c>
      <c r="J52" s="40">
        <v>9</v>
      </c>
      <c r="K52" s="18">
        <v>8</v>
      </c>
      <c r="L52" s="41">
        <f t="shared" si="3"/>
        <v>56.470588235294116</v>
      </c>
      <c r="M52" s="17">
        <v>35</v>
      </c>
      <c r="N52" s="17">
        <f>15</f>
        <v>15</v>
      </c>
      <c r="O52" s="17"/>
      <c r="P52" s="47"/>
      <c r="Q52" s="43">
        <f>395+400</f>
        <v>795</v>
      </c>
      <c r="R52" s="19">
        <f>7.3+0.5</f>
        <v>7.8</v>
      </c>
      <c r="S52" s="59">
        <f t="shared" si="4"/>
        <v>1.9106407995296882E-2</v>
      </c>
      <c r="T52" s="11">
        <f t="shared" si="0"/>
        <v>1.0298076923076924</v>
      </c>
      <c r="U52" s="11">
        <f t="shared" si="1"/>
        <v>0.98125180271127777</v>
      </c>
      <c r="V52" s="11">
        <f t="shared" si="2"/>
        <v>1.0105006545228641</v>
      </c>
      <c r="W52" s="7"/>
      <c r="X52" s="12"/>
      <c r="Y52" s="14"/>
      <c r="Z52" s="12"/>
      <c r="AA52" s="14"/>
      <c r="AB52" s="29"/>
      <c r="AC52" s="18">
        <f>15</f>
        <v>15</v>
      </c>
    </row>
    <row r="53" spans="1:29" ht="15.75" x14ac:dyDescent="0.25">
      <c r="A53" s="58"/>
      <c r="B53" s="2" t="s">
        <v>76</v>
      </c>
      <c r="C53" s="2" t="str">
        <f>VLOOKUP(B53,Setup!A:B,2,)</f>
        <v>Glossy Protective Cap, 65mm</v>
      </c>
      <c r="D53" s="2" t="s">
        <v>176</v>
      </c>
      <c r="E53" s="2" t="s">
        <v>89</v>
      </c>
      <c r="F53" s="23"/>
      <c r="G53" s="34">
        <v>30240</v>
      </c>
      <c r="H53" s="36">
        <v>30240</v>
      </c>
      <c r="I53" s="40">
        <v>8.5</v>
      </c>
      <c r="J53" s="40">
        <v>9</v>
      </c>
      <c r="K53" s="18">
        <v>8</v>
      </c>
      <c r="L53" s="41">
        <f t="shared" si="3"/>
        <v>56.470588235294116</v>
      </c>
      <c r="M53" s="17">
        <v>20</v>
      </c>
      <c r="N53" s="17">
        <v>15</v>
      </c>
      <c r="O53" s="17"/>
      <c r="P53" s="47"/>
      <c r="Q53" s="43">
        <f>200+355</f>
        <v>555</v>
      </c>
      <c r="R53" s="19">
        <f>36.2+2</f>
        <v>38.200000000000003</v>
      </c>
      <c r="S53" s="59">
        <f t="shared" si="4"/>
        <v>0.14035861258083479</v>
      </c>
      <c r="T53" s="11">
        <f t="shared" si="0"/>
        <v>0.9916666666666667</v>
      </c>
      <c r="U53" s="11">
        <f t="shared" si="1"/>
        <v>0.87691712849594017</v>
      </c>
      <c r="V53" s="11">
        <f t="shared" si="2"/>
        <v>0.86960948575847408</v>
      </c>
      <c r="W53" s="7"/>
      <c r="X53" s="12"/>
      <c r="Y53" s="14"/>
      <c r="Z53" s="12"/>
      <c r="AA53" s="14"/>
      <c r="AB53" s="29"/>
      <c r="AC53" s="18">
        <v>15</v>
      </c>
    </row>
    <row r="54" spans="1:29" ht="15.75" x14ac:dyDescent="0.25">
      <c r="A54" s="58"/>
      <c r="B54" s="2" t="s">
        <v>76</v>
      </c>
      <c r="C54" s="2" t="str">
        <f>VLOOKUP(B54,Setup!A:B,2,)</f>
        <v>Glossy Protective Cap, 65mm</v>
      </c>
      <c r="D54" s="2" t="s">
        <v>175</v>
      </c>
      <c r="E54" s="3" t="s">
        <v>65</v>
      </c>
      <c r="F54" s="24"/>
      <c r="G54" s="34">
        <v>45090</v>
      </c>
      <c r="H54" s="36">
        <v>45090</v>
      </c>
      <c r="I54" s="40">
        <v>8.5</v>
      </c>
      <c r="J54" s="40">
        <v>9</v>
      </c>
      <c r="K54" s="18">
        <v>8</v>
      </c>
      <c r="L54" s="41">
        <f t="shared" si="3"/>
        <v>56.470588235294116</v>
      </c>
      <c r="M54" s="17">
        <v>30</v>
      </c>
      <c r="N54" s="17">
        <v>15</v>
      </c>
      <c r="O54" s="17"/>
      <c r="P54" s="47"/>
      <c r="Q54" s="43">
        <f>335+475</f>
        <v>810</v>
      </c>
      <c r="R54" s="19">
        <f>8.6+1</f>
        <v>9.6</v>
      </c>
      <c r="S54" s="59">
        <f t="shared" si="4"/>
        <v>2.3656390921859984E-2</v>
      </c>
      <c r="T54" s="11">
        <f t="shared" si="0"/>
        <v>1.0043632075471698</v>
      </c>
      <c r="U54" s="11">
        <f t="shared" si="1"/>
        <v>0.97689030114826314</v>
      </c>
      <c r="V54" s="11">
        <f t="shared" si="2"/>
        <v>0.98115267628299019</v>
      </c>
      <c r="W54" s="7"/>
      <c r="X54" s="12"/>
      <c r="Y54" s="14"/>
      <c r="Z54" s="12"/>
      <c r="AA54" s="14"/>
      <c r="AB54" s="29"/>
      <c r="AC54" s="18">
        <v>10</v>
      </c>
    </row>
    <row r="55" spans="1:29" ht="15.75" x14ac:dyDescent="0.25">
      <c r="A55" s="58"/>
      <c r="B55" s="2" t="s">
        <v>76</v>
      </c>
      <c r="C55" s="2" t="str">
        <f>VLOOKUP(B55,Setup!A:B,2,)</f>
        <v>Glossy Protective Cap, 65mm</v>
      </c>
      <c r="D55" s="2" t="s">
        <v>181</v>
      </c>
      <c r="E55" s="3" t="s">
        <v>85</v>
      </c>
      <c r="F55" s="24"/>
      <c r="G55" s="34">
        <v>20250</v>
      </c>
      <c r="H55" s="36">
        <v>20250</v>
      </c>
      <c r="I55" s="40">
        <v>8.5</v>
      </c>
      <c r="J55" s="40">
        <v>9</v>
      </c>
      <c r="K55" s="18">
        <v>8</v>
      </c>
      <c r="L55" s="41">
        <f t="shared" si="3"/>
        <v>56.470588235294116</v>
      </c>
      <c r="M55" s="17">
        <v>15</v>
      </c>
      <c r="N55" s="17">
        <v>15</v>
      </c>
      <c r="O55" s="17"/>
      <c r="P55" s="47"/>
      <c r="Q55" s="43">
        <f>230+160+10</f>
        <v>400</v>
      </c>
      <c r="R55" s="19"/>
      <c r="S55" s="59">
        <f t="shared" si="4"/>
        <v>0</v>
      </c>
      <c r="T55" s="11">
        <f t="shared" si="0"/>
        <v>0.93141233766233766</v>
      </c>
      <c r="U55" s="11">
        <f t="shared" si="1"/>
        <v>1</v>
      </c>
      <c r="V55" s="11">
        <f t="shared" si="2"/>
        <v>0.93141233766233766</v>
      </c>
      <c r="W55" s="7"/>
      <c r="X55" s="12" t="s">
        <v>94</v>
      </c>
      <c r="Y55" s="14">
        <v>10</v>
      </c>
      <c r="Z55" s="12"/>
      <c r="AA55" s="14"/>
      <c r="AB55" s="29" t="s">
        <v>104</v>
      </c>
      <c r="AC55" s="18">
        <v>15</v>
      </c>
    </row>
    <row r="56" spans="1:29" ht="15.75" x14ac:dyDescent="0.25">
      <c r="A56" s="58"/>
      <c r="B56" s="2" t="s">
        <v>76</v>
      </c>
      <c r="C56" s="2" t="str">
        <f>VLOOKUP(B56,Setup!A:B,2,)</f>
        <v>Glossy Protective Cap, 65mm</v>
      </c>
      <c r="D56" s="2" t="s">
        <v>182</v>
      </c>
      <c r="E56" s="3" t="s">
        <v>67</v>
      </c>
      <c r="F56" s="27"/>
      <c r="G56" s="34">
        <v>16200</v>
      </c>
      <c r="H56" s="36">
        <v>16200</v>
      </c>
      <c r="I56" s="40">
        <v>8.5</v>
      </c>
      <c r="J56" s="40">
        <v>9</v>
      </c>
      <c r="K56" s="18">
        <v>8</v>
      </c>
      <c r="L56" s="41">
        <f t="shared" si="3"/>
        <v>56.470588235294116</v>
      </c>
      <c r="M56" s="17">
        <v>15</v>
      </c>
      <c r="N56" s="17"/>
      <c r="O56" s="17"/>
      <c r="P56" s="47"/>
      <c r="Q56" s="43">
        <f>295</f>
        <v>295</v>
      </c>
      <c r="R56" s="19">
        <v>8.8000000000000007</v>
      </c>
      <c r="S56" s="59">
        <f t="shared" si="4"/>
        <v>6.035665294924554E-2</v>
      </c>
      <c r="T56" s="11">
        <f t="shared" si="0"/>
        <v>0.97245762711864403</v>
      </c>
      <c r="U56" s="11">
        <f t="shared" si="1"/>
        <v>0.94307891332470895</v>
      </c>
      <c r="V56" s="11">
        <f t="shared" si="2"/>
        <v>0.91710428223737583</v>
      </c>
      <c r="W56" s="7"/>
      <c r="X56" s="12"/>
      <c r="Y56" s="14"/>
      <c r="Z56" s="12"/>
      <c r="AA56" s="14"/>
      <c r="AB56" s="29"/>
      <c r="AC56" s="18"/>
    </row>
    <row r="57" spans="1:29" ht="15.75" x14ac:dyDescent="0.25">
      <c r="A57" s="58"/>
      <c r="B57" s="2" t="s">
        <v>76</v>
      </c>
      <c r="C57" s="2" t="str">
        <f>VLOOKUP(B57,Setup!A:B,2,)</f>
        <v>Glossy Protective Cap, 65mm</v>
      </c>
      <c r="D57" s="2" t="s">
        <v>143</v>
      </c>
      <c r="E57" s="3" t="s">
        <v>88</v>
      </c>
      <c r="F57" s="27"/>
      <c r="G57" s="34">
        <v>23220</v>
      </c>
      <c r="H57" s="36">
        <v>23220</v>
      </c>
      <c r="I57" s="40">
        <v>8.5</v>
      </c>
      <c r="J57" s="40">
        <v>9</v>
      </c>
      <c r="K57" s="18">
        <v>8</v>
      </c>
      <c r="L57" s="41">
        <f t="shared" si="3"/>
        <v>56.470588235294116</v>
      </c>
      <c r="M57" s="17">
        <v>15</v>
      </c>
      <c r="N57" s="17">
        <v>15</v>
      </c>
      <c r="O57" s="17"/>
      <c r="P57" s="47"/>
      <c r="Q57" s="43">
        <f>235+195</f>
        <v>430</v>
      </c>
      <c r="R57" s="19">
        <f>7+1.1</f>
        <v>8.1</v>
      </c>
      <c r="S57" s="59">
        <f t="shared" si="4"/>
        <v>3.875968992248062E-2</v>
      </c>
      <c r="T57" s="11">
        <f t="shared" si="0"/>
        <v>0.99081325301204826</v>
      </c>
      <c r="U57" s="11">
        <f t="shared" si="1"/>
        <v>0.96268656716417911</v>
      </c>
      <c r="V57" s="11">
        <f t="shared" si="2"/>
        <v>0.95384260924294195</v>
      </c>
      <c r="W57" s="7"/>
      <c r="X57" s="12"/>
      <c r="Y57" s="14"/>
      <c r="Z57" s="12"/>
      <c r="AA57" s="14"/>
      <c r="AB57" s="29"/>
      <c r="AC57" s="18">
        <v>10</v>
      </c>
    </row>
    <row r="58" spans="1:29" ht="15.75" x14ac:dyDescent="0.25">
      <c r="A58" s="58"/>
      <c r="B58" s="2" t="s">
        <v>76</v>
      </c>
      <c r="C58" s="2" t="str">
        <f>VLOOKUP(B58,Setup!A:B,2,)</f>
        <v>Glossy Protective Cap, 65mm</v>
      </c>
      <c r="D58" s="2" t="s">
        <v>142</v>
      </c>
      <c r="E58" s="3" t="s">
        <v>42</v>
      </c>
      <c r="F58" s="24"/>
      <c r="G58" s="34">
        <v>15120</v>
      </c>
      <c r="H58" s="36">
        <v>15120</v>
      </c>
      <c r="I58" s="40">
        <v>8.5</v>
      </c>
      <c r="J58" s="40">
        <v>9</v>
      </c>
      <c r="K58" s="18">
        <v>8</v>
      </c>
      <c r="L58" s="41">
        <f t="shared" si="3"/>
        <v>56.470588235294116</v>
      </c>
      <c r="M58" s="17">
        <v>25</v>
      </c>
      <c r="N58" s="17"/>
      <c r="O58" s="17"/>
      <c r="P58" s="47"/>
      <c r="Q58" s="43">
        <f>285+10</f>
        <v>295</v>
      </c>
      <c r="R58" s="19">
        <v>9.16</v>
      </c>
      <c r="S58" s="59">
        <f t="shared" si="4"/>
        <v>6.731334509112287E-2</v>
      </c>
      <c r="T58" s="11">
        <f t="shared" ref="T58:T68" si="5">(H58/(L58*(Q58-N58-M58-O58)))*((Q58-N58-M58-O58)/(Q58-N58-O58))</f>
        <v>0.90762711864406787</v>
      </c>
      <c r="U58" s="11">
        <f t="shared" si="1"/>
        <v>0.93693197466262734</v>
      </c>
      <c r="V58" s="11">
        <f t="shared" si="2"/>
        <v>0.85038486852853723</v>
      </c>
      <c r="W58" s="7"/>
      <c r="X58" s="12" t="s">
        <v>106</v>
      </c>
      <c r="Y58" s="14">
        <v>10</v>
      </c>
      <c r="Z58" s="12"/>
      <c r="AA58" s="14"/>
      <c r="AB58" s="29" t="s">
        <v>109</v>
      </c>
      <c r="AC58" s="18"/>
    </row>
    <row r="59" spans="1:29" ht="15.75" x14ac:dyDescent="0.25">
      <c r="A59" s="58"/>
      <c r="B59" s="2" t="s">
        <v>76</v>
      </c>
      <c r="C59" s="2" t="str">
        <f>VLOOKUP(B59,Setup!A:B,2,)</f>
        <v>Glossy Protective Cap, 65mm</v>
      </c>
      <c r="D59" s="2" t="s">
        <v>142</v>
      </c>
      <c r="E59" s="3" t="s">
        <v>58</v>
      </c>
      <c r="F59" s="24"/>
      <c r="G59" s="34">
        <v>41040</v>
      </c>
      <c r="H59" s="36">
        <v>41040</v>
      </c>
      <c r="I59" s="40">
        <v>8.5</v>
      </c>
      <c r="J59" s="40">
        <v>9</v>
      </c>
      <c r="K59" s="18">
        <v>8</v>
      </c>
      <c r="L59" s="41">
        <f t="shared" si="3"/>
        <v>56.470588235294116</v>
      </c>
      <c r="M59" s="17">
        <v>20</v>
      </c>
      <c r="N59" s="17">
        <v>15</v>
      </c>
      <c r="O59" s="17"/>
      <c r="P59" s="47"/>
      <c r="Q59" s="43">
        <f>195+560</f>
        <v>755</v>
      </c>
      <c r="R59" s="19">
        <f>9.16+0.8</f>
        <v>9.9600000000000009</v>
      </c>
      <c r="S59" s="59">
        <f t="shared" si="4"/>
        <v>2.6965562053281353E-2</v>
      </c>
      <c r="T59" s="11">
        <f t="shared" si="5"/>
        <v>0.98209459459459481</v>
      </c>
      <c r="U59" s="11">
        <f t="shared" si="1"/>
        <v>0.97374248655488771</v>
      </c>
      <c r="V59" s="11">
        <f t="shared" si="2"/>
        <v>0.95630723257265515</v>
      </c>
      <c r="W59" s="7"/>
      <c r="X59" s="12"/>
      <c r="Y59" s="14"/>
      <c r="Z59" s="12"/>
      <c r="AA59" s="14"/>
      <c r="AB59" s="29"/>
      <c r="AC59" s="18">
        <v>15</v>
      </c>
    </row>
    <row r="60" spans="1:29" ht="15.75" x14ac:dyDescent="0.25">
      <c r="A60" s="58"/>
      <c r="B60" s="2" t="s">
        <v>76</v>
      </c>
      <c r="C60" s="2" t="str">
        <f>VLOOKUP(B60,Setup!A:B,2,)</f>
        <v>Glossy Protective Cap, 65mm</v>
      </c>
      <c r="D60" s="2" t="s">
        <v>183</v>
      </c>
      <c r="E60" s="3" t="s">
        <v>87</v>
      </c>
      <c r="F60" s="23"/>
      <c r="G60" s="34">
        <v>8100</v>
      </c>
      <c r="H60" s="36">
        <v>8100</v>
      </c>
      <c r="I60" s="40">
        <v>8.5</v>
      </c>
      <c r="J60" s="40">
        <v>9</v>
      </c>
      <c r="K60" s="18">
        <v>8</v>
      </c>
      <c r="L60" s="41">
        <f t="shared" si="3"/>
        <v>56.470588235294116</v>
      </c>
      <c r="M60" s="17">
        <v>20</v>
      </c>
      <c r="N60" s="17">
        <v>15</v>
      </c>
      <c r="O60" s="17"/>
      <c r="P60" s="47"/>
      <c r="Q60" s="43">
        <f>140+25</f>
        <v>165</v>
      </c>
      <c r="R60" s="19">
        <f>9.1</f>
        <v>9.1</v>
      </c>
      <c r="S60" s="59">
        <f t="shared" si="4"/>
        <v>0.12482853223593963</v>
      </c>
      <c r="T60" s="11">
        <f t="shared" si="5"/>
        <v>0.95625000000000004</v>
      </c>
      <c r="U60" s="11">
        <f t="shared" si="1"/>
        <v>0.88902439024390245</v>
      </c>
      <c r="V60" s="11">
        <f t="shared" si="2"/>
        <v>0.85012957317073179</v>
      </c>
      <c r="W60" s="7"/>
      <c r="X60" s="12"/>
      <c r="Y60" s="14"/>
      <c r="Z60" s="12"/>
      <c r="AA60" s="14"/>
      <c r="AB60" s="29"/>
      <c r="AC60" s="18">
        <v>10</v>
      </c>
    </row>
    <row r="61" spans="1:29" ht="15.75" x14ac:dyDescent="0.25">
      <c r="A61" s="58"/>
      <c r="B61" s="2" t="s">
        <v>76</v>
      </c>
      <c r="C61" s="2" t="str">
        <f>VLOOKUP(B61,Setup!A:B,2,)</f>
        <v>Glossy Protective Cap, 65mm</v>
      </c>
      <c r="D61" s="2" t="s">
        <v>175</v>
      </c>
      <c r="E61" s="3" t="s">
        <v>65</v>
      </c>
      <c r="F61" s="23"/>
      <c r="G61" s="34">
        <v>18090</v>
      </c>
      <c r="H61" s="36">
        <v>18090</v>
      </c>
      <c r="I61" s="40">
        <v>8.5</v>
      </c>
      <c r="J61" s="40">
        <v>9</v>
      </c>
      <c r="K61" s="18">
        <v>8</v>
      </c>
      <c r="L61" s="41">
        <f t="shared" si="3"/>
        <v>56.470588235294116</v>
      </c>
      <c r="M61" s="17">
        <v>25</v>
      </c>
      <c r="N61" s="17"/>
      <c r="O61" s="17"/>
      <c r="P61" s="47"/>
      <c r="Q61" s="43">
        <f>325</f>
        <v>325</v>
      </c>
      <c r="R61" s="19">
        <f>8.3</f>
        <v>8.3000000000000007</v>
      </c>
      <c r="S61" s="59">
        <f t="shared" si="4"/>
        <v>5.0979669553467236E-2</v>
      </c>
      <c r="T61" s="11">
        <f t="shared" si="5"/>
        <v>0.98567307692307704</v>
      </c>
      <c r="U61" s="11">
        <f t="shared" si="1"/>
        <v>0.95149319151423062</v>
      </c>
      <c r="V61" s="11">
        <f t="shared" si="2"/>
        <v>0.93786122175119035</v>
      </c>
      <c r="W61" s="7"/>
      <c r="X61" s="12"/>
      <c r="Y61" s="14"/>
      <c r="Z61" s="12"/>
      <c r="AA61" s="14"/>
      <c r="AB61" s="29"/>
      <c r="AC61" s="18"/>
    </row>
    <row r="62" spans="1:29" ht="15.75" x14ac:dyDescent="0.25">
      <c r="A62" s="58"/>
      <c r="B62" s="2" t="s">
        <v>76</v>
      </c>
      <c r="C62" s="2" t="str">
        <f>VLOOKUP(B62,Setup!A:B,2,)</f>
        <v>Glossy Protective Cap, 65mm</v>
      </c>
      <c r="D62" s="2" t="s">
        <v>184</v>
      </c>
      <c r="E62" s="3" t="s">
        <v>62</v>
      </c>
      <c r="F62" s="24"/>
      <c r="G62" s="34">
        <v>40230</v>
      </c>
      <c r="H62" s="36">
        <v>40230</v>
      </c>
      <c r="I62" s="40">
        <v>8.5</v>
      </c>
      <c r="J62" s="40">
        <v>9</v>
      </c>
      <c r="K62" s="18">
        <v>8</v>
      </c>
      <c r="L62" s="41">
        <f t="shared" si="3"/>
        <v>56.470588235294116</v>
      </c>
      <c r="M62" s="18">
        <v>15</v>
      </c>
      <c r="N62" s="18">
        <v>15</v>
      </c>
      <c r="O62" s="18"/>
      <c r="P62" s="46"/>
      <c r="Q62" s="22">
        <f>330+430</f>
        <v>760</v>
      </c>
      <c r="R62" s="19">
        <f>7.6+0.98</f>
        <v>8.58</v>
      </c>
      <c r="S62" s="59">
        <f t="shared" si="4"/>
        <v>2.3697075151213855E-2</v>
      </c>
      <c r="T62" s="11">
        <f t="shared" si="5"/>
        <v>0.95625000000000004</v>
      </c>
      <c r="U62" s="11">
        <f t="shared" si="1"/>
        <v>0.97685147713476328</v>
      </c>
      <c r="V62" s="11">
        <f t="shared" si="2"/>
        <v>0.93411422501011743</v>
      </c>
      <c r="W62" s="7"/>
      <c r="X62" s="12"/>
      <c r="Y62" s="14"/>
      <c r="Z62" s="12"/>
      <c r="AA62" s="14"/>
      <c r="AB62" s="29"/>
      <c r="AC62" s="18">
        <v>10</v>
      </c>
    </row>
    <row r="63" spans="1:29" ht="15.75" x14ac:dyDescent="0.25">
      <c r="A63" s="58"/>
      <c r="B63" s="2" t="s">
        <v>76</v>
      </c>
      <c r="C63" s="2" t="str">
        <f>VLOOKUP(B63,Setup!A:B,2,)</f>
        <v>Glossy Protective Cap, 65mm</v>
      </c>
      <c r="D63" s="2" t="s">
        <v>145</v>
      </c>
      <c r="E63" s="3" t="s">
        <v>56</v>
      </c>
      <c r="F63" s="24"/>
      <c r="G63" s="34">
        <v>28080</v>
      </c>
      <c r="H63" s="36">
        <v>28080</v>
      </c>
      <c r="I63" s="40">
        <v>8.5</v>
      </c>
      <c r="J63" s="40">
        <v>9</v>
      </c>
      <c r="K63" s="18">
        <v>8</v>
      </c>
      <c r="L63" s="41">
        <f t="shared" si="3"/>
        <v>56.470588235294116</v>
      </c>
      <c r="M63" s="18">
        <v>20</v>
      </c>
      <c r="N63" s="18">
        <v>15</v>
      </c>
      <c r="O63" s="18"/>
      <c r="P63" s="46"/>
      <c r="Q63" s="22">
        <f>280+250</f>
        <v>530</v>
      </c>
      <c r="R63" s="19">
        <f>9.44</f>
        <v>9.44</v>
      </c>
      <c r="S63" s="59">
        <f t="shared" si="4"/>
        <v>3.7353592909148463E-2</v>
      </c>
      <c r="T63" s="11">
        <f t="shared" si="5"/>
        <v>0.96553398058252438</v>
      </c>
      <c r="U63" s="11">
        <f t="shared" si="1"/>
        <v>0.96399145559963384</v>
      </c>
      <c r="V63" s="11">
        <f t="shared" si="2"/>
        <v>0.93076650737265632</v>
      </c>
      <c r="W63" s="7"/>
      <c r="X63" s="12"/>
      <c r="Y63" s="14"/>
      <c r="Z63" s="12"/>
      <c r="AA63" s="14"/>
      <c r="AB63" s="29"/>
      <c r="AC63" s="18">
        <v>20</v>
      </c>
    </row>
    <row r="64" spans="1:29" ht="15.75" x14ac:dyDescent="0.25">
      <c r="A64" s="58"/>
      <c r="B64" s="2" t="s">
        <v>76</v>
      </c>
      <c r="C64" s="2" t="str">
        <f>VLOOKUP(B64,Setup!A:B,2,)</f>
        <v>Glossy Protective Cap, 65mm</v>
      </c>
      <c r="D64" s="2" t="s">
        <v>185</v>
      </c>
      <c r="E64" s="3" t="s">
        <v>48</v>
      </c>
      <c r="F64" s="24"/>
      <c r="G64" s="34">
        <v>20250</v>
      </c>
      <c r="H64" s="36">
        <v>20250</v>
      </c>
      <c r="I64" s="40">
        <v>8.5</v>
      </c>
      <c r="J64" s="40">
        <v>9</v>
      </c>
      <c r="K64" s="18">
        <v>8</v>
      </c>
      <c r="L64" s="41">
        <f t="shared" si="3"/>
        <v>56.470588235294116</v>
      </c>
      <c r="M64" s="18">
        <v>15</v>
      </c>
      <c r="N64" s="18"/>
      <c r="O64" s="18"/>
      <c r="P64" s="46"/>
      <c r="Q64" s="22">
        <f>370</f>
        <v>370</v>
      </c>
      <c r="R64" s="19">
        <f>6.6</f>
        <v>6.6</v>
      </c>
      <c r="S64" s="59">
        <f t="shared" si="4"/>
        <v>3.6213991769547323E-2</v>
      </c>
      <c r="T64" s="11">
        <f t="shared" si="5"/>
        <v>0.96917229729729726</v>
      </c>
      <c r="U64" s="11">
        <f t="shared" si="1"/>
        <v>0.96505162827640989</v>
      </c>
      <c r="V64" s="11">
        <f t="shared" si="2"/>
        <v>0.93530130358714547</v>
      </c>
      <c r="W64" s="7"/>
      <c r="X64" s="12"/>
      <c r="Y64" s="14"/>
      <c r="Z64" s="12"/>
      <c r="AA64" s="14"/>
      <c r="AB64" s="29"/>
      <c r="AC64" s="18"/>
    </row>
    <row r="65" spans="1:29" ht="15.75" x14ac:dyDescent="0.25">
      <c r="A65" s="58"/>
      <c r="B65" s="2" t="s">
        <v>76</v>
      </c>
      <c r="C65" s="2" t="str">
        <f>VLOOKUP(B65,Setup!A:B,2,)</f>
        <v>Glossy Protective Cap, 65mm</v>
      </c>
      <c r="D65" s="2" t="s">
        <v>177</v>
      </c>
      <c r="E65" s="3" t="s">
        <v>60</v>
      </c>
      <c r="F65" s="24"/>
      <c r="G65" s="34">
        <v>18090</v>
      </c>
      <c r="H65" s="36">
        <v>18090</v>
      </c>
      <c r="I65" s="40">
        <v>8.5</v>
      </c>
      <c r="J65" s="40">
        <v>9</v>
      </c>
      <c r="K65" s="18">
        <v>8</v>
      </c>
      <c r="L65" s="41">
        <f t="shared" si="3"/>
        <v>56.470588235294116</v>
      </c>
      <c r="M65" s="18">
        <v>15</v>
      </c>
      <c r="N65" s="18">
        <v>15</v>
      </c>
      <c r="O65" s="18"/>
      <c r="P65" s="46"/>
      <c r="Q65" s="22">
        <f>70+265</f>
        <v>335</v>
      </c>
      <c r="R65" s="19">
        <f>0.86</f>
        <v>0.86</v>
      </c>
      <c r="S65" s="59">
        <f t="shared" si="4"/>
        <v>5.2822308212026291E-3</v>
      </c>
      <c r="T65" s="11">
        <f t="shared" si="5"/>
        <v>1.0010742187499999</v>
      </c>
      <c r="U65" s="11">
        <f t="shared" si="1"/>
        <v>0.99474552453106857</v>
      </c>
      <c r="V65" s="11">
        <f t="shared" si="2"/>
        <v>0.99581409882499838</v>
      </c>
      <c r="W65" s="7"/>
      <c r="X65" s="12"/>
      <c r="Y65" s="14"/>
      <c r="Z65" s="12"/>
      <c r="AA65" s="14"/>
      <c r="AB65" s="29"/>
      <c r="AC65" s="18">
        <v>10</v>
      </c>
    </row>
    <row r="66" spans="1:29" ht="15.75" x14ac:dyDescent="0.25">
      <c r="A66" s="58"/>
      <c r="B66" s="2" t="s">
        <v>76</v>
      </c>
      <c r="C66" s="2" t="str">
        <f>VLOOKUP(B66,Setup!A:B,2,)</f>
        <v>Glossy Protective Cap, 65mm</v>
      </c>
      <c r="D66" s="2" t="s">
        <v>189</v>
      </c>
      <c r="E66" s="3" t="s">
        <v>59</v>
      </c>
      <c r="F66" s="24"/>
      <c r="G66" s="34">
        <v>83970</v>
      </c>
      <c r="H66" s="36">
        <v>83970</v>
      </c>
      <c r="I66" s="40">
        <v>8.5</v>
      </c>
      <c r="J66" s="40">
        <v>9</v>
      </c>
      <c r="K66" s="18">
        <v>8</v>
      </c>
      <c r="L66" s="41">
        <f t="shared" si="3"/>
        <v>56.470588235294116</v>
      </c>
      <c r="M66" s="18">
        <v>15</v>
      </c>
      <c r="N66" s="18">
        <f>15+15</f>
        <v>30</v>
      </c>
      <c r="O66" s="18"/>
      <c r="P66" s="46"/>
      <c r="Q66" s="22">
        <f>440+720+395</f>
        <v>1555</v>
      </c>
      <c r="R66" s="19">
        <f>6.7+1.2</f>
        <v>7.9</v>
      </c>
      <c r="S66" s="59">
        <f t="shared" si="4"/>
        <v>1.0453468831460972E-2</v>
      </c>
      <c r="T66" s="11">
        <f t="shared" si="5"/>
        <v>0.97506147540983612</v>
      </c>
      <c r="U66" s="11">
        <f t="shared" ref="U66:U68" si="6">(H66*J66/(H66*J66+R66*1000))</f>
        <v>0.989654675693726</v>
      </c>
      <c r="V66" s="11">
        <f t="shared" ref="V66:V68" si="7">T66*U66</f>
        <v>0.96497414822816741</v>
      </c>
      <c r="W66" s="7"/>
      <c r="X66" s="12"/>
      <c r="Y66" s="14"/>
      <c r="Z66" s="12"/>
      <c r="AA66" s="14"/>
      <c r="AB66" s="29"/>
      <c r="AC66" s="18">
        <f>15+15</f>
        <v>30</v>
      </c>
    </row>
    <row r="67" spans="1:29" ht="15.75" x14ac:dyDescent="0.25">
      <c r="A67" s="58"/>
      <c r="B67" s="2" t="s">
        <v>76</v>
      </c>
      <c r="C67" s="2" t="str">
        <f>VLOOKUP(B67,Setup!A:B,2,)</f>
        <v>Glossy Protective Cap, 65mm</v>
      </c>
      <c r="D67" s="2" t="s">
        <v>176</v>
      </c>
      <c r="E67" s="2" t="s">
        <v>89</v>
      </c>
      <c r="F67" s="24"/>
      <c r="G67" s="34">
        <v>19980</v>
      </c>
      <c r="H67" s="36">
        <v>19980</v>
      </c>
      <c r="I67" s="40">
        <v>8.5</v>
      </c>
      <c r="J67" s="40">
        <v>9</v>
      </c>
      <c r="K67" s="18">
        <v>8</v>
      </c>
      <c r="L67" s="41">
        <f t="shared" ref="L67:L68" si="8">(60/I67)*K67</f>
        <v>56.470588235294116</v>
      </c>
      <c r="M67" s="18">
        <v>15</v>
      </c>
      <c r="N67" s="18">
        <v>15</v>
      </c>
      <c r="O67" s="18"/>
      <c r="P67" s="46"/>
      <c r="Q67" s="22">
        <f>310+65</f>
        <v>375</v>
      </c>
      <c r="R67" s="19">
        <f>8.3</f>
        <v>8.3000000000000007</v>
      </c>
      <c r="S67" s="59">
        <f t="shared" ref="S67:S69" si="9">R67/(G67*J67/1000)</f>
        <v>4.6157268379490607E-2</v>
      </c>
      <c r="T67" s="11">
        <f t="shared" si="5"/>
        <v>0.98281250000000009</v>
      </c>
      <c r="U67" s="11">
        <f t="shared" si="6"/>
        <v>0.95587922602594089</v>
      </c>
      <c r="V67" s="11">
        <f t="shared" si="7"/>
        <v>0.93945005182862007</v>
      </c>
      <c r="W67" s="7"/>
      <c r="X67" s="12"/>
      <c r="Y67" s="14"/>
      <c r="Z67" s="12"/>
      <c r="AA67" s="14"/>
      <c r="AB67" s="29"/>
      <c r="AC67" s="18">
        <v>15</v>
      </c>
    </row>
    <row r="68" spans="1:29" ht="15.75" x14ac:dyDescent="0.25">
      <c r="A68" s="58"/>
      <c r="B68" s="2" t="s">
        <v>76</v>
      </c>
      <c r="C68" s="2" t="str">
        <f>VLOOKUP(B68,Setup!A:B,2,)</f>
        <v>Glossy Protective Cap, 65mm</v>
      </c>
      <c r="D68" s="2" t="s">
        <v>180</v>
      </c>
      <c r="E68" s="3" t="s">
        <v>51</v>
      </c>
      <c r="F68" s="24"/>
      <c r="G68" s="34">
        <v>72360</v>
      </c>
      <c r="H68" s="36">
        <v>72360</v>
      </c>
      <c r="I68" s="40">
        <v>8.5</v>
      </c>
      <c r="J68" s="40">
        <v>9</v>
      </c>
      <c r="K68" s="18">
        <v>8</v>
      </c>
      <c r="L68" s="41">
        <f t="shared" si="8"/>
        <v>56.470588235294116</v>
      </c>
      <c r="M68" s="18">
        <v>30</v>
      </c>
      <c r="N68" s="18">
        <v>15</v>
      </c>
      <c r="O68" s="18"/>
      <c r="P68" s="46"/>
      <c r="Q68" s="22">
        <f>625+720</f>
        <v>1345</v>
      </c>
      <c r="R68" s="19">
        <f>9.8+1.1</f>
        <v>10.9</v>
      </c>
      <c r="S68" s="59">
        <f t="shared" si="9"/>
        <v>1.6737301148578097E-2</v>
      </c>
      <c r="T68" s="11">
        <f t="shared" si="5"/>
        <v>0.96343984962406015</v>
      </c>
      <c r="U68" s="11">
        <f t="shared" si="6"/>
        <v>0.98353822454465822</v>
      </c>
      <c r="V68" s="11">
        <f t="shared" si="7"/>
        <v>0.94757991915482065</v>
      </c>
      <c r="W68" s="7"/>
      <c r="X68" s="12"/>
      <c r="Y68" s="14"/>
      <c r="Z68" s="12"/>
      <c r="AA68" s="14"/>
      <c r="AB68" s="29"/>
      <c r="AC68" s="18">
        <v>15</v>
      </c>
    </row>
    <row r="69" spans="1:29" x14ac:dyDescent="0.25">
      <c r="G69" s="51">
        <f>SUM(G2:G68)</f>
        <v>2076390</v>
      </c>
      <c r="H69" s="51">
        <f t="shared" ref="H69:R69" si="10">SUM(H2:H68)</f>
        <v>2076390</v>
      </c>
      <c r="I69" s="51"/>
      <c r="J69" s="51"/>
      <c r="K69" s="51"/>
      <c r="L69" s="51"/>
      <c r="M69" s="51">
        <f t="shared" si="10"/>
        <v>1390</v>
      </c>
      <c r="N69" s="51">
        <f t="shared" si="10"/>
        <v>810</v>
      </c>
      <c r="O69" s="51">
        <f t="shared" si="10"/>
        <v>0</v>
      </c>
      <c r="P69" s="51"/>
      <c r="Q69" s="51">
        <f t="shared" si="10"/>
        <v>38990</v>
      </c>
      <c r="R69" s="51">
        <f t="shared" si="10"/>
        <v>578.37000000000012</v>
      </c>
      <c r="S69" s="51"/>
    </row>
  </sheetData>
  <autoFilter ref="A1:AA68" xr:uid="{C7B991B8-EEF6-4D5C-BA37-743E594A641C}"/>
  <mergeCells count="1">
    <mergeCell ref="A2:A68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2BC7-4D73-49A1-9DFB-A5542A2903DF}">
  <dimension ref="A1:B14"/>
  <sheetViews>
    <sheetView workbookViewId="0">
      <selection activeCell="A14" sqref="A14"/>
    </sheetView>
  </sheetViews>
  <sheetFormatPr defaultRowHeight="15" x14ac:dyDescent="0.25"/>
  <cols>
    <col min="2" max="2" width="76.5703125" customWidth="1"/>
    <col min="3" max="3" width="54" customWidth="1"/>
  </cols>
  <sheetData>
    <row r="1" spans="1:2" ht="15.75" x14ac:dyDescent="0.25">
      <c r="A1" s="2" t="s">
        <v>80</v>
      </c>
      <c r="B1" s="1" t="s">
        <v>117</v>
      </c>
    </row>
    <row r="2" spans="1:2" ht="15.75" x14ac:dyDescent="0.25">
      <c r="A2" s="2" t="s">
        <v>81</v>
      </c>
      <c r="B2" s="1" t="s">
        <v>118</v>
      </c>
    </row>
    <row r="3" spans="1:2" ht="15.75" x14ac:dyDescent="0.25">
      <c r="A3" s="2" t="s">
        <v>75</v>
      </c>
      <c r="B3" s="1" t="s">
        <v>119</v>
      </c>
    </row>
    <row r="4" spans="1:2" ht="15.75" x14ac:dyDescent="0.25">
      <c r="A4" s="2" t="s">
        <v>78</v>
      </c>
      <c r="B4" s="1" t="s">
        <v>120</v>
      </c>
    </row>
    <row r="5" spans="1:2" ht="15.75" x14ac:dyDescent="0.25">
      <c r="A5" s="39" t="s">
        <v>74</v>
      </c>
      <c r="B5" s="1" t="s">
        <v>121</v>
      </c>
    </row>
    <row r="6" spans="1:2" ht="15.75" x14ac:dyDescent="0.25">
      <c r="A6" s="39" t="s">
        <v>72</v>
      </c>
      <c r="B6" s="1" t="s">
        <v>122</v>
      </c>
    </row>
    <row r="7" spans="1:2" ht="15.75" x14ac:dyDescent="0.25">
      <c r="A7" s="2" t="s">
        <v>73</v>
      </c>
      <c r="B7" s="1" t="s">
        <v>123</v>
      </c>
    </row>
    <row r="8" spans="1:2" ht="15.75" x14ac:dyDescent="0.25">
      <c r="A8" s="2" t="s">
        <v>71</v>
      </c>
      <c r="B8" s="1" t="s">
        <v>124</v>
      </c>
    </row>
    <row r="9" spans="1:2" ht="15.75" x14ac:dyDescent="0.25">
      <c r="A9" s="2" t="s">
        <v>116</v>
      </c>
      <c r="B9" s="1" t="s">
        <v>125</v>
      </c>
    </row>
    <row r="10" spans="1:2" ht="15.75" x14ac:dyDescent="0.25">
      <c r="A10" s="2" t="s">
        <v>76</v>
      </c>
      <c r="B10" s="1" t="s">
        <v>126</v>
      </c>
    </row>
    <row r="11" spans="1:2" ht="15.75" x14ac:dyDescent="0.25">
      <c r="A11" s="39" t="s">
        <v>77</v>
      </c>
      <c r="B11" s="1" t="s">
        <v>127</v>
      </c>
    </row>
    <row r="12" spans="1:2" ht="15.75" x14ac:dyDescent="0.25">
      <c r="A12" s="2" t="s">
        <v>131</v>
      </c>
      <c r="B12" s="1" t="s">
        <v>128</v>
      </c>
    </row>
    <row r="13" spans="1:2" ht="15.75" x14ac:dyDescent="0.25">
      <c r="A13" s="2" t="s">
        <v>132</v>
      </c>
      <c r="B13" s="1" t="s">
        <v>129</v>
      </c>
    </row>
    <row r="14" spans="1:2" ht="15.75" x14ac:dyDescent="0.25">
      <c r="A14" s="2" t="s">
        <v>84</v>
      </c>
      <c r="B14" s="1" t="s">
        <v>130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80B2-7D60-48F4-9409-0040B137415C}">
  <dimension ref="A1:B14"/>
  <sheetViews>
    <sheetView workbookViewId="0">
      <selection activeCell="A29" sqref="A29"/>
    </sheetView>
  </sheetViews>
  <sheetFormatPr defaultRowHeight="15" x14ac:dyDescent="0.25"/>
  <cols>
    <col min="1" max="1" width="62.28515625" customWidth="1"/>
    <col min="16" max="16" width="75.140625" customWidth="1"/>
  </cols>
  <sheetData>
    <row r="1" spans="1:2" ht="15.75" x14ac:dyDescent="0.25">
      <c r="A1" s="8" t="s">
        <v>194</v>
      </c>
      <c r="B1" s="50" t="s">
        <v>196</v>
      </c>
    </row>
    <row r="2" spans="1:2" ht="15.75" x14ac:dyDescent="0.25">
      <c r="A2" s="8" t="s">
        <v>195</v>
      </c>
      <c r="B2" s="50" t="s">
        <v>197</v>
      </c>
    </row>
    <row r="3" spans="1:2" ht="15.75" x14ac:dyDescent="0.25">
      <c r="A3" s="8" t="s">
        <v>207</v>
      </c>
      <c r="B3" t="s">
        <v>198</v>
      </c>
    </row>
    <row r="4" spans="1:2" ht="15.75" x14ac:dyDescent="0.25">
      <c r="A4" s="8" t="s">
        <v>208</v>
      </c>
      <c r="B4" t="s">
        <v>199</v>
      </c>
    </row>
    <row r="5" spans="1:2" ht="15.75" x14ac:dyDescent="0.25">
      <c r="A5" s="8" t="s">
        <v>209</v>
      </c>
      <c r="B5" t="s">
        <v>200</v>
      </c>
    </row>
    <row r="6" spans="1:2" ht="15.75" x14ac:dyDescent="0.25">
      <c r="A6" s="8" t="s">
        <v>137</v>
      </c>
      <c r="B6" t="s">
        <v>201</v>
      </c>
    </row>
    <row r="7" spans="1:2" ht="15.75" x14ac:dyDescent="0.25">
      <c r="A7" s="8" t="s">
        <v>138</v>
      </c>
      <c r="B7" t="s">
        <v>202</v>
      </c>
    </row>
    <row r="8" spans="1:2" ht="15.75" x14ac:dyDescent="0.25">
      <c r="A8" s="8" t="s">
        <v>139</v>
      </c>
      <c r="B8" s="50" t="s">
        <v>203</v>
      </c>
    </row>
    <row r="9" spans="1:2" ht="15.75" x14ac:dyDescent="0.25">
      <c r="A9" s="8" t="s">
        <v>140</v>
      </c>
      <c r="B9" s="50" t="s">
        <v>204</v>
      </c>
    </row>
    <row r="10" spans="1:2" ht="15.75" x14ac:dyDescent="0.25">
      <c r="A10" s="8" t="s">
        <v>141</v>
      </c>
      <c r="B10" t="s">
        <v>205</v>
      </c>
    </row>
    <row r="11" spans="1:2" ht="15.75" x14ac:dyDescent="0.25">
      <c r="A11" s="49" t="s">
        <v>113</v>
      </c>
      <c r="B11" s="50" t="s">
        <v>191</v>
      </c>
    </row>
    <row r="12" spans="1:2" ht="15.75" x14ac:dyDescent="0.25">
      <c r="A12" s="49" t="s">
        <v>114</v>
      </c>
      <c r="B12" s="50" t="s">
        <v>192</v>
      </c>
    </row>
    <row r="13" spans="1:2" ht="15.75" x14ac:dyDescent="0.25">
      <c r="A13" s="49" t="s">
        <v>0</v>
      </c>
      <c r="B13" s="50" t="s">
        <v>193</v>
      </c>
    </row>
    <row r="14" spans="1:2" x14ac:dyDescent="0.25">
      <c r="A14" s="5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Setup</vt:lpstr>
      <vt:lpstr>interpretations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Ishunkin</dc:creator>
  <cp:lastModifiedBy>Dmitry Ishunkin</cp:lastModifiedBy>
  <cp:lastPrinted>2026-03-25T07:33:11Z</cp:lastPrinted>
  <dcterms:created xsi:type="dcterms:W3CDTF">2026-03-25T07:09:55Z</dcterms:created>
  <dcterms:modified xsi:type="dcterms:W3CDTF">2026-03-30T08:34:34Z</dcterms:modified>
</cp:coreProperties>
</file>