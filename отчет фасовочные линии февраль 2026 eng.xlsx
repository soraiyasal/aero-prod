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erostarcontractru-my.sharepoint.com/personal/dimii_aerostarcontract_com/Documents/"/>
    </mc:Choice>
  </mc:AlternateContent>
  <xr:revisionPtr revIDLastSave="119" documentId="8_{9EE7EA6A-FECD-4025-B159-08B45DAC454B}" xr6:coauthVersionLast="47" xr6:coauthVersionMax="47" xr10:uidLastSave="{9C312C04-AAED-4598-9612-5DBF3B2CE0B6}"/>
  <bookViews>
    <workbookView xWindow="-120" yWindow="-120" windowWidth="29040" windowHeight="15840" xr2:uid="{2F2F1A5A-DA71-474A-B696-71335FC58D60}"/>
  </bookViews>
  <sheets>
    <sheet name="1" sheetId="1" r:id="rId1"/>
    <sheet name="2" sheetId="3" r:id="rId2"/>
    <sheet name="3" sheetId="4" r:id="rId3"/>
    <sheet name="4" sheetId="5" r:id="rId4"/>
    <sheet name="Setup" sheetId="6" r:id="rId5"/>
    <sheet name="interpretations" sheetId="7" r:id="rId6"/>
  </sheets>
  <definedNames>
    <definedName name="_xlnm._FilterDatabase" localSheetId="4" hidden="1">Setup!$A$1:$F$1480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1" i="5" l="1"/>
  <c r="W161" i="5"/>
  <c r="V161" i="5"/>
  <c r="X170" i="4"/>
  <c r="W170" i="4"/>
  <c r="V170" i="4"/>
  <c r="X111" i="3"/>
  <c r="W111" i="3"/>
  <c r="V111" i="3"/>
  <c r="V3" i="5"/>
  <c r="W3" i="5"/>
  <c r="X3" i="5"/>
  <c r="V4" i="5"/>
  <c r="W4" i="5"/>
  <c r="X4" i="5"/>
  <c r="V5" i="5"/>
  <c r="W5" i="5"/>
  <c r="X5" i="5"/>
  <c r="V6" i="5"/>
  <c r="W6" i="5"/>
  <c r="X6" i="5"/>
  <c r="V7" i="5"/>
  <c r="W7" i="5"/>
  <c r="X7" i="5"/>
  <c r="V8" i="5"/>
  <c r="W8" i="5"/>
  <c r="X8" i="5"/>
  <c r="V9" i="5"/>
  <c r="W9" i="5"/>
  <c r="X9" i="5"/>
  <c r="V10" i="5"/>
  <c r="W10" i="5"/>
  <c r="X10" i="5"/>
  <c r="V11" i="5"/>
  <c r="W11" i="5"/>
  <c r="X11" i="5"/>
  <c r="V12" i="5"/>
  <c r="W12" i="5"/>
  <c r="X12" i="5"/>
  <c r="V13" i="5"/>
  <c r="W13" i="5"/>
  <c r="X13" i="5"/>
  <c r="V14" i="5"/>
  <c r="W14" i="5"/>
  <c r="X14" i="5"/>
  <c r="V15" i="5"/>
  <c r="W15" i="5"/>
  <c r="X15" i="5"/>
  <c r="V16" i="5"/>
  <c r="W16" i="5"/>
  <c r="X16" i="5"/>
  <c r="V17" i="5"/>
  <c r="W17" i="5"/>
  <c r="X17" i="5"/>
  <c r="V18" i="5"/>
  <c r="W18" i="5"/>
  <c r="X18" i="5"/>
  <c r="V19" i="5"/>
  <c r="W19" i="5"/>
  <c r="X19" i="5"/>
  <c r="V20" i="5"/>
  <c r="W20" i="5"/>
  <c r="X20" i="5"/>
  <c r="V21" i="5"/>
  <c r="W21" i="5"/>
  <c r="X21" i="5"/>
  <c r="V22" i="5"/>
  <c r="W22" i="5"/>
  <c r="X22" i="5"/>
  <c r="V23" i="5"/>
  <c r="W23" i="5"/>
  <c r="X23" i="5"/>
  <c r="V24" i="5"/>
  <c r="W24" i="5"/>
  <c r="X24" i="5"/>
  <c r="V25" i="5"/>
  <c r="W25" i="5"/>
  <c r="X25" i="5"/>
  <c r="V26" i="5"/>
  <c r="W26" i="5"/>
  <c r="X26" i="5"/>
  <c r="V27" i="5"/>
  <c r="W27" i="5"/>
  <c r="X27" i="5"/>
  <c r="V28" i="5"/>
  <c r="W28" i="5"/>
  <c r="X28" i="5"/>
  <c r="V29" i="5"/>
  <c r="W29" i="5"/>
  <c r="X29" i="5"/>
  <c r="V30" i="5"/>
  <c r="W30" i="5"/>
  <c r="X30" i="5"/>
  <c r="V31" i="5"/>
  <c r="W31" i="5"/>
  <c r="X31" i="5"/>
  <c r="V32" i="5"/>
  <c r="W32" i="5"/>
  <c r="X32" i="5"/>
  <c r="V33" i="5"/>
  <c r="W33" i="5"/>
  <c r="X33" i="5"/>
  <c r="V34" i="5"/>
  <c r="W34" i="5"/>
  <c r="X34" i="5"/>
  <c r="V35" i="5"/>
  <c r="W35" i="5"/>
  <c r="X35" i="5"/>
  <c r="V36" i="5"/>
  <c r="W36" i="5"/>
  <c r="X36" i="5"/>
  <c r="V37" i="5"/>
  <c r="W37" i="5"/>
  <c r="X37" i="5"/>
  <c r="V38" i="5"/>
  <c r="W38" i="5"/>
  <c r="X38" i="5"/>
  <c r="V39" i="5"/>
  <c r="W39" i="5"/>
  <c r="X39" i="5"/>
  <c r="V40" i="5"/>
  <c r="W40" i="5"/>
  <c r="X40" i="5"/>
  <c r="V41" i="5"/>
  <c r="W41" i="5"/>
  <c r="X41" i="5"/>
  <c r="V42" i="5"/>
  <c r="W42" i="5"/>
  <c r="X42" i="5"/>
  <c r="V43" i="5"/>
  <c r="W43" i="5"/>
  <c r="X43" i="5"/>
  <c r="V44" i="5"/>
  <c r="W44" i="5"/>
  <c r="X44" i="5"/>
  <c r="V45" i="5"/>
  <c r="W45" i="5"/>
  <c r="X45" i="5"/>
  <c r="V46" i="5"/>
  <c r="W46" i="5"/>
  <c r="X46" i="5"/>
  <c r="V47" i="5"/>
  <c r="W47" i="5"/>
  <c r="X47" i="5"/>
  <c r="V48" i="5"/>
  <c r="W48" i="5"/>
  <c r="X48" i="5"/>
  <c r="V49" i="5"/>
  <c r="W49" i="5"/>
  <c r="X49" i="5"/>
  <c r="V50" i="5"/>
  <c r="W50" i="5"/>
  <c r="X50" i="5"/>
  <c r="V51" i="5"/>
  <c r="W51" i="5"/>
  <c r="X51" i="5"/>
  <c r="V52" i="5"/>
  <c r="W52" i="5"/>
  <c r="X52" i="5"/>
  <c r="V53" i="5"/>
  <c r="W53" i="5"/>
  <c r="X53" i="5"/>
  <c r="V54" i="5"/>
  <c r="W54" i="5"/>
  <c r="X54" i="5"/>
  <c r="V55" i="5"/>
  <c r="W55" i="5"/>
  <c r="X55" i="5"/>
  <c r="V56" i="5"/>
  <c r="W56" i="5"/>
  <c r="X56" i="5"/>
  <c r="V57" i="5"/>
  <c r="W57" i="5"/>
  <c r="X57" i="5"/>
  <c r="V58" i="5"/>
  <c r="W58" i="5"/>
  <c r="X58" i="5"/>
  <c r="V59" i="5"/>
  <c r="W59" i="5"/>
  <c r="X59" i="5"/>
  <c r="V60" i="5"/>
  <c r="W60" i="5"/>
  <c r="X60" i="5"/>
  <c r="V61" i="5"/>
  <c r="W61" i="5"/>
  <c r="X61" i="5"/>
  <c r="V62" i="5"/>
  <c r="W62" i="5"/>
  <c r="X62" i="5"/>
  <c r="V63" i="5"/>
  <c r="W63" i="5"/>
  <c r="X63" i="5"/>
  <c r="V64" i="5"/>
  <c r="W64" i="5"/>
  <c r="X64" i="5"/>
  <c r="V65" i="5"/>
  <c r="W65" i="5"/>
  <c r="X65" i="5"/>
  <c r="V66" i="5"/>
  <c r="W66" i="5"/>
  <c r="X66" i="5"/>
  <c r="V67" i="5"/>
  <c r="W67" i="5"/>
  <c r="X67" i="5"/>
  <c r="V68" i="5"/>
  <c r="W68" i="5"/>
  <c r="X68" i="5"/>
  <c r="V69" i="5"/>
  <c r="W69" i="5"/>
  <c r="X69" i="5"/>
  <c r="V70" i="5"/>
  <c r="W70" i="5"/>
  <c r="X70" i="5"/>
  <c r="V71" i="5"/>
  <c r="W71" i="5"/>
  <c r="X71" i="5"/>
  <c r="V72" i="5"/>
  <c r="W72" i="5"/>
  <c r="X72" i="5"/>
  <c r="V73" i="5"/>
  <c r="W73" i="5"/>
  <c r="X73" i="5"/>
  <c r="V74" i="5"/>
  <c r="W74" i="5"/>
  <c r="X74" i="5"/>
  <c r="V75" i="5"/>
  <c r="W75" i="5"/>
  <c r="X75" i="5"/>
  <c r="V76" i="5"/>
  <c r="W76" i="5"/>
  <c r="X76" i="5"/>
  <c r="V77" i="5"/>
  <c r="W77" i="5"/>
  <c r="X77" i="5"/>
  <c r="V78" i="5"/>
  <c r="W78" i="5"/>
  <c r="X78" i="5"/>
  <c r="V79" i="5"/>
  <c r="W79" i="5"/>
  <c r="X79" i="5"/>
  <c r="V80" i="5"/>
  <c r="W80" i="5"/>
  <c r="X80" i="5"/>
  <c r="V81" i="5"/>
  <c r="W81" i="5"/>
  <c r="X81" i="5"/>
  <c r="V82" i="5"/>
  <c r="W82" i="5"/>
  <c r="X82" i="5"/>
  <c r="V83" i="5"/>
  <c r="W83" i="5"/>
  <c r="X83" i="5"/>
  <c r="V84" i="5"/>
  <c r="W84" i="5"/>
  <c r="X84" i="5"/>
  <c r="V85" i="5"/>
  <c r="W85" i="5"/>
  <c r="X85" i="5"/>
  <c r="V86" i="5"/>
  <c r="W86" i="5"/>
  <c r="X86" i="5"/>
  <c r="V87" i="5"/>
  <c r="W87" i="5"/>
  <c r="X87" i="5"/>
  <c r="V88" i="5"/>
  <c r="W88" i="5"/>
  <c r="X88" i="5"/>
  <c r="V89" i="5"/>
  <c r="W89" i="5"/>
  <c r="X89" i="5"/>
  <c r="V90" i="5"/>
  <c r="W90" i="5"/>
  <c r="X90" i="5"/>
  <c r="V91" i="5"/>
  <c r="W91" i="5"/>
  <c r="X91" i="5"/>
  <c r="V92" i="5"/>
  <c r="W92" i="5"/>
  <c r="X92" i="5"/>
  <c r="V93" i="5"/>
  <c r="W93" i="5"/>
  <c r="X93" i="5"/>
  <c r="V94" i="5"/>
  <c r="W94" i="5"/>
  <c r="X94" i="5"/>
  <c r="V95" i="5"/>
  <c r="W95" i="5"/>
  <c r="X95" i="5"/>
  <c r="V96" i="5"/>
  <c r="W96" i="5"/>
  <c r="X96" i="5"/>
  <c r="V97" i="5"/>
  <c r="W97" i="5"/>
  <c r="X97" i="5"/>
  <c r="V98" i="5"/>
  <c r="W98" i="5"/>
  <c r="X98" i="5"/>
  <c r="V99" i="5"/>
  <c r="W99" i="5"/>
  <c r="X99" i="5"/>
  <c r="V100" i="5"/>
  <c r="W100" i="5"/>
  <c r="X100" i="5"/>
  <c r="V101" i="5"/>
  <c r="W101" i="5"/>
  <c r="X101" i="5"/>
  <c r="V102" i="5"/>
  <c r="W102" i="5"/>
  <c r="X102" i="5"/>
  <c r="V103" i="5"/>
  <c r="W103" i="5"/>
  <c r="X103" i="5"/>
  <c r="V104" i="5"/>
  <c r="W104" i="5"/>
  <c r="X104" i="5"/>
  <c r="V105" i="5"/>
  <c r="W105" i="5"/>
  <c r="X105" i="5"/>
  <c r="V106" i="5"/>
  <c r="W106" i="5"/>
  <c r="X106" i="5"/>
  <c r="V107" i="5"/>
  <c r="W107" i="5"/>
  <c r="X107" i="5"/>
  <c r="V108" i="5"/>
  <c r="W108" i="5"/>
  <c r="X108" i="5"/>
  <c r="V109" i="5"/>
  <c r="W109" i="5"/>
  <c r="X109" i="5"/>
  <c r="V110" i="5"/>
  <c r="W110" i="5"/>
  <c r="X110" i="5"/>
  <c r="V111" i="5"/>
  <c r="W111" i="5"/>
  <c r="X111" i="5"/>
  <c r="V112" i="5"/>
  <c r="W112" i="5"/>
  <c r="X112" i="5"/>
  <c r="V113" i="5"/>
  <c r="W113" i="5"/>
  <c r="X113" i="5"/>
  <c r="V114" i="5"/>
  <c r="W114" i="5"/>
  <c r="X114" i="5"/>
  <c r="V115" i="5"/>
  <c r="W115" i="5"/>
  <c r="X115" i="5"/>
  <c r="V116" i="5"/>
  <c r="W116" i="5"/>
  <c r="X116" i="5"/>
  <c r="V117" i="5"/>
  <c r="W117" i="5"/>
  <c r="X117" i="5"/>
  <c r="V118" i="5"/>
  <c r="W118" i="5"/>
  <c r="X118" i="5"/>
  <c r="V119" i="5"/>
  <c r="W119" i="5"/>
  <c r="X119" i="5"/>
  <c r="V120" i="5"/>
  <c r="W120" i="5"/>
  <c r="X120" i="5"/>
  <c r="V121" i="5"/>
  <c r="W121" i="5"/>
  <c r="X121" i="5"/>
  <c r="V122" i="5"/>
  <c r="W122" i="5"/>
  <c r="X122" i="5"/>
  <c r="V123" i="5"/>
  <c r="W123" i="5"/>
  <c r="X123" i="5"/>
  <c r="V124" i="5"/>
  <c r="W124" i="5"/>
  <c r="X124" i="5"/>
  <c r="V125" i="5"/>
  <c r="W125" i="5"/>
  <c r="X125" i="5"/>
  <c r="V126" i="5"/>
  <c r="W126" i="5"/>
  <c r="X126" i="5"/>
  <c r="V127" i="5"/>
  <c r="W127" i="5"/>
  <c r="X127" i="5"/>
  <c r="V128" i="5"/>
  <c r="W128" i="5"/>
  <c r="X128" i="5"/>
  <c r="V129" i="5"/>
  <c r="W129" i="5"/>
  <c r="X129" i="5"/>
  <c r="V130" i="5"/>
  <c r="W130" i="5"/>
  <c r="X130" i="5"/>
  <c r="V131" i="5"/>
  <c r="W131" i="5"/>
  <c r="X131" i="5"/>
  <c r="V132" i="5"/>
  <c r="W132" i="5"/>
  <c r="X132" i="5"/>
  <c r="V133" i="5"/>
  <c r="W133" i="5"/>
  <c r="X133" i="5"/>
  <c r="V134" i="5"/>
  <c r="W134" i="5"/>
  <c r="X134" i="5"/>
  <c r="V135" i="5"/>
  <c r="W135" i="5"/>
  <c r="X135" i="5"/>
  <c r="V136" i="5"/>
  <c r="W136" i="5"/>
  <c r="X136" i="5"/>
  <c r="V137" i="5"/>
  <c r="W137" i="5"/>
  <c r="X137" i="5"/>
  <c r="V138" i="5"/>
  <c r="W138" i="5"/>
  <c r="X138" i="5"/>
  <c r="V139" i="5"/>
  <c r="W139" i="5"/>
  <c r="X139" i="5"/>
  <c r="V140" i="5"/>
  <c r="W140" i="5"/>
  <c r="X140" i="5"/>
  <c r="V141" i="5"/>
  <c r="W141" i="5"/>
  <c r="X141" i="5"/>
  <c r="V142" i="5"/>
  <c r="W142" i="5"/>
  <c r="X142" i="5"/>
  <c r="V143" i="5"/>
  <c r="W143" i="5"/>
  <c r="X143" i="5"/>
  <c r="V144" i="5"/>
  <c r="W144" i="5"/>
  <c r="X144" i="5"/>
  <c r="V145" i="5"/>
  <c r="W145" i="5"/>
  <c r="X145" i="5"/>
  <c r="V146" i="5"/>
  <c r="W146" i="5"/>
  <c r="X146" i="5"/>
  <c r="V147" i="5"/>
  <c r="W147" i="5"/>
  <c r="X147" i="5"/>
  <c r="V148" i="5"/>
  <c r="W148" i="5"/>
  <c r="X148" i="5"/>
  <c r="V149" i="5"/>
  <c r="W149" i="5"/>
  <c r="X149" i="5"/>
  <c r="V150" i="5"/>
  <c r="W150" i="5"/>
  <c r="X150" i="5"/>
  <c r="V151" i="5"/>
  <c r="W151" i="5"/>
  <c r="X151" i="5"/>
  <c r="V152" i="5"/>
  <c r="W152" i="5"/>
  <c r="X152" i="5"/>
  <c r="V153" i="5"/>
  <c r="W153" i="5"/>
  <c r="X153" i="5"/>
  <c r="V154" i="5"/>
  <c r="W154" i="5"/>
  <c r="X154" i="5"/>
  <c r="V155" i="5"/>
  <c r="W155" i="5"/>
  <c r="X155" i="5"/>
  <c r="V156" i="5"/>
  <c r="W156" i="5"/>
  <c r="X156" i="5"/>
  <c r="V157" i="5"/>
  <c r="W157" i="5"/>
  <c r="X157" i="5"/>
  <c r="V158" i="5"/>
  <c r="W158" i="5"/>
  <c r="X158" i="5"/>
  <c r="V159" i="5"/>
  <c r="W159" i="5"/>
  <c r="X159" i="5"/>
  <c r="V160" i="5"/>
  <c r="W160" i="5"/>
  <c r="X160" i="5"/>
  <c r="V3" i="4"/>
  <c r="W3" i="4"/>
  <c r="X3" i="4"/>
  <c r="V4" i="4"/>
  <c r="W4" i="4"/>
  <c r="X4" i="4"/>
  <c r="V5" i="4"/>
  <c r="W5" i="4"/>
  <c r="X5" i="4"/>
  <c r="V6" i="4"/>
  <c r="W6" i="4"/>
  <c r="X6" i="4"/>
  <c r="V7" i="4"/>
  <c r="W7" i="4"/>
  <c r="X7" i="4"/>
  <c r="V8" i="4"/>
  <c r="W8" i="4"/>
  <c r="X8" i="4"/>
  <c r="V9" i="4"/>
  <c r="W9" i="4"/>
  <c r="X9" i="4"/>
  <c r="V10" i="4"/>
  <c r="W10" i="4"/>
  <c r="X10" i="4"/>
  <c r="V11" i="4"/>
  <c r="W11" i="4"/>
  <c r="X11" i="4"/>
  <c r="V12" i="4"/>
  <c r="W12" i="4"/>
  <c r="X12" i="4"/>
  <c r="V13" i="4"/>
  <c r="W13" i="4"/>
  <c r="X13" i="4"/>
  <c r="V14" i="4"/>
  <c r="W14" i="4"/>
  <c r="X14" i="4"/>
  <c r="V15" i="4"/>
  <c r="W15" i="4"/>
  <c r="X15" i="4"/>
  <c r="V16" i="4"/>
  <c r="W16" i="4"/>
  <c r="X16" i="4"/>
  <c r="V17" i="4"/>
  <c r="W17" i="4"/>
  <c r="X17" i="4"/>
  <c r="V18" i="4"/>
  <c r="W18" i="4"/>
  <c r="X18" i="4"/>
  <c r="V19" i="4"/>
  <c r="W19" i="4"/>
  <c r="X19" i="4"/>
  <c r="V20" i="4"/>
  <c r="W20" i="4"/>
  <c r="X20" i="4"/>
  <c r="V21" i="4"/>
  <c r="W21" i="4"/>
  <c r="X21" i="4"/>
  <c r="V22" i="4"/>
  <c r="W22" i="4"/>
  <c r="X22" i="4"/>
  <c r="V23" i="4"/>
  <c r="W23" i="4"/>
  <c r="X23" i="4"/>
  <c r="V24" i="4"/>
  <c r="W24" i="4"/>
  <c r="X24" i="4"/>
  <c r="V25" i="4"/>
  <c r="W25" i="4"/>
  <c r="X25" i="4"/>
  <c r="V26" i="4"/>
  <c r="W26" i="4"/>
  <c r="X26" i="4"/>
  <c r="V27" i="4"/>
  <c r="W27" i="4"/>
  <c r="X27" i="4"/>
  <c r="V28" i="4"/>
  <c r="W28" i="4"/>
  <c r="X28" i="4"/>
  <c r="V29" i="4"/>
  <c r="W29" i="4"/>
  <c r="X29" i="4"/>
  <c r="V30" i="4"/>
  <c r="W30" i="4"/>
  <c r="X30" i="4"/>
  <c r="V31" i="4"/>
  <c r="W31" i="4"/>
  <c r="X31" i="4"/>
  <c r="V32" i="4"/>
  <c r="W32" i="4"/>
  <c r="X32" i="4"/>
  <c r="V33" i="4"/>
  <c r="W33" i="4"/>
  <c r="X33" i="4"/>
  <c r="V34" i="4"/>
  <c r="W34" i="4"/>
  <c r="X34" i="4"/>
  <c r="V35" i="4"/>
  <c r="W35" i="4"/>
  <c r="X35" i="4"/>
  <c r="V36" i="4"/>
  <c r="W36" i="4"/>
  <c r="X36" i="4"/>
  <c r="V37" i="4"/>
  <c r="W37" i="4"/>
  <c r="X37" i="4"/>
  <c r="V38" i="4"/>
  <c r="W38" i="4"/>
  <c r="X38" i="4"/>
  <c r="V39" i="4"/>
  <c r="W39" i="4"/>
  <c r="X39" i="4"/>
  <c r="V40" i="4"/>
  <c r="W40" i="4"/>
  <c r="X40" i="4"/>
  <c r="V41" i="4"/>
  <c r="W41" i="4"/>
  <c r="X41" i="4"/>
  <c r="V42" i="4"/>
  <c r="W42" i="4"/>
  <c r="X42" i="4"/>
  <c r="V43" i="4"/>
  <c r="W43" i="4"/>
  <c r="X43" i="4"/>
  <c r="V44" i="4"/>
  <c r="W44" i="4"/>
  <c r="X44" i="4"/>
  <c r="V45" i="4"/>
  <c r="W45" i="4"/>
  <c r="X45" i="4"/>
  <c r="V46" i="4"/>
  <c r="W46" i="4"/>
  <c r="X46" i="4"/>
  <c r="V47" i="4"/>
  <c r="W47" i="4"/>
  <c r="X47" i="4"/>
  <c r="V48" i="4"/>
  <c r="W48" i="4"/>
  <c r="X48" i="4"/>
  <c r="V49" i="4"/>
  <c r="W49" i="4"/>
  <c r="X49" i="4"/>
  <c r="V50" i="4"/>
  <c r="W50" i="4"/>
  <c r="X50" i="4"/>
  <c r="V51" i="4"/>
  <c r="W51" i="4"/>
  <c r="X51" i="4"/>
  <c r="V52" i="4"/>
  <c r="W52" i="4"/>
  <c r="X52" i="4"/>
  <c r="V53" i="4"/>
  <c r="W53" i="4"/>
  <c r="X53" i="4"/>
  <c r="V54" i="4"/>
  <c r="W54" i="4"/>
  <c r="X54" i="4"/>
  <c r="V55" i="4"/>
  <c r="W55" i="4"/>
  <c r="X55" i="4"/>
  <c r="V56" i="4"/>
  <c r="W56" i="4"/>
  <c r="X56" i="4"/>
  <c r="V57" i="4"/>
  <c r="W57" i="4"/>
  <c r="X57" i="4"/>
  <c r="V58" i="4"/>
  <c r="W58" i="4"/>
  <c r="X58" i="4"/>
  <c r="V59" i="4"/>
  <c r="W59" i="4"/>
  <c r="X59" i="4"/>
  <c r="V60" i="4"/>
  <c r="W60" i="4"/>
  <c r="X60" i="4"/>
  <c r="V61" i="4"/>
  <c r="W61" i="4"/>
  <c r="X61" i="4"/>
  <c r="V62" i="4"/>
  <c r="W62" i="4"/>
  <c r="X62" i="4"/>
  <c r="V63" i="4"/>
  <c r="W63" i="4"/>
  <c r="X63" i="4"/>
  <c r="V64" i="4"/>
  <c r="W64" i="4"/>
  <c r="X64" i="4"/>
  <c r="V65" i="4"/>
  <c r="W65" i="4"/>
  <c r="X65" i="4"/>
  <c r="V66" i="4"/>
  <c r="W66" i="4"/>
  <c r="X66" i="4"/>
  <c r="V67" i="4"/>
  <c r="W67" i="4"/>
  <c r="X67" i="4"/>
  <c r="V68" i="4"/>
  <c r="W68" i="4"/>
  <c r="X68" i="4"/>
  <c r="V69" i="4"/>
  <c r="W69" i="4"/>
  <c r="X69" i="4"/>
  <c r="V70" i="4"/>
  <c r="W70" i="4"/>
  <c r="X70" i="4"/>
  <c r="V71" i="4"/>
  <c r="W71" i="4"/>
  <c r="X71" i="4"/>
  <c r="V72" i="4"/>
  <c r="W72" i="4"/>
  <c r="X72" i="4"/>
  <c r="V73" i="4"/>
  <c r="W73" i="4"/>
  <c r="X73" i="4"/>
  <c r="V74" i="4"/>
  <c r="W74" i="4"/>
  <c r="X74" i="4"/>
  <c r="V75" i="4"/>
  <c r="W75" i="4"/>
  <c r="X75" i="4"/>
  <c r="V76" i="4"/>
  <c r="W76" i="4"/>
  <c r="X76" i="4"/>
  <c r="V77" i="4"/>
  <c r="W77" i="4"/>
  <c r="X77" i="4"/>
  <c r="V78" i="4"/>
  <c r="W78" i="4"/>
  <c r="X78" i="4"/>
  <c r="V79" i="4"/>
  <c r="W79" i="4"/>
  <c r="X79" i="4"/>
  <c r="V80" i="4"/>
  <c r="W80" i="4"/>
  <c r="X80" i="4"/>
  <c r="V81" i="4"/>
  <c r="W81" i="4"/>
  <c r="X81" i="4"/>
  <c r="V82" i="4"/>
  <c r="W82" i="4"/>
  <c r="X82" i="4"/>
  <c r="V83" i="4"/>
  <c r="W83" i="4"/>
  <c r="X83" i="4"/>
  <c r="V84" i="4"/>
  <c r="W84" i="4"/>
  <c r="X84" i="4"/>
  <c r="V85" i="4"/>
  <c r="W85" i="4"/>
  <c r="X85" i="4"/>
  <c r="V86" i="4"/>
  <c r="W86" i="4"/>
  <c r="X86" i="4"/>
  <c r="V87" i="4"/>
  <c r="W87" i="4"/>
  <c r="X87" i="4"/>
  <c r="V88" i="4"/>
  <c r="W88" i="4"/>
  <c r="X88" i="4"/>
  <c r="V89" i="4"/>
  <c r="W89" i="4"/>
  <c r="X89" i="4"/>
  <c r="V90" i="4"/>
  <c r="W90" i="4"/>
  <c r="X90" i="4"/>
  <c r="V91" i="4"/>
  <c r="W91" i="4"/>
  <c r="X91" i="4"/>
  <c r="V92" i="4"/>
  <c r="W92" i="4"/>
  <c r="X92" i="4"/>
  <c r="V93" i="4"/>
  <c r="W93" i="4"/>
  <c r="X93" i="4"/>
  <c r="V94" i="4"/>
  <c r="W94" i="4"/>
  <c r="X94" i="4"/>
  <c r="V95" i="4"/>
  <c r="W95" i="4"/>
  <c r="X95" i="4"/>
  <c r="V96" i="4"/>
  <c r="W96" i="4"/>
  <c r="X96" i="4"/>
  <c r="V97" i="4"/>
  <c r="W97" i="4"/>
  <c r="X97" i="4"/>
  <c r="V98" i="4"/>
  <c r="W98" i="4"/>
  <c r="X98" i="4"/>
  <c r="V99" i="4"/>
  <c r="W99" i="4"/>
  <c r="X99" i="4"/>
  <c r="V100" i="4"/>
  <c r="W100" i="4"/>
  <c r="X100" i="4"/>
  <c r="V101" i="4"/>
  <c r="W101" i="4"/>
  <c r="X101" i="4"/>
  <c r="V102" i="4"/>
  <c r="W102" i="4"/>
  <c r="X102" i="4"/>
  <c r="V103" i="4"/>
  <c r="W103" i="4"/>
  <c r="X103" i="4"/>
  <c r="V104" i="4"/>
  <c r="W104" i="4"/>
  <c r="X104" i="4"/>
  <c r="V105" i="4"/>
  <c r="W105" i="4"/>
  <c r="X105" i="4"/>
  <c r="V106" i="4"/>
  <c r="W106" i="4"/>
  <c r="X106" i="4"/>
  <c r="V107" i="4"/>
  <c r="W107" i="4"/>
  <c r="X107" i="4"/>
  <c r="V108" i="4"/>
  <c r="W108" i="4"/>
  <c r="X108" i="4"/>
  <c r="V109" i="4"/>
  <c r="W109" i="4"/>
  <c r="X109" i="4"/>
  <c r="V110" i="4"/>
  <c r="W110" i="4"/>
  <c r="X110" i="4"/>
  <c r="V111" i="4"/>
  <c r="W111" i="4"/>
  <c r="X111" i="4"/>
  <c r="V112" i="4"/>
  <c r="W112" i="4"/>
  <c r="X112" i="4"/>
  <c r="V113" i="4"/>
  <c r="W113" i="4"/>
  <c r="X113" i="4"/>
  <c r="V114" i="4"/>
  <c r="W114" i="4"/>
  <c r="X114" i="4"/>
  <c r="V115" i="4"/>
  <c r="W115" i="4"/>
  <c r="X115" i="4"/>
  <c r="V116" i="4"/>
  <c r="W116" i="4"/>
  <c r="X116" i="4"/>
  <c r="V117" i="4"/>
  <c r="W117" i="4"/>
  <c r="X117" i="4"/>
  <c r="V118" i="4"/>
  <c r="W118" i="4"/>
  <c r="X118" i="4"/>
  <c r="V119" i="4"/>
  <c r="W119" i="4"/>
  <c r="X119" i="4"/>
  <c r="V120" i="4"/>
  <c r="W120" i="4"/>
  <c r="X120" i="4"/>
  <c r="V121" i="4"/>
  <c r="W121" i="4"/>
  <c r="X121" i="4"/>
  <c r="V122" i="4"/>
  <c r="W122" i="4"/>
  <c r="X122" i="4"/>
  <c r="V123" i="4"/>
  <c r="W123" i="4"/>
  <c r="X123" i="4"/>
  <c r="V124" i="4"/>
  <c r="W124" i="4"/>
  <c r="X124" i="4"/>
  <c r="V125" i="4"/>
  <c r="W125" i="4"/>
  <c r="X125" i="4"/>
  <c r="V126" i="4"/>
  <c r="W126" i="4"/>
  <c r="X126" i="4"/>
  <c r="V127" i="4"/>
  <c r="W127" i="4"/>
  <c r="X127" i="4"/>
  <c r="V128" i="4"/>
  <c r="W128" i="4"/>
  <c r="X128" i="4"/>
  <c r="V129" i="4"/>
  <c r="W129" i="4"/>
  <c r="X129" i="4"/>
  <c r="V130" i="4"/>
  <c r="W130" i="4"/>
  <c r="X130" i="4"/>
  <c r="V131" i="4"/>
  <c r="W131" i="4"/>
  <c r="X131" i="4"/>
  <c r="V132" i="4"/>
  <c r="W132" i="4"/>
  <c r="X132" i="4"/>
  <c r="V133" i="4"/>
  <c r="W133" i="4"/>
  <c r="X133" i="4"/>
  <c r="V134" i="4"/>
  <c r="W134" i="4"/>
  <c r="X134" i="4"/>
  <c r="V135" i="4"/>
  <c r="W135" i="4"/>
  <c r="X135" i="4"/>
  <c r="V136" i="4"/>
  <c r="W136" i="4"/>
  <c r="X136" i="4"/>
  <c r="V137" i="4"/>
  <c r="W137" i="4"/>
  <c r="X137" i="4"/>
  <c r="V138" i="4"/>
  <c r="W138" i="4"/>
  <c r="X138" i="4"/>
  <c r="V139" i="4"/>
  <c r="W139" i="4"/>
  <c r="X139" i="4"/>
  <c r="V140" i="4"/>
  <c r="W140" i="4"/>
  <c r="X140" i="4"/>
  <c r="V141" i="4"/>
  <c r="W141" i="4"/>
  <c r="X141" i="4"/>
  <c r="V142" i="4"/>
  <c r="W142" i="4"/>
  <c r="X142" i="4"/>
  <c r="V143" i="4"/>
  <c r="W143" i="4"/>
  <c r="X143" i="4"/>
  <c r="V144" i="4"/>
  <c r="W144" i="4"/>
  <c r="X144" i="4"/>
  <c r="V145" i="4"/>
  <c r="W145" i="4"/>
  <c r="X145" i="4"/>
  <c r="V146" i="4"/>
  <c r="W146" i="4"/>
  <c r="X146" i="4"/>
  <c r="V147" i="4"/>
  <c r="W147" i="4"/>
  <c r="X147" i="4"/>
  <c r="V148" i="4"/>
  <c r="W148" i="4"/>
  <c r="X148" i="4"/>
  <c r="V149" i="4"/>
  <c r="W149" i="4"/>
  <c r="X149" i="4"/>
  <c r="V150" i="4"/>
  <c r="W150" i="4"/>
  <c r="X150" i="4"/>
  <c r="V151" i="4"/>
  <c r="W151" i="4"/>
  <c r="X151" i="4"/>
  <c r="V152" i="4"/>
  <c r="W152" i="4"/>
  <c r="X152" i="4"/>
  <c r="V153" i="4"/>
  <c r="W153" i="4"/>
  <c r="X153" i="4"/>
  <c r="V154" i="4"/>
  <c r="W154" i="4"/>
  <c r="X154" i="4"/>
  <c r="V155" i="4"/>
  <c r="W155" i="4"/>
  <c r="X155" i="4"/>
  <c r="V156" i="4"/>
  <c r="W156" i="4"/>
  <c r="X156" i="4"/>
  <c r="V157" i="4"/>
  <c r="W157" i="4"/>
  <c r="X157" i="4"/>
  <c r="V158" i="4"/>
  <c r="W158" i="4"/>
  <c r="X158" i="4"/>
  <c r="V159" i="4"/>
  <c r="W159" i="4"/>
  <c r="X159" i="4"/>
  <c r="V160" i="4"/>
  <c r="W160" i="4"/>
  <c r="X160" i="4"/>
  <c r="V161" i="4"/>
  <c r="W161" i="4"/>
  <c r="X161" i="4"/>
  <c r="V162" i="4"/>
  <c r="W162" i="4"/>
  <c r="X162" i="4"/>
  <c r="V163" i="4"/>
  <c r="W163" i="4"/>
  <c r="X163" i="4"/>
  <c r="V164" i="4"/>
  <c r="W164" i="4"/>
  <c r="X164" i="4"/>
  <c r="V165" i="4"/>
  <c r="W165" i="4"/>
  <c r="X165" i="4"/>
  <c r="V166" i="4"/>
  <c r="W166" i="4"/>
  <c r="X166" i="4"/>
  <c r="V167" i="4"/>
  <c r="W167" i="4"/>
  <c r="X167" i="4"/>
  <c r="V168" i="4"/>
  <c r="W168" i="4"/>
  <c r="X168" i="4"/>
  <c r="V169" i="4"/>
  <c r="W169" i="4"/>
  <c r="X169" i="4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V32" i="3"/>
  <c r="W32" i="3"/>
  <c r="X32" i="3"/>
  <c r="V33" i="3"/>
  <c r="W33" i="3"/>
  <c r="X33" i="3"/>
  <c r="V34" i="3"/>
  <c r="W34" i="3"/>
  <c r="X34" i="3"/>
  <c r="V35" i="3"/>
  <c r="W35" i="3"/>
  <c r="X35" i="3"/>
  <c r="V36" i="3"/>
  <c r="W36" i="3"/>
  <c r="X36" i="3"/>
  <c r="V37" i="3"/>
  <c r="W37" i="3"/>
  <c r="X37" i="3"/>
  <c r="V38" i="3"/>
  <c r="W38" i="3"/>
  <c r="X38" i="3"/>
  <c r="V39" i="3"/>
  <c r="W39" i="3"/>
  <c r="X39" i="3"/>
  <c r="V40" i="3"/>
  <c r="W40" i="3"/>
  <c r="X40" i="3"/>
  <c r="V41" i="3"/>
  <c r="W41" i="3"/>
  <c r="X41" i="3"/>
  <c r="V42" i="3"/>
  <c r="W42" i="3"/>
  <c r="X42" i="3"/>
  <c r="V43" i="3"/>
  <c r="W43" i="3"/>
  <c r="X43" i="3"/>
  <c r="V44" i="3"/>
  <c r="W44" i="3"/>
  <c r="X44" i="3"/>
  <c r="V45" i="3"/>
  <c r="W45" i="3"/>
  <c r="X45" i="3"/>
  <c r="V46" i="3"/>
  <c r="W46" i="3"/>
  <c r="X46" i="3"/>
  <c r="V47" i="3"/>
  <c r="W47" i="3"/>
  <c r="X47" i="3"/>
  <c r="V48" i="3"/>
  <c r="W48" i="3"/>
  <c r="X48" i="3"/>
  <c r="V49" i="3"/>
  <c r="W49" i="3"/>
  <c r="X49" i="3"/>
  <c r="V50" i="3"/>
  <c r="W50" i="3"/>
  <c r="X50" i="3"/>
  <c r="V51" i="3"/>
  <c r="W51" i="3"/>
  <c r="X51" i="3"/>
  <c r="V52" i="3"/>
  <c r="W52" i="3"/>
  <c r="X52" i="3"/>
  <c r="V53" i="3"/>
  <c r="W53" i="3"/>
  <c r="X53" i="3"/>
  <c r="V54" i="3"/>
  <c r="W54" i="3"/>
  <c r="X54" i="3"/>
  <c r="V55" i="3"/>
  <c r="W55" i="3"/>
  <c r="X55" i="3"/>
  <c r="V56" i="3"/>
  <c r="W56" i="3"/>
  <c r="X56" i="3"/>
  <c r="V57" i="3"/>
  <c r="W57" i="3"/>
  <c r="X57" i="3"/>
  <c r="V58" i="3"/>
  <c r="W58" i="3"/>
  <c r="X58" i="3"/>
  <c r="V59" i="3"/>
  <c r="W59" i="3"/>
  <c r="X59" i="3"/>
  <c r="V60" i="3"/>
  <c r="W60" i="3"/>
  <c r="X60" i="3"/>
  <c r="V61" i="3"/>
  <c r="W61" i="3"/>
  <c r="X61" i="3"/>
  <c r="V62" i="3"/>
  <c r="W62" i="3"/>
  <c r="X62" i="3"/>
  <c r="V63" i="3"/>
  <c r="W63" i="3"/>
  <c r="X63" i="3"/>
  <c r="V64" i="3"/>
  <c r="W64" i="3"/>
  <c r="X64" i="3"/>
  <c r="V65" i="3"/>
  <c r="W65" i="3"/>
  <c r="X65" i="3"/>
  <c r="V66" i="3"/>
  <c r="W66" i="3"/>
  <c r="X66" i="3"/>
  <c r="V67" i="3"/>
  <c r="W67" i="3"/>
  <c r="X67" i="3"/>
  <c r="V68" i="3"/>
  <c r="W68" i="3"/>
  <c r="X68" i="3"/>
  <c r="V69" i="3"/>
  <c r="W69" i="3"/>
  <c r="X69" i="3"/>
  <c r="V70" i="3"/>
  <c r="W70" i="3"/>
  <c r="X70" i="3"/>
  <c r="V71" i="3"/>
  <c r="W71" i="3"/>
  <c r="X71" i="3"/>
  <c r="V72" i="3"/>
  <c r="W72" i="3"/>
  <c r="X72" i="3"/>
  <c r="V73" i="3"/>
  <c r="W73" i="3"/>
  <c r="X73" i="3"/>
  <c r="V74" i="3"/>
  <c r="W74" i="3"/>
  <c r="X74" i="3"/>
  <c r="V75" i="3"/>
  <c r="W75" i="3"/>
  <c r="X75" i="3"/>
  <c r="V76" i="3"/>
  <c r="W76" i="3"/>
  <c r="X76" i="3"/>
  <c r="V77" i="3"/>
  <c r="W77" i="3"/>
  <c r="X77" i="3"/>
  <c r="V78" i="3"/>
  <c r="W78" i="3"/>
  <c r="X78" i="3"/>
  <c r="V79" i="3"/>
  <c r="W79" i="3"/>
  <c r="X79" i="3"/>
  <c r="V80" i="3"/>
  <c r="W80" i="3"/>
  <c r="X80" i="3"/>
  <c r="V81" i="3"/>
  <c r="W81" i="3"/>
  <c r="X81" i="3"/>
  <c r="V82" i="3"/>
  <c r="W82" i="3"/>
  <c r="X82" i="3"/>
  <c r="V83" i="3"/>
  <c r="W83" i="3"/>
  <c r="X83" i="3"/>
  <c r="V84" i="3"/>
  <c r="W84" i="3"/>
  <c r="X84" i="3"/>
  <c r="V85" i="3"/>
  <c r="W85" i="3"/>
  <c r="X85" i="3"/>
  <c r="V86" i="3"/>
  <c r="W86" i="3"/>
  <c r="X86" i="3"/>
  <c r="V87" i="3"/>
  <c r="W87" i="3"/>
  <c r="X87" i="3"/>
  <c r="V88" i="3"/>
  <c r="W88" i="3"/>
  <c r="X88" i="3"/>
  <c r="V89" i="3"/>
  <c r="W89" i="3"/>
  <c r="X89" i="3"/>
  <c r="V90" i="3"/>
  <c r="W90" i="3"/>
  <c r="X90" i="3"/>
  <c r="V91" i="3"/>
  <c r="W91" i="3"/>
  <c r="X91" i="3"/>
  <c r="V92" i="3"/>
  <c r="W92" i="3"/>
  <c r="X92" i="3"/>
  <c r="V93" i="3"/>
  <c r="W93" i="3"/>
  <c r="X93" i="3"/>
  <c r="V94" i="3"/>
  <c r="W94" i="3"/>
  <c r="X94" i="3"/>
  <c r="V95" i="3"/>
  <c r="W95" i="3"/>
  <c r="X95" i="3"/>
  <c r="V96" i="3"/>
  <c r="W96" i="3"/>
  <c r="X96" i="3"/>
  <c r="V97" i="3"/>
  <c r="W97" i="3"/>
  <c r="X97" i="3"/>
  <c r="V98" i="3"/>
  <c r="W98" i="3"/>
  <c r="X98" i="3"/>
  <c r="V99" i="3"/>
  <c r="W99" i="3"/>
  <c r="X99" i="3"/>
  <c r="V100" i="3"/>
  <c r="W100" i="3"/>
  <c r="X100" i="3"/>
  <c r="V101" i="3"/>
  <c r="W101" i="3"/>
  <c r="X101" i="3"/>
  <c r="V102" i="3"/>
  <c r="W102" i="3"/>
  <c r="X102" i="3"/>
  <c r="V103" i="3"/>
  <c r="W103" i="3"/>
  <c r="X103" i="3"/>
  <c r="V104" i="3"/>
  <c r="W104" i="3"/>
  <c r="X104" i="3"/>
  <c r="V105" i="3"/>
  <c r="W105" i="3"/>
  <c r="X105" i="3"/>
  <c r="V106" i="3"/>
  <c r="W106" i="3"/>
  <c r="X106" i="3"/>
  <c r="V107" i="3"/>
  <c r="W107" i="3"/>
  <c r="X107" i="3"/>
  <c r="V108" i="3"/>
  <c r="W108" i="3"/>
  <c r="X108" i="3"/>
  <c r="V109" i="3"/>
  <c r="W109" i="3"/>
  <c r="X109" i="3"/>
  <c r="V110" i="3"/>
  <c r="W110" i="3"/>
  <c r="X110" i="3"/>
  <c r="X2" i="5"/>
  <c r="W2" i="5"/>
  <c r="V2" i="5"/>
  <c r="X2" i="4"/>
  <c r="W2" i="4"/>
  <c r="V2" i="4"/>
  <c r="X2" i="3"/>
  <c r="W2" i="3"/>
  <c r="V2" i="3"/>
  <c r="X77" i="1"/>
  <c r="W77" i="1"/>
  <c r="V77" i="1"/>
  <c r="V3" i="1"/>
  <c r="W3" i="1"/>
  <c r="X3" i="1"/>
  <c r="V4" i="1"/>
  <c r="W4" i="1"/>
  <c r="X4" i="1"/>
  <c r="V5" i="1"/>
  <c r="W5" i="1"/>
  <c r="X5" i="1"/>
  <c r="V6" i="1"/>
  <c r="W6" i="1"/>
  <c r="X6" i="1"/>
  <c r="V7" i="1"/>
  <c r="W7" i="1"/>
  <c r="X7" i="1"/>
  <c r="V8" i="1"/>
  <c r="W8" i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/>
  <c r="X23" i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/>
  <c r="X28" i="1"/>
  <c r="V29" i="1"/>
  <c r="W29" i="1"/>
  <c r="X29" i="1"/>
  <c r="V30" i="1"/>
  <c r="W30" i="1"/>
  <c r="X30" i="1"/>
  <c r="V31" i="1"/>
  <c r="W31" i="1"/>
  <c r="X31" i="1"/>
  <c r="V32" i="1"/>
  <c r="W32" i="1"/>
  <c r="X32" i="1"/>
  <c r="V33" i="1"/>
  <c r="W33" i="1"/>
  <c r="X33" i="1"/>
  <c r="V34" i="1"/>
  <c r="W34" i="1"/>
  <c r="X34" i="1"/>
  <c r="V35" i="1"/>
  <c r="W35" i="1"/>
  <c r="X35" i="1"/>
  <c r="V36" i="1"/>
  <c r="W36" i="1"/>
  <c r="X36" i="1"/>
  <c r="V37" i="1"/>
  <c r="W37" i="1"/>
  <c r="X37" i="1"/>
  <c r="V38" i="1"/>
  <c r="W38" i="1"/>
  <c r="X38" i="1"/>
  <c r="V39" i="1"/>
  <c r="W39" i="1"/>
  <c r="X39" i="1"/>
  <c r="V40" i="1"/>
  <c r="W40" i="1"/>
  <c r="X40" i="1"/>
  <c r="V41" i="1"/>
  <c r="W41" i="1"/>
  <c r="X41" i="1"/>
  <c r="V42" i="1"/>
  <c r="W42" i="1"/>
  <c r="X42" i="1"/>
  <c r="V43" i="1"/>
  <c r="W43" i="1"/>
  <c r="X43" i="1"/>
  <c r="V44" i="1"/>
  <c r="W44" i="1"/>
  <c r="X44" i="1"/>
  <c r="V45" i="1"/>
  <c r="W45" i="1"/>
  <c r="X45" i="1"/>
  <c r="V46" i="1"/>
  <c r="W46" i="1"/>
  <c r="X46" i="1"/>
  <c r="V47" i="1"/>
  <c r="W47" i="1"/>
  <c r="X47" i="1"/>
  <c r="V48" i="1"/>
  <c r="W48" i="1"/>
  <c r="X48" i="1"/>
  <c r="V49" i="1"/>
  <c r="W49" i="1"/>
  <c r="X49" i="1"/>
  <c r="V50" i="1"/>
  <c r="W50" i="1"/>
  <c r="X50" i="1"/>
  <c r="V51" i="1"/>
  <c r="W51" i="1"/>
  <c r="X51" i="1"/>
  <c r="V52" i="1"/>
  <c r="W52" i="1"/>
  <c r="X52" i="1"/>
  <c r="V53" i="1"/>
  <c r="W53" i="1"/>
  <c r="X53" i="1"/>
  <c r="V54" i="1"/>
  <c r="W54" i="1"/>
  <c r="X54" i="1"/>
  <c r="V55" i="1"/>
  <c r="W55" i="1"/>
  <c r="X55" i="1"/>
  <c r="V56" i="1"/>
  <c r="W56" i="1"/>
  <c r="X56" i="1"/>
  <c r="V57" i="1"/>
  <c r="W57" i="1"/>
  <c r="X57" i="1"/>
  <c r="V58" i="1"/>
  <c r="W58" i="1"/>
  <c r="X58" i="1"/>
  <c r="V59" i="1"/>
  <c r="W59" i="1"/>
  <c r="X59" i="1"/>
  <c r="V60" i="1"/>
  <c r="W60" i="1"/>
  <c r="X60" i="1"/>
  <c r="V61" i="1"/>
  <c r="W61" i="1"/>
  <c r="X61" i="1"/>
  <c r="V62" i="1"/>
  <c r="W62" i="1"/>
  <c r="X62" i="1"/>
  <c r="V63" i="1"/>
  <c r="W63" i="1"/>
  <c r="X63" i="1"/>
  <c r="V64" i="1"/>
  <c r="W64" i="1"/>
  <c r="X64" i="1"/>
  <c r="V65" i="1"/>
  <c r="W65" i="1"/>
  <c r="X65" i="1"/>
  <c r="V66" i="1"/>
  <c r="W66" i="1"/>
  <c r="X66" i="1"/>
  <c r="V67" i="1"/>
  <c r="W67" i="1"/>
  <c r="X67" i="1"/>
  <c r="V68" i="1"/>
  <c r="W68" i="1"/>
  <c r="X68" i="1"/>
  <c r="V69" i="1"/>
  <c r="W69" i="1"/>
  <c r="X69" i="1"/>
  <c r="V70" i="1"/>
  <c r="W70" i="1"/>
  <c r="X70" i="1"/>
  <c r="V71" i="1"/>
  <c r="W71" i="1"/>
  <c r="X71" i="1"/>
  <c r="V72" i="1"/>
  <c r="W72" i="1"/>
  <c r="X72" i="1"/>
  <c r="V73" i="1"/>
  <c r="W73" i="1"/>
  <c r="X73" i="1"/>
  <c r="V74" i="1"/>
  <c r="W74" i="1"/>
  <c r="X74" i="1"/>
  <c r="V75" i="1"/>
  <c r="W75" i="1"/>
  <c r="X75" i="1"/>
  <c r="V76" i="1"/>
  <c r="W76" i="1"/>
  <c r="X76" i="1"/>
  <c r="X2" i="1"/>
  <c r="W2" i="1"/>
  <c r="V2" i="1"/>
  <c r="S77" i="1"/>
  <c r="T77" i="1"/>
  <c r="Q44" i="1"/>
  <c r="I58" i="5"/>
  <c r="I82" i="3"/>
  <c r="I111" i="3" s="1"/>
  <c r="I123" i="5"/>
  <c r="I77" i="1"/>
  <c r="I170" i="4"/>
  <c r="Y3" i="4"/>
  <c r="Z3" i="4"/>
  <c r="Y4" i="4"/>
  <c r="Z4" i="4"/>
  <c r="Y5" i="4"/>
  <c r="Z5" i="4"/>
  <c r="Y6" i="4"/>
  <c r="AA6" i="4" s="1"/>
  <c r="Z6" i="4"/>
  <c r="Y7" i="4"/>
  <c r="Z7" i="4"/>
  <c r="AA7" i="4" s="1"/>
  <c r="Y8" i="4"/>
  <c r="Z8" i="4"/>
  <c r="Y9" i="4"/>
  <c r="AA9" i="4" s="1"/>
  <c r="Z9" i="4"/>
  <c r="Y10" i="4"/>
  <c r="Z10" i="4"/>
  <c r="AA10" i="4" s="1"/>
  <c r="Z11" i="4"/>
  <c r="Y12" i="4"/>
  <c r="Z12" i="4"/>
  <c r="Y14" i="4"/>
  <c r="Z14" i="4"/>
  <c r="Y15" i="4"/>
  <c r="AA15" i="4" s="1"/>
  <c r="Z15" i="4"/>
  <c r="Y16" i="4"/>
  <c r="Z16" i="4"/>
  <c r="Y17" i="4"/>
  <c r="Z17" i="4"/>
  <c r="Z18" i="4"/>
  <c r="Y19" i="4"/>
  <c r="Z19" i="4"/>
  <c r="Y20" i="4"/>
  <c r="Z20" i="4"/>
  <c r="Y21" i="4"/>
  <c r="Z21" i="4"/>
  <c r="Y22" i="4"/>
  <c r="Z22" i="4"/>
  <c r="Y23" i="4"/>
  <c r="AA23" i="4" s="1"/>
  <c r="Z23" i="4"/>
  <c r="Y24" i="4"/>
  <c r="Z24" i="4"/>
  <c r="Y25" i="4"/>
  <c r="Z25" i="4"/>
  <c r="Z26" i="4"/>
  <c r="Y27" i="4"/>
  <c r="Z27" i="4"/>
  <c r="Y29" i="4"/>
  <c r="Z29" i="4"/>
  <c r="Y30" i="4"/>
  <c r="Z30" i="4"/>
  <c r="Y31" i="4"/>
  <c r="Z31" i="4"/>
  <c r="Y32" i="4"/>
  <c r="Z32" i="4"/>
  <c r="Y33" i="4"/>
  <c r="Z33" i="4"/>
  <c r="Y34" i="4"/>
  <c r="Z34" i="4"/>
  <c r="Y35" i="4"/>
  <c r="Z35" i="4"/>
  <c r="Z36" i="4"/>
  <c r="Y38" i="4"/>
  <c r="Z38" i="4"/>
  <c r="Y39" i="4"/>
  <c r="Z39" i="4"/>
  <c r="Y40" i="4"/>
  <c r="Z40" i="4"/>
  <c r="Y43" i="4"/>
  <c r="Z43" i="4"/>
  <c r="Y44" i="4"/>
  <c r="Z44" i="4"/>
  <c r="Y47" i="4"/>
  <c r="Z47" i="4"/>
  <c r="Y50" i="4"/>
  <c r="Z50" i="4"/>
  <c r="Y51" i="4"/>
  <c r="Z51" i="4"/>
  <c r="Y52" i="4"/>
  <c r="Z52" i="4"/>
  <c r="Y53" i="4"/>
  <c r="Z53" i="4"/>
  <c r="Y54" i="4"/>
  <c r="Z54" i="4"/>
  <c r="Y55" i="4"/>
  <c r="Z55" i="4"/>
  <c r="AA55" i="4" s="1"/>
  <c r="Y56" i="4"/>
  <c r="Z56" i="4"/>
  <c r="Y58" i="4"/>
  <c r="Z58" i="4"/>
  <c r="Y59" i="4"/>
  <c r="Z59" i="4"/>
  <c r="Y60" i="4"/>
  <c r="Z60" i="4"/>
  <c r="AA60" i="4"/>
  <c r="Y61" i="4"/>
  <c r="Z61" i="4"/>
  <c r="Y62" i="4"/>
  <c r="AA62" i="4" s="1"/>
  <c r="Z62" i="4"/>
  <c r="Y63" i="4"/>
  <c r="Z63" i="4"/>
  <c r="Y65" i="4"/>
  <c r="Z65" i="4"/>
  <c r="Y66" i="4"/>
  <c r="Z66" i="4"/>
  <c r="Y68" i="4"/>
  <c r="Z68" i="4"/>
  <c r="Y69" i="4"/>
  <c r="Z69" i="4"/>
  <c r="Y71" i="4"/>
  <c r="AA71" i="4" s="1"/>
  <c r="Z71" i="4"/>
  <c r="Y72" i="4"/>
  <c r="Z72" i="4"/>
  <c r="Y73" i="4"/>
  <c r="Z73" i="4"/>
  <c r="Y74" i="4"/>
  <c r="Z74" i="4"/>
  <c r="Y75" i="4"/>
  <c r="Z75" i="4"/>
  <c r="Y76" i="4"/>
  <c r="Z76" i="4"/>
  <c r="Y78" i="4"/>
  <c r="Z78" i="4"/>
  <c r="Y80" i="4"/>
  <c r="Z80" i="4"/>
  <c r="Y81" i="4"/>
  <c r="Z81" i="4"/>
  <c r="Y82" i="4"/>
  <c r="Z82" i="4"/>
  <c r="Y84" i="4"/>
  <c r="Z84" i="4"/>
  <c r="Y85" i="4"/>
  <c r="Z85" i="4"/>
  <c r="Y86" i="4"/>
  <c r="AA86" i="4" s="1"/>
  <c r="Z86" i="4"/>
  <c r="Y87" i="4"/>
  <c r="Z87" i="4"/>
  <c r="Y89" i="4"/>
  <c r="Z89" i="4"/>
  <c r="Y90" i="4"/>
  <c r="Z90" i="4"/>
  <c r="Y91" i="4"/>
  <c r="Z91" i="4"/>
  <c r="Y92" i="4"/>
  <c r="Z92" i="4"/>
  <c r="Y93" i="4"/>
  <c r="Z93" i="4"/>
  <c r="Y94" i="4"/>
  <c r="Z94" i="4"/>
  <c r="Y95" i="4"/>
  <c r="Z95" i="4"/>
  <c r="Y97" i="4"/>
  <c r="Z97" i="4"/>
  <c r="Y98" i="4"/>
  <c r="Z98" i="4"/>
  <c r="Y99" i="4"/>
  <c r="Z99" i="4"/>
  <c r="Y100" i="4"/>
  <c r="Z100" i="4"/>
  <c r="Y101" i="4"/>
  <c r="Z101" i="4"/>
  <c r="Y102" i="4"/>
  <c r="AA102" i="4" s="1"/>
  <c r="Z102" i="4"/>
  <c r="Y103" i="4"/>
  <c r="Z103" i="4"/>
  <c r="Y104" i="4"/>
  <c r="Z104" i="4"/>
  <c r="Y105" i="4"/>
  <c r="Z105" i="4"/>
  <c r="Y106" i="4"/>
  <c r="Z106" i="4"/>
  <c r="Y107" i="4"/>
  <c r="Z107" i="4"/>
  <c r="Y108" i="4"/>
  <c r="Z108" i="4"/>
  <c r="Y109" i="4"/>
  <c r="Z109" i="4"/>
  <c r="Y110" i="4"/>
  <c r="Z110" i="4"/>
  <c r="Y111" i="4"/>
  <c r="Z111" i="4"/>
  <c r="Y112" i="4"/>
  <c r="Z112" i="4"/>
  <c r="Y113" i="4"/>
  <c r="Z113" i="4"/>
  <c r="Y114" i="4"/>
  <c r="Z114" i="4"/>
  <c r="Y115" i="4"/>
  <c r="Z115" i="4"/>
  <c r="Y116" i="4"/>
  <c r="Z116" i="4"/>
  <c r="Y117" i="4"/>
  <c r="Z117" i="4"/>
  <c r="Y118" i="4"/>
  <c r="Z118" i="4"/>
  <c r="Y119" i="4"/>
  <c r="Z119" i="4"/>
  <c r="Y120" i="4"/>
  <c r="Z120" i="4"/>
  <c r="Y121" i="4"/>
  <c r="Z121" i="4"/>
  <c r="Y122" i="4"/>
  <c r="Z122" i="4"/>
  <c r="Y123" i="4"/>
  <c r="Z123" i="4"/>
  <c r="Y124" i="4"/>
  <c r="Z124" i="4"/>
  <c r="Y125" i="4"/>
  <c r="Z125" i="4"/>
  <c r="Y126" i="4"/>
  <c r="Z126" i="4"/>
  <c r="Y127" i="4"/>
  <c r="Z127" i="4"/>
  <c r="Y128" i="4"/>
  <c r="Z128" i="4"/>
  <c r="Y129" i="4"/>
  <c r="Z129" i="4"/>
  <c r="Y130" i="4"/>
  <c r="Z130" i="4"/>
  <c r="Y131" i="4"/>
  <c r="Z131" i="4"/>
  <c r="Y132" i="4"/>
  <c r="Z132" i="4"/>
  <c r="Y133" i="4"/>
  <c r="Z133" i="4"/>
  <c r="Y134" i="4"/>
  <c r="Z134" i="4"/>
  <c r="Y135" i="4"/>
  <c r="Z135" i="4"/>
  <c r="Y136" i="4"/>
  <c r="Z136" i="4"/>
  <c r="Y137" i="4"/>
  <c r="Z137" i="4"/>
  <c r="Y138" i="4"/>
  <c r="AA138" i="4" s="1"/>
  <c r="Z138" i="4"/>
  <c r="Y139" i="4"/>
  <c r="Z139" i="4"/>
  <c r="Y141" i="4"/>
  <c r="Z141" i="4"/>
  <c r="Y142" i="4"/>
  <c r="Z142" i="4"/>
  <c r="Y143" i="4"/>
  <c r="Z143" i="4"/>
  <c r="Y144" i="4"/>
  <c r="Z144" i="4"/>
  <c r="Z145" i="4"/>
  <c r="Y146" i="4"/>
  <c r="Z146" i="4"/>
  <c r="Y147" i="4"/>
  <c r="Z147" i="4"/>
  <c r="Y148" i="4"/>
  <c r="Z148" i="4"/>
  <c r="Z149" i="4"/>
  <c r="Z150" i="4"/>
  <c r="Y152" i="4"/>
  <c r="Z152" i="4"/>
  <c r="Y153" i="4"/>
  <c r="Z153" i="4"/>
  <c r="Y154" i="4"/>
  <c r="Z154" i="4"/>
  <c r="AA154" i="4" s="1"/>
  <c r="Y156" i="4"/>
  <c r="Z156" i="4"/>
  <c r="Y157" i="4"/>
  <c r="Z157" i="4"/>
  <c r="Y158" i="4"/>
  <c r="Z158" i="4"/>
  <c r="Y159" i="4"/>
  <c r="Z159" i="4"/>
  <c r="Y160" i="4"/>
  <c r="Z160" i="4"/>
  <c r="Y161" i="4"/>
  <c r="Z161" i="4"/>
  <c r="Z163" i="4"/>
  <c r="Y164" i="4"/>
  <c r="Z164" i="4"/>
  <c r="Y165" i="4"/>
  <c r="AA165" i="4" s="1"/>
  <c r="Z165" i="4"/>
  <c r="Y166" i="4"/>
  <c r="Z166" i="4"/>
  <c r="Y167" i="4"/>
  <c r="Z167" i="4"/>
  <c r="Y168" i="4"/>
  <c r="Z168" i="4"/>
  <c r="Z169" i="4"/>
  <c r="Y3" i="3"/>
  <c r="Z3" i="3"/>
  <c r="Y4" i="3"/>
  <c r="Z4" i="3"/>
  <c r="Z5" i="3"/>
  <c r="Y6" i="3"/>
  <c r="Z6" i="3"/>
  <c r="Y7" i="3"/>
  <c r="Z7" i="3"/>
  <c r="Y8" i="3"/>
  <c r="Z8" i="3"/>
  <c r="Y9" i="3"/>
  <c r="Z9" i="3"/>
  <c r="Y10" i="3"/>
  <c r="Z10" i="3"/>
  <c r="Y12" i="3"/>
  <c r="Z12" i="3"/>
  <c r="Y13" i="3"/>
  <c r="Y14" i="3"/>
  <c r="Z14" i="3"/>
  <c r="Y15" i="3"/>
  <c r="Z15" i="3"/>
  <c r="Y16" i="3"/>
  <c r="Z16" i="3"/>
  <c r="Y18" i="3"/>
  <c r="Z18" i="3"/>
  <c r="Y19" i="3"/>
  <c r="Z19" i="3"/>
  <c r="Y22" i="3"/>
  <c r="Z22" i="3"/>
  <c r="Y24" i="3"/>
  <c r="Z24" i="3"/>
  <c r="Y25" i="3"/>
  <c r="Z25" i="3"/>
  <c r="Z26" i="3"/>
  <c r="Z29" i="3"/>
  <c r="Z30" i="3"/>
  <c r="Y31" i="3"/>
  <c r="Z31" i="3"/>
  <c r="Y32" i="3"/>
  <c r="Z32" i="3"/>
  <c r="Y34" i="3"/>
  <c r="Z34" i="3"/>
  <c r="Y35" i="3"/>
  <c r="Y36" i="3"/>
  <c r="Z36" i="3"/>
  <c r="Y38" i="3"/>
  <c r="Z38" i="3"/>
  <c r="Y39" i="3"/>
  <c r="Z39" i="3"/>
  <c r="Y40" i="3"/>
  <c r="Z40" i="3"/>
  <c r="Y41" i="3"/>
  <c r="Z41" i="3"/>
  <c r="Y42" i="3"/>
  <c r="Z42" i="3"/>
  <c r="Y44" i="3"/>
  <c r="Z44" i="3"/>
  <c r="Y45" i="3"/>
  <c r="Z45" i="3"/>
  <c r="Y46" i="3"/>
  <c r="Z46" i="3"/>
  <c r="Y47" i="3"/>
  <c r="Z47" i="3"/>
  <c r="Y48" i="3"/>
  <c r="Z48" i="3"/>
  <c r="Y49" i="3"/>
  <c r="Z49" i="3"/>
  <c r="Y51" i="3"/>
  <c r="Z51" i="3"/>
  <c r="Y52" i="3"/>
  <c r="Z52" i="3"/>
  <c r="Y54" i="3"/>
  <c r="Z54" i="3"/>
  <c r="Y55" i="3"/>
  <c r="Z55" i="3"/>
  <c r="Y56" i="3"/>
  <c r="Z56" i="3"/>
  <c r="Z57" i="3"/>
  <c r="Y58" i="3"/>
  <c r="Z58" i="3"/>
  <c r="Y59" i="3"/>
  <c r="Z59" i="3"/>
  <c r="Y60" i="3"/>
  <c r="Z60" i="3"/>
  <c r="Y61" i="3"/>
  <c r="Y62" i="3"/>
  <c r="Z62" i="3"/>
  <c r="Y63" i="3"/>
  <c r="Z63" i="3"/>
  <c r="Y64" i="3"/>
  <c r="Z64" i="3"/>
  <c r="Y65" i="3"/>
  <c r="Z65" i="3"/>
  <c r="Y66" i="3"/>
  <c r="Z66" i="3"/>
  <c r="Y67" i="3"/>
  <c r="Y68" i="3"/>
  <c r="Z68" i="3"/>
  <c r="Y69" i="3"/>
  <c r="Z69" i="3"/>
  <c r="Y70" i="3"/>
  <c r="Y71" i="3"/>
  <c r="Z71" i="3"/>
  <c r="Y72" i="3"/>
  <c r="Y73" i="3"/>
  <c r="Z73" i="3"/>
  <c r="Y74" i="3"/>
  <c r="Z74" i="3"/>
  <c r="Y75" i="3"/>
  <c r="Z75" i="3"/>
  <c r="Y76" i="3"/>
  <c r="Z76" i="3"/>
  <c r="Y77" i="3"/>
  <c r="Z77" i="3"/>
  <c r="Y78" i="3"/>
  <c r="Z78" i="3"/>
  <c r="Y79" i="3"/>
  <c r="Z79" i="3"/>
  <c r="Y80" i="3"/>
  <c r="Z80" i="3"/>
  <c r="Y81" i="3"/>
  <c r="Z81" i="3"/>
  <c r="Y82" i="3"/>
  <c r="Z82" i="3"/>
  <c r="Y83" i="3"/>
  <c r="Z83" i="3"/>
  <c r="Y85" i="3"/>
  <c r="Z85" i="3"/>
  <c r="Y86" i="3"/>
  <c r="Z86" i="3"/>
  <c r="Y87" i="3"/>
  <c r="Z87" i="3"/>
  <c r="Z88" i="3"/>
  <c r="Y89" i="3"/>
  <c r="Z89" i="3"/>
  <c r="Z90" i="3"/>
  <c r="Y91" i="3"/>
  <c r="Z91" i="3"/>
  <c r="Y92" i="3"/>
  <c r="Z92" i="3"/>
  <c r="Z94" i="3"/>
  <c r="Y95" i="3"/>
  <c r="Z95" i="3"/>
  <c r="Y96" i="3"/>
  <c r="Z96" i="3"/>
  <c r="Y97" i="3"/>
  <c r="Z97" i="3"/>
  <c r="Y99" i="3"/>
  <c r="Z99" i="3"/>
  <c r="Y100" i="3"/>
  <c r="Z100" i="3"/>
  <c r="Y102" i="3"/>
  <c r="AA102" i="3" s="1"/>
  <c r="Z102" i="3"/>
  <c r="Y104" i="3"/>
  <c r="Z104" i="3"/>
  <c r="Y105" i="3"/>
  <c r="Z105" i="3"/>
  <c r="Y106" i="3"/>
  <c r="AA106" i="3" s="1"/>
  <c r="Z106" i="3"/>
  <c r="Y107" i="3"/>
  <c r="Z107" i="3"/>
  <c r="Y108" i="3"/>
  <c r="Z108" i="3"/>
  <c r="Y109" i="3"/>
  <c r="AA109" i="3" s="1"/>
  <c r="Z109" i="3"/>
  <c r="Y4" i="1"/>
  <c r="Z4" i="1"/>
  <c r="Y5" i="1"/>
  <c r="Y6" i="1"/>
  <c r="Z6" i="1"/>
  <c r="Y8" i="1"/>
  <c r="Z8" i="1"/>
  <c r="Y9" i="1"/>
  <c r="Y11" i="1"/>
  <c r="Y13" i="1"/>
  <c r="Y14" i="1"/>
  <c r="Y15" i="1"/>
  <c r="Z15" i="1"/>
  <c r="Y17" i="1"/>
  <c r="Z17" i="1"/>
  <c r="Y18" i="1"/>
  <c r="Y19" i="1"/>
  <c r="Y24" i="1"/>
  <c r="Z24" i="1"/>
  <c r="Y25" i="1"/>
  <c r="Z25" i="1"/>
  <c r="Y27" i="1"/>
  <c r="AA27" i="1" s="1"/>
  <c r="Z27" i="1"/>
  <c r="Z29" i="1"/>
  <c r="Y30" i="1"/>
  <c r="Y31" i="1"/>
  <c r="Z31" i="1"/>
  <c r="Y32" i="1"/>
  <c r="Z32" i="1"/>
  <c r="Z33" i="1"/>
  <c r="Y34" i="1"/>
  <c r="Z34" i="1"/>
  <c r="Y35" i="1"/>
  <c r="Z35" i="1"/>
  <c r="Y36" i="1"/>
  <c r="Z36" i="1"/>
  <c r="Y37" i="1"/>
  <c r="Z37" i="1"/>
  <c r="Y38" i="1"/>
  <c r="Z38" i="1"/>
  <c r="Z40" i="1"/>
  <c r="Y42" i="1"/>
  <c r="Z42" i="1"/>
  <c r="Y43" i="1"/>
  <c r="Z43" i="1"/>
  <c r="Y46" i="1"/>
  <c r="Z46" i="1"/>
  <c r="Y48" i="1"/>
  <c r="Z48" i="1"/>
  <c r="Y49" i="1"/>
  <c r="Z49" i="1"/>
  <c r="Y50" i="1"/>
  <c r="Z50" i="1"/>
  <c r="Y51" i="1"/>
  <c r="Z51" i="1"/>
  <c r="Y52" i="1"/>
  <c r="Y53" i="1"/>
  <c r="Z53" i="1"/>
  <c r="Y54" i="1"/>
  <c r="Z54" i="1"/>
  <c r="AA54" i="1" s="1"/>
  <c r="Y55" i="1"/>
  <c r="Z55" i="1"/>
  <c r="Y56" i="1"/>
  <c r="Z56" i="1"/>
  <c r="Y57" i="1"/>
  <c r="Y58" i="1"/>
  <c r="Z58" i="1"/>
  <c r="Y60" i="1"/>
  <c r="Z60" i="1"/>
  <c r="Y61" i="1"/>
  <c r="Z61" i="1"/>
  <c r="Y62" i="1"/>
  <c r="Z62" i="1"/>
  <c r="Y63" i="1"/>
  <c r="Z63" i="1"/>
  <c r="Y64" i="1"/>
  <c r="Z65" i="1"/>
  <c r="Y66" i="1"/>
  <c r="Z66" i="1"/>
  <c r="Z67" i="1"/>
  <c r="Y69" i="1"/>
  <c r="Z69" i="1"/>
  <c r="Y72" i="1"/>
  <c r="Z72" i="1"/>
  <c r="Y73" i="1"/>
  <c r="Z73" i="1"/>
  <c r="Y74" i="1"/>
  <c r="Z74" i="1"/>
  <c r="Y75" i="1"/>
  <c r="Z75" i="1"/>
  <c r="Z2" i="1"/>
  <c r="Y2" i="1"/>
  <c r="AA2" i="1" s="1"/>
  <c r="Z2" i="3"/>
  <c r="Y2" i="3"/>
  <c r="Y4" i="5"/>
  <c r="Z4" i="5"/>
  <c r="Y5" i="5"/>
  <c r="Z5" i="5"/>
  <c r="Y6" i="5"/>
  <c r="Z6" i="5"/>
  <c r="Y7" i="5"/>
  <c r="Z7" i="5"/>
  <c r="Y8" i="5"/>
  <c r="Z8" i="5"/>
  <c r="Y10" i="5"/>
  <c r="Z10" i="5"/>
  <c r="Y11" i="5"/>
  <c r="Z11" i="5"/>
  <c r="Y12" i="5"/>
  <c r="Z12" i="5"/>
  <c r="Y13" i="5"/>
  <c r="Z13" i="5"/>
  <c r="Y14" i="5"/>
  <c r="Z14" i="5"/>
  <c r="Y15" i="5"/>
  <c r="Z15" i="5"/>
  <c r="Y16" i="5"/>
  <c r="Z16" i="5"/>
  <c r="Y17" i="5"/>
  <c r="Z17" i="5"/>
  <c r="Y18" i="5"/>
  <c r="Z18" i="5"/>
  <c r="AA18" i="5"/>
  <c r="Y19" i="5"/>
  <c r="Z19" i="5"/>
  <c r="Y20" i="5"/>
  <c r="Z20" i="5"/>
  <c r="Y21" i="5"/>
  <c r="Z21" i="5"/>
  <c r="Y22" i="5"/>
  <c r="Z22" i="5"/>
  <c r="Y24" i="5"/>
  <c r="Z24" i="5"/>
  <c r="Y25" i="5"/>
  <c r="Z25" i="5"/>
  <c r="Y26" i="5"/>
  <c r="Z26" i="5"/>
  <c r="Y27" i="5"/>
  <c r="Z27" i="5"/>
  <c r="Y28" i="5"/>
  <c r="Z28" i="5"/>
  <c r="Y30" i="5"/>
  <c r="Z30" i="5"/>
  <c r="Y31" i="5"/>
  <c r="Z31" i="5"/>
  <c r="Y32" i="5"/>
  <c r="Z32" i="5"/>
  <c r="Y33" i="5"/>
  <c r="Z33" i="5"/>
  <c r="Y35" i="5"/>
  <c r="Z35" i="5"/>
  <c r="Z36" i="5"/>
  <c r="Y37" i="5"/>
  <c r="Z37" i="5"/>
  <c r="Y38" i="5"/>
  <c r="Y40" i="5"/>
  <c r="Z40" i="5"/>
  <c r="Y42" i="5"/>
  <c r="Z42" i="5"/>
  <c r="Y43" i="5"/>
  <c r="Z43" i="5"/>
  <c r="Z44" i="5"/>
  <c r="Y45" i="5"/>
  <c r="Z45" i="5"/>
  <c r="Y46" i="5"/>
  <c r="Z46" i="5"/>
  <c r="Y47" i="5"/>
  <c r="Z47" i="5"/>
  <c r="Y48" i="5"/>
  <c r="Z48" i="5"/>
  <c r="Y49" i="5"/>
  <c r="Z49" i="5"/>
  <c r="Y50" i="5"/>
  <c r="Z50" i="5"/>
  <c r="Y52" i="5"/>
  <c r="Z52" i="5"/>
  <c r="AA52" i="5"/>
  <c r="Z53" i="5"/>
  <c r="Y54" i="5"/>
  <c r="Z54" i="5"/>
  <c r="Y55" i="5"/>
  <c r="Z55" i="5"/>
  <c r="Y56" i="5"/>
  <c r="Z56" i="5"/>
  <c r="Y57" i="5"/>
  <c r="Z57" i="5"/>
  <c r="Y60" i="5"/>
  <c r="AA60" i="5" s="1"/>
  <c r="Z60" i="5"/>
  <c r="Z63" i="5"/>
  <c r="Y64" i="5"/>
  <c r="Z64" i="5"/>
  <c r="Y65" i="5"/>
  <c r="Z65" i="5"/>
  <c r="Y66" i="5"/>
  <c r="Z66" i="5"/>
  <c r="Y67" i="5"/>
  <c r="Z67" i="5"/>
  <c r="Y69" i="5"/>
  <c r="Z69" i="5"/>
  <c r="Y70" i="5"/>
  <c r="Z70" i="5"/>
  <c r="AA70" i="5" s="1"/>
  <c r="Y71" i="5"/>
  <c r="Z71" i="5"/>
  <c r="Y72" i="5"/>
  <c r="Z72" i="5"/>
  <c r="Y73" i="5"/>
  <c r="Z73" i="5"/>
  <c r="Y75" i="5"/>
  <c r="Z75" i="5"/>
  <c r="Y76" i="5"/>
  <c r="Z76" i="5"/>
  <c r="Y77" i="5"/>
  <c r="Z77" i="5"/>
  <c r="Y78" i="5"/>
  <c r="Z78" i="5"/>
  <c r="Y79" i="5"/>
  <c r="AA79" i="5" s="1"/>
  <c r="Z79" i="5"/>
  <c r="Y80" i="5"/>
  <c r="Z80" i="5"/>
  <c r="Y81" i="5"/>
  <c r="Z81" i="5"/>
  <c r="Y83" i="5"/>
  <c r="Z83" i="5"/>
  <c r="Y84" i="5"/>
  <c r="Z84" i="5"/>
  <c r="Y85" i="5"/>
  <c r="Z85" i="5"/>
  <c r="Y86" i="5"/>
  <c r="Z86" i="5"/>
  <c r="Y87" i="5"/>
  <c r="Z87" i="5"/>
  <c r="Y88" i="5"/>
  <c r="Z88" i="5"/>
  <c r="Y89" i="5"/>
  <c r="Z89" i="5"/>
  <c r="Y90" i="5"/>
  <c r="Z90" i="5"/>
  <c r="AA90" i="5" s="1"/>
  <c r="Y91" i="5"/>
  <c r="Z91" i="5"/>
  <c r="Y92" i="5"/>
  <c r="AA92" i="5" s="1"/>
  <c r="Z92" i="5"/>
  <c r="Y93" i="5"/>
  <c r="Z93" i="5"/>
  <c r="Y94" i="5"/>
  <c r="Z94" i="5"/>
  <c r="Y95" i="5"/>
  <c r="AA95" i="5" s="1"/>
  <c r="Z95" i="5"/>
  <c r="Y96" i="5"/>
  <c r="Z96" i="5"/>
  <c r="Y97" i="5"/>
  <c r="Z97" i="5"/>
  <c r="Y98" i="5"/>
  <c r="Z98" i="5"/>
  <c r="Y99" i="5"/>
  <c r="Z99" i="5"/>
  <c r="Y100" i="5"/>
  <c r="Z100" i="5"/>
  <c r="Y101" i="5"/>
  <c r="Z101" i="5"/>
  <c r="Y102" i="5"/>
  <c r="Z102" i="5"/>
  <c r="Y103" i="5"/>
  <c r="Z103" i="5"/>
  <c r="Y104" i="5"/>
  <c r="AA104" i="5" s="1"/>
  <c r="Z104" i="5"/>
  <c r="Y105" i="5"/>
  <c r="Z105" i="5"/>
  <c r="Y106" i="5"/>
  <c r="Z106" i="5"/>
  <c r="Y107" i="5"/>
  <c r="AA107" i="5" s="1"/>
  <c r="Z107" i="5"/>
  <c r="Y108" i="5"/>
  <c r="Z108" i="5"/>
  <c r="Y109" i="5"/>
  <c r="Z109" i="5"/>
  <c r="AA109" i="5" s="1"/>
  <c r="Y110" i="5"/>
  <c r="Z110" i="5"/>
  <c r="Y111" i="5"/>
  <c r="Z111" i="5"/>
  <c r="Y112" i="5"/>
  <c r="Z112" i="5"/>
  <c r="Y113" i="5"/>
  <c r="Z113" i="5"/>
  <c r="Y114" i="5"/>
  <c r="Z114" i="5"/>
  <c r="Y115" i="5"/>
  <c r="Z115" i="5"/>
  <c r="Y116" i="5"/>
  <c r="AA116" i="5" s="1"/>
  <c r="Z116" i="5"/>
  <c r="Y117" i="5"/>
  <c r="Z117" i="5"/>
  <c r="Y118" i="5"/>
  <c r="AA118" i="5" s="1"/>
  <c r="Z118" i="5"/>
  <c r="Y119" i="5"/>
  <c r="Z119" i="5"/>
  <c r="Y120" i="5"/>
  <c r="Z120" i="5"/>
  <c r="Y121" i="5"/>
  <c r="Z121" i="5"/>
  <c r="Y122" i="5"/>
  <c r="Z122" i="5"/>
  <c r="Y124" i="5"/>
  <c r="Z124" i="5"/>
  <c r="Y125" i="5"/>
  <c r="Z125" i="5"/>
  <c r="Y126" i="5"/>
  <c r="Z126" i="5"/>
  <c r="Y127" i="5"/>
  <c r="Z127" i="5"/>
  <c r="Y128" i="5"/>
  <c r="Z128" i="5"/>
  <c r="Y129" i="5"/>
  <c r="Z129" i="5"/>
  <c r="Y130" i="5"/>
  <c r="Z130" i="5"/>
  <c r="Y131" i="5"/>
  <c r="Z131" i="5"/>
  <c r="Y132" i="5"/>
  <c r="Z132" i="5"/>
  <c r="Y133" i="5"/>
  <c r="Z133" i="5"/>
  <c r="Y134" i="5"/>
  <c r="AA134" i="5" s="1"/>
  <c r="Z134" i="5"/>
  <c r="Y135" i="5"/>
  <c r="Z135" i="5"/>
  <c r="Y136" i="5"/>
  <c r="Z136" i="5"/>
  <c r="Y137" i="5"/>
  <c r="AA137" i="5" s="1"/>
  <c r="Z137" i="5"/>
  <c r="Y138" i="5"/>
  <c r="Z138" i="5"/>
  <c r="Y140" i="5"/>
  <c r="Z140" i="5"/>
  <c r="Y141" i="5"/>
  <c r="Z141" i="5"/>
  <c r="Y142" i="5"/>
  <c r="Z142" i="5"/>
  <c r="Y143" i="5"/>
  <c r="Z143" i="5"/>
  <c r="Y144" i="5"/>
  <c r="AA144" i="5" s="1"/>
  <c r="Z144" i="5"/>
  <c r="Z146" i="5"/>
  <c r="Y147" i="5"/>
  <c r="Z147" i="5"/>
  <c r="Y148" i="5"/>
  <c r="Z148" i="5"/>
  <c r="Y149" i="5"/>
  <c r="Z149" i="5"/>
  <c r="Y150" i="5"/>
  <c r="Z150" i="5"/>
  <c r="Y151" i="5"/>
  <c r="Z151" i="5"/>
  <c r="Y152" i="5"/>
  <c r="Z152" i="5"/>
  <c r="Y153" i="5"/>
  <c r="Z153" i="5"/>
  <c r="Y154" i="5"/>
  <c r="Z154" i="5"/>
  <c r="Y155" i="5"/>
  <c r="Z155" i="5"/>
  <c r="AA155" i="5" s="1"/>
  <c r="Y156" i="5"/>
  <c r="Z156" i="5"/>
  <c r="Y157" i="5"/>
  <c r="Z157" i="5"/>
  <c r="Y158" i="5"/>
  <c r="Z158" i="5"/>
  <c r="Z2" i="5"/>
  <c r="K161" i="5"/>
  <c r="N161" i="5"/>
  <c r="S161" i="5"/>
  <c r="T161" i="5"/>
  <c r="K170" i="4"/>
  <c r="N170" i="4"/>
  <c r="S170" i="4"/>
  <c r="T170" i="4"/>
  <c r="S111" i="3"/>
  <c r="T111" i="3"/>
  <c r="L77" i="1"/>
  <c r="N77" i="1"/>
  <c r="P49" i="4"/>
  <c r="D77" i="5"/>
  <c r="E77" i="5"/>
  <c r="F77" i="5"/>
  <c r="G77" i="5"/>
  <c r="D78" i="5"/>
  <c r="E78" i="5"/>
  <c r="F78" i="5"/>
  <c r="G78" i="5"/>
  <c r="D79" i="5"/>
  <c r="E79" i="5"/>
  <c r="F79" i="5"/>
  <c r="G79" i="5"/>
  <c r="D80" i="5"/>
  <c r="E80" i="5"/>
  <c r="F80" i="5"/>
  <c r="G80" i="5"/>
  <c r="D81" i="5"/>
  <c r="E81" i="5"/>
  <c r="F81" i="5"/>
  <c r="G81" i="5"/>
  <c r="D82" i="5"/>
  <c r="E82" i="5"/>
  <c r="F82" i="5"/>
  <c r="G82" i="5"/>
  <c r="D83" i="5"/>
  <c r="E83" i="5"/>
  <c r="F83" i="5"/>
  <c r="G83" i="5"/>
  <c r="D84" i="5"/>
  <c r="E84" i="5"/>
  <c r="F84" i="5"/>
  <c r="G84" i="5"/>
  <c r="D85" i="5"/>
  <c r="E85" i="5"/>
  <c r="F85" i="5"/>
  <c r="G85" i="5"/>
  <c r="D86" i="5"/>
  <c r="E86" i="5"/>
  <c r="F86" i="5"/>
  <c r="G86" i="5"/>
  <c r="D87" i="5"/>
  <c r="E87" i="5"/>
  <c r="F87" i="5"/>
  <c r="G87" i="5"/>
  <c r="D88" i="5"/>
  <c r="E88" i="5"/>
  <c r="F88" i="5"/>
  <c r="G88" i="5"/>
  <c r="D89" i="5"/>
  <c r="E89" i="5"/>
  <c r="F89" i="5"/>
  <c r="G8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G97" i="5"/>
  <c r="D98" i="5"/>
  <c r="E98" i="5"/>
  <c r="F98" i="5"/>
  <c r="G98" i="5"/>
  <c r="D99" i="5"/>
  <c r="E99" i="5"/>
  <c r="F99" i="5"/>
  <c r="G99" i="5"/>
  <c r="D100" i="5"/>
  <c r="E100" i="5"/>
  <c r="F100" i="5"/>
  <c r="G100" i="5"/>
  <c r="D101" i="5"/>
  <c r="E101" i="5"/>
  <c r="F101" i="5"/>
  <c r="G101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G110" i="5"/>
  <c r="D111" i="5"/>
  <c r="E111" i="5"/>
  <c r="F111" i="5"/>
  <c r="G111" i="5"/>
  <c r="D112" i="5"/>
  <c r="E112" i="5"/>
  <c r="F112" i="5"/>
  <c r="G112" i="5"/>
  <c r="D113" i="5"/>
  <c r="E113" i="5"/>
  <c r="F113" i="5"/>
  <c r="G113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D140" i="5"/>
  <c r="E140" i="5"/>
  <c r="F140" i="5"/>
  <c r="G140" i="5"/>
  <c r="D141" i="5"/>
  <c r="E141" i="5"/>
  <c r="F141" i="5"/>
  <c r="G141" i="5"/>
  <c r="D142" i="5"/>
  <c r="E142" i="5"/>
  <c r="F142" i="5"/>
  <c r="G142" i="5"/>
  <c r="D143" i="5"/>
  <c r="E143" i="5"/>
  <c r="F143" i="5"/>
  <c r="G143" i="5"/>
  <c r="D144" i="5"/>
  <c r="E144" i="5"/>
  <c r="F144" i="5"/>
  <c r="G144" i="5"/>
  <c r="D145" i="5"/>
  <c r="E145" i="5"/>
  <c r="F145" i="5"/>
  <c r="G145" i="5"/>
  <c r="D146" i="5"/>
  <c r="E146" i="5"/>
  <c r="F146" i="5"/>
  <c r="G146" i="5"/>
  <c r="D147" i="5"/>
  <c r="E147" i="5"/>
  <c r="F147" i="5"/>
  <c r="G147" i="5"/>
  <c r="D148" i="5"/>
  <c r="E148" i="5"/>
  <c r="F148" i="5"/>
  <c r="G148" i="5"/>
  <c r="D149" i="5"/>
  <c r="E149" i="5"/>
  <c r="F149" i="5"/>
  <c r="G149" i="5"/>
  <c r="D150" i="5"/>
  <c r="E150" i="5"/>
  <c r="F150" i="5"/>
  <c r="G150" i="5"/>
  <c r="D151" i="5"/>
  <c r="E151" i="5"/>
  <c r="F151" i="5"/>
  <c r="G151" i="5"/>
  <c r="D152" i="5"/>
  <c r="E152" i="5"/>
  <c r="F152" i="5"/>
  <c r="G152" i="5"/>
  <c r="D153" i="5"/>
  <c r="E153" i="5"/>
  <c r="F153" i="5"/>
  <c r="G153" i="5"/>
  <c r="D154" i="5"/>
  <c r="E154" i="5"/>
  <c r="F154" i="5"/>
  <c r="G154" i="5"/>
  <c r="D155" i="5"/>
  <c r="E155" i="5"/>
  <c r="F155" i="5"/>
  <c r="G155" i="5"/>
  <c r="D156" i="5"/>
  <c r="E156" i="5"/>
  <c r="F156" i="5"/>
  <c r="G156" i="5"/>
  <c r="D157" i="5"/>
  <c r="E157" i="5"/>
  <c r="F157" i="5"/>
  <c r="G157" i="5"/>
  <c r="D158" i="5"/>
  <c r="E158" i="5"/>
  <c r="F158" i="5"/>
  <c r="G158" i="5"/>
  <c r="D159" i="5"/>
  <c r="E159" i="5"/>
  <c r="F159" i="5"/>
  <c r="G159" i="5"/>
  <c r="D160" i="5"/>
  <c r="E160" i="5"/>
  <c r="F160" i="5"/>
  <c r="G160" i="5"/>
  <c r="D74" i="5"/>
  <c r="E74" i="5"/>
  <c r="F74" i="5"/>
  <c r="G74" i="5"/>
  <c r="D75" i="5"/>
  <c r="E75" i="5"/>
  <c r="F75" i="5"/>
  <c r="G75" i="5"/>
  <c r="D76" i="5"/>
  <c r="E76" i="5"/>
  <c r="F76" i="5"/>
  <c r="G76" i="5"/>
  <c r="D71" i="3"/>
  <c r="E71" i="3"/>
  <c r="F71" i="3"/>
  <c r="G71" i="3"/>
  <c r="D72" i="3"/>
  <c r="E72" i="3"/>
  <c r="F72" i="3"/>
  <c r="G72" i="3"/>
  <c r="D73" i="3"/>
  <c r="E73" i="3"/>
  <c r="F73" i="3"/>
  <c r="G73" i="3"/>
  <c r="D74" i="3"/>
  <c r="E74" i="3"/>
  <c r="F74" i="3"/>
  <c r="G74" i="3"/>
  <c r="D75" i="3"/>
  <c r="E75" i="3"/>
  <c r="F75" i="3"/>
  <c r="G75" i="3"/>
  <c r="D76" i="3"/>
  <c r="E76" i="3"/>
  <c r="F76" i="3"/>
  <c r="G76" i="3"/>
  <c r="D77" i="3"/>
  <c r="E77" i="3"/>
  <c r="F77" i="3"/>
  <c r="G77" i="3"/>
  <c r="D78" i="3"/>
  <c r="E78" i="3"/>
  <c r="F78" i="3"/>
  <c r="G78" i="3"/>
  <c r="D79" i="3"/>
  <c r="E79" i="3"/>
  <c r="F79" i="3"/>
  <c r="G79" i="3"/>
  <c r="D80" i="3"/>
  <c r="E80" i="3"/>
  <c r="F80" i="3"/>
  <c r="G80" i="3"/>
  <c r="D81" i="3"/>
  <c r="E81" i="3"/>
  <c r="F81" i="3"/>
  <c r="G81" i="3"/>
  <c r="D82" i="3"/>
  <c r="E82" i="3"/>
  <c r="F82" i="3"/>
  <c r="G82" i="3"/>
  <c r="D83" i="3"/>
  <c r="E83" i="3"/>
  <c r="F83" i="3"/>
  <c r="G83" i="3"/>
  <c r="D84" i="3"/>
  <c r="E84" i="3"/>
  <c r="F84" i="3"/>
  <c r="G84" i="3"/>
  <c r="D85" i="3"/>
  <c r="E85" i="3"/>
  <c r="F85" i="3"/>
  <c r="G85" i="3"/>
  <c r="D86" i="3"/>
  <c r="E86" i="3"/>
  <c r="F86" i="3"/>
  <c r="G86" i="3"/>
  <c r="D87" i="3"/>
  <c r="E87" i="3"/>
  <c r="F87" i="3"/>
  <c r="G87" i="3"/>
  <c r="D88" i="3"/>
  <c r="E88" i="3"/>
  <c r="F88" i="3"/>
  <c r="G88" i="3"/>
  <c r="D89" i="3"/>
  <c r="E89" i="3"/>
  <c r="F89" i="3"/>
  <c r="G89" i="3"/>
  <c r="D90" i="3"/>
  <c r="E90" i="3"/>
  <c r="F90" i="3"/>
  <c r="G90" i="3"/>
  <c r="D91" i="3"/>
  <c r="E91" i="3"/>
  <c r="F91" i="3"/>
  <c r="G91" i="3"/>
  <c r="D92" i="3"/>
  <c r="E92" i="3"/>
  <c r="F92" i="3"/>
  <c r="G92" i="3"/>
  <c r="D93" i="3"/>
  <c r="E93" i="3"/>
  <c r="F93" i="3"/>
  <c r="G93" i="3"/>
  <c r="D94" i="3"/>
  <c r="E94" i="3"/>
  <c r="F94" i="3"/>
  <c r="G94" i="3"/>
  <c r="D95" i="3"/>
  <c r="E95" i="3"/>
  <c r="F95" i="3"/>
  <c r="G95" i="3"/>
  <c r="D96" i="3"/>
  <c r="E96" i="3"/>
  <c r="F96" i="3"/>
  <c r="G96" i="3"/>
  <c r="D97" i="3"/>
  <c r="E97" i="3"/>
  <c r="F97" i="3"/>
  <c r="G97" i="3"/>
  <c r="D98" i="3"/>
  <c r="E98" i="3"/>
  <c r="F98" i="3"/>
  <c r="G98" i="3"/>
  <c r="D99" i="3"/>
  <c r="E99" i="3"/>
  <c r="F99" i="3"/>
  <c r="G99" i="3"/>
  <c r="D100" i="3"/>
  <c r="E100" i="3"/>
  <c r="F100" i="3"/>
  <c r="G100" i="3"/>
  <c r="D101" i="3"/>
  <c r="E101" i="3"/>
  <c r="F101" i="3"/>
  <c r="G101" i="3"/>
  <c r="D102" i="3"/>
  <c r="E102" i="3"/>
  <c r="F102" i="3"/>
  <c r="G102" i="3"/>
  <c r="D103" i="3"/>
  <c r="E103" i="3"/>
  <c r="F103" i="3"/>
  <c r="G103" i="3"/>
  <c r="D104" i="3"/>
  <c r="E104" i="3"/>
  <c r="F104" i="3"/>
  <c r="G104" i="3"/>
  <c r="D105" i="3"/>
  <c r="E105" i="3"/>
  <c r="F105" i="3"/>
  <c r="G105" i="3"/>
  <c r="D106" i="3"/>
  <c r="E106" i="3"/>
  <c r="F106" i="3"/>
  <c r="G106" i="3"/>
  <c r="D107" i="3"/>
  <c r="E107" i="3"/>
  <c r="F107" i="3"/>
  <c r="G107" i="3"/>
  <c r="D108" i="3"/>
  <c r="E108" i="3"/>
  <c r="F108" i="3"/>
  <c r="G108" i="3"/>
  <c r="D109" i="3"/>
  <c r="E109" i="3"/>
  <c r="F109" i="3"/>
  <c r="G109" i="3"/>
  <c r="D110" i="3"/>
  <c r="E110" i="3"/>
  <c r="F110" i="3"/>
  <c r="G110" i="3"/>
  <c r="D77" i="4"/>
  <c r="E77" i="4"/>
  <c r="F77" i="4"/>
  <c r="G77" i="4"/>
  <c r="D78" i="4"/>
  <c r="E78" i="4"/>
  <c r="F78" i="4"/>
  <c r="G78" i="4"/>
  <c r="D79" i="4"/>
  <c r="E79" i="4"/>
  <c r="F79" i="4"/>
  <c r="G79" i="4"/>
  <c r="D80" i="4"/>
  <c r="E80" i="4"/>
  <c r="F80" i="4"/>
  <c r="G80" i="4"/>
  <c r="D81" i="4"/>
  <c r="E81" i="4"/>
  <c r="F81" i="4"/>
  <c r="G81" i="4"/>
  <c r="D82" i="4"/>
  <c r="E82" i="4"/>
  <c r="F82" i="4"/>
  <c r="G82" i="4"/>
  <c r="D83" i="4"/>
  <c r="E83" i="4"/>
  <c r="F83" i="4"/>
  <c r="G83" i="4"/>
  <c r="D84" i="4"/>
  <c r="E84" i="4"/>
  <c r="F84" i="4"/>
  <c r="G84" i="4"/>
  <c r="D85" i="4"/>
  <c r="E85" i="4"/>
  <c r="F85" i="4"/>
  <c r="G85" i="4"/>
  <c r="D86" i="4"/>
  <c r="E86" i="4"/>
  <c r="F86" i="4"/>
  <c r="G86" i="4"/>
  <c r="D87" i="4"/>
  <c r="E87" i="4"/>
  <c r="F87" i="4"/>
  <c r="G87" i="4"/>
  <c r="D88" i="4"/>
  <c r="E88" i="4"/>
  <c r="F88" i="4"/>
  <c r="G88" i="4"/>
  <c r="D89" i="4"/>
  <c r="E89" i="4"/>
  <c r="F89" i="4"/>
  <c r="G89" i="4"/>
  <c r="D90" i="4"/>
  <c r="E90" i="4"/>
  <c r="F90" i="4"/>
  <c r="G90" i="4"/>
  <c r="D91" i="4"/>
  <c r="E91" i="4"/>
  <c r="F91" i="4"/>
  <c r="G91" i="4"/>
  <c r="D92" i="4"/>
  <c r="E92" i="4"/>
  <c r="F92" i="4"/>
  <c r="G92" i="4"/>
  <c r="D93" i="4"/>
  <c r="E93" i="4"/>
  <c r="F93" i="4"/>
  <c r="G93" i="4"/>
  <c r="D94" i="4"/>
  <c r="E94" i="4"/>
  <c r="F94" i="4"/>
  <c r="G94" i="4"/>
  <c r="D95" i="4"/>
  <c r="E95" i="4"/>
  <c r="F95" i="4"/>
  <c r="G95" i="4"/>
  <c r="D96" i="4"/>
  <c r="E96" i="4"/>
  <c r="F96" i="4"/>
  <c r="G96" i="4"/>
  <c r="D97" i="4"/>
  <c r="E97" i="4"/>
  <c r="F97" i="4"/>
  <c r="G97" i="4"/>
  <c r="D98" i="4"/>
  <c r="E98" i="4"/>
  <c r="F98" i="4"/>
  <c r="G98" i="4"/>
  <c r="D99" i="4"/>
  <c r="E99" i="4"/>
  <c r="F99" i="4"/>
  <c r="G99" i="4"/>
  <c r="D100" i="4"/>
  <c r="E100" i="4"/>
  <c r="F100" i="4"/>
  <c r="G100" i="4"/>
  <c r="D101" i="4"/>
  <c r="E101" i="4"/>
  <c r="F101" i="4"/>
  <c r="G101" i="4"/>
  <c r="D102" i="4"/>
  <c r="E102" i="4"/>
  <c r="F102" i="4"/>
  <c r="G102" i="4"/>
  <c r="D103" i="4"/>
  <c r="E103" i="4"/>
  <c r="F103" i="4"/>
  <c r="G103" i="4"/>
  <c r="D104" i="4"/>
  <c r="E104" i="4"/>
  <c r="F104" i="4"/>
  <c r="G104" i="4"/>
  <c r="D105" i="4"/>
  <c r="E105" i="4"/>
  <c r="F105" i="4"/>
  <c r="G105" i="4"/>
  <c r="D106" i="4"/>
  <c r="E106" i="4"/>
  <c r="F106" i="4"/>
  <c r="G106" i="4"/>
  <c r="D107" i="4"/>
  <c r="E107" i="4"/>
  <c r="F107" i="4"/>
  <c r="G107" i="4"/>
  <c r="D108" i="4"/>
  <c r="E108" i="4"/>
  <c r="F108" i="4"/>
  <c r="G108" i="4"/>
  <c r="D109" i="4"/>
  <c r="E109" i="4"/>
  <c r="F109" i="4"/>
  <c r="G109" i="4"/>
  <c r="D110" i="4"/>
  <c r="E110" i="4"/>
  <c r="F110" i="4"/>
  <c r="G110" i="4"/>
  <c r="D111" i="4"/>
  <c r="E111" i="4"/>
  <c r="F111" i="4"/>
  <c r="G111" i="4"/>
  <c r="D112" i="4"/>
  <c r="E112" i="4"/>
  <c r="F112" i="4"/>
  <c r="G112" i="4"/>
  <c r="D113" i="4"/>
  <c r="E113" i="4"/>
  <c r="F113" i="4"/>
  <c r="G113" i="4"/>
  <c r="D114" i="4"/>
  <c r="E114" i="4"/>
  <c r="F114" i="4"/>
  <c r="G114" i="4"/>
  <c r="D115" i="4"/>
  <c r="E115" i="4"/>
  <c r="F115" i="4"/>
  <c r="G115" i="4"/>
  <c r="D116" i="4"/>
  <c r="E116" i="4"/>
  <c r="F116" i="4"/>
  <c r="G116" i="4"/>
  <c r="D117" i="4"/>
  <c r="E117" i="4"/>
  <c r="F117" i="4"/>
  <c r="G117" i="4"/>
  <c r="D118" i="4"/>
  <c r="E118" i="4"/>
  <c r="F118" i="4"/>
  <c r="G118" i="4"/>
  <c r="D119" i="4"/>
  <c r="E119" i="4"/>
  <c r="F119" i="4"/>
  <c r="G119" i="4"/>
  <c r="D120" i="4"/>
  <c r="E120" i="4"/>
  <c r="F120" i="4"/>
  <c r="G120" i="4"/>
  <c r="D121" i="4"/>
  <c r="E121" i="4"/>
  <c r="F121" i="4"/>
  <c r="G121" i="4"/>
  <c r="D122" i="4"/>
  <c r="E122" i="4"/>
  <c r="F122" i="4"/>
  <c r="G122" i="4"/>
  <c r="D123" i="4"/>
  <c r="E123" i="4"/>
  <c r="F123" i="4"/>
  <c r="G123" i="4"/>
  <c r="D124" i="4"/>
  <c r="E124" i="4"/>
  <c r="F124" i="4"/>
  <c r="G124" i="4"/>
  <c r="D125" i="4"/>
  <c r="E125" i="4"/>
  <c r="F125" i="4"/>
  <c r="G125" i="4"/>
  <c r="D126" i="4"/>
  <c r="E126" i="4"/>
  <c r="F126" i="4"/>
  <c r="G126" i="4"/>
  <c r="D127" i="4"/>
  <c r="E127" i="4"/>
  <c r="F127" i="4"/>
  <c r="G127" i="4"/>
  <c r="D128" i="4"/>
  <c r="E128" i="4"/>
  <c r="F128" i="4"/>
  <c r="G128" i="4"/>
  <c r="D129" i="4"/>
  <c r="E129" i="4"/>
  <c r="F129" i="4"/>
  <c r="G129" i="4"/>
  <c r="D130" i="4"/>
  <c r="E130" i="4"/>
  <c r="F130" i="4"/>
  <c r="G130" i="4"/>
  <c r="D131" i="4"/>
  <c r="E131" i="4"/>
  <c r="F131" i="4"/>
  <c r="G131" i="4"/>
  <c r="D132" i="4"/>
  <c r="E132" i="4"/>
  <c r="F132" i="4"/>
  <c r="G132" i="4"/>
  <c r="D133" i="4"/>
  <c r="E133" i="4"/>
  <c r="F133" i="4"/>
  <c r="G133" i="4"/>
  <c r="D134" i="4"/>
  <c r="E134" i="4"/>
  <c r="F134" i="4"/>
  <c r="G134" i="4"/>
  <c r="D135" i="4"/>
  <c r="E135" i="4"/>
  <c r="F135" i="4"/>
  <c r="G135" i="4"/>
  <c r="D136" i="4"/>
  <c r="E136" i="4"/>
  <c r="F136" i="4"/>
  <c r="G136" i="4"/>
  <c r="D137" i="4"/>
  <c r="E137" i="4"/>
  <c r="F137" i="4"/>
  <c r="G137" i="4"/>
  <c r="D138" i="4"/>
  <c r="E138" i="4"/>
  <c r="F138" i="4"/>
  <c r="G138" i="4"/>
  <c r="D139" i="4"/>
  <c r="E139" i="4"/>
  <c r="F139" i="4"/>
  <c r="G139" i="4"/>
  <c r="D140" i="4"/>
  <c r="E140" i="4"/>
  <c r="F140" i="4"/>
  <c r="G140" i="4"/>
  <c r="D141" i="4"/>
  <c r="E141" i="4"/>
  <c r="F141" i="4"/>
  <c r="G141" i="4"/>
  <c r="D142" i="4"/>
  <c r="E142" i="4"/>
  <c r="F142" i="4"/>
  <c r="G142" i="4"/>
  <c r="D143" i="4"/>
  <c r="E143" i="4"/>
  <c r="F143" i="4"/>
  <c r="G143" i="4"/>
  <c r="D144" i="4"/>
  <c r="E144" i="4"/>
  <c r="F144" i="4"/>
  <c r="G144" i="4"/>
  <c r="D145" i="4"/>
  <c r="E145" i="4"/>
  <c r="F145" i="4"/>
  <c r="G145" i="4"/>
  <c r="D146" i="4"/>
  <c r="E146" i="4"/>
  <c r="F146" i="4"/>
  <c r="G146" i="4"/>
  <c r="D147" i="4"/>
  <c r="E147" i="4"/>
  <c r="F147" i="4"/>
  <c r="G147" i="4"/>
  <c r="D148" i="4"/>
  <c r="E148" i="4"/>
  <c r="F148" i="4"/>
  <c r="G148" i="4"/>
  <c r="D149" i="4"/>
  <c r="E149" i="4"/>
  <c r="F149" i="4"/>
  <c r="G149" i="4"/>
  <c r="D150" i="4"/>
  <c r="E150" i="4"/>
  <c r="F150" i="4"/>
  <c r="G150" i="4"/>
  <c r="D151" i="4"/>
  <c r="E151" i="4"/>
  <c r="F151" i="4"/>
  <c r="G151" i="4"/>
  <c r="D152" i="4"/>
  <c r="E152" i="4"/>
  <c r="F152" i="4"/>
  <c r="G152" i="4"/>
  <c r="D153" i="4"/>
  <c r="E153" i="4"/>
  <c r="F153" i="4"/>
  <c r="G153" i="4"/>
  <c r="D154" i="4"/>
  <c r="E154" i="4"/>
  <c r="F154" i="4"/>
  <c r="G154" i="4"/>
  <c r="D155" i="4"/>
  <c r="E155" i="4"/>
  <c r="F155" i="4"/>
  <c r="G155" i="4"/>
  <c r="D156" i="4"/>
  <c r="E156" i="4"/>
  <c r="F156" i="4"/>
  <c r="G156" i="4"/>
  <c r="D157" i="4"/>
  <c r="E157" i="4"/>
  <c r="F157" i="4"/>
  <c r="G157" i="4"/>
  <c r="D158" i="4"/>
  <c r="E158" i="4"/>
  <c r="F158" i="4"/>
  <c r="G158" i="4"/>
  <c r="D159" i="4"/>
  <c r="E159" i="4"/>
  <c r="F159" i="4"/>
  <c r="G159" i="4"/>
  <c r="D160" i="4"/>
  <c r="E160" i="4"/>
  <c r="F160" i="4"/>
  <c r="G160" i="4"/>
  <c r="D161" i="4"/>
  <c r="E161" i="4"/>
  <c r="F161" i="4"/>
  <c r="G161" i="4"/>
  <c r="D162" i="4"/>
  <c r="E162" i="4"/>
  <c r="F162" i="4"/>
  <c r="G162" i="4"/>
  <c r="D163" i="4"/>
  <c r="E163" i="4"/>
  <c r="F163" i="4"/>
  <c r="G163" i="4"/>
  <c r="D164" i="4"/>
  <c r="E164" i="4"/>
  <c r="F164" i="4"/>
  <c r="G164" i="4"/>
  <c r="D165" i="4"/>
  <c r="E165" i="4"/>
  <c r="F165" i="4"/>
  <c r="G165" i="4"/>
  <c r="D166" i="4"/>
  <c r="E166" i="4"/>
  <c r="F166" i="4"/>
  <c r="G166" i="4"/>
  <c r="D167" i="4"/>
  <c r="E167" i="4"/>
  <c r="F167" i="4"/>
  <c r="G167" i="4"/>
  <c r="D168" i="4"/>
  <c r="E168" i="4"/>
  <c r="F168" i="4"/>
  <c r="G168" i="4"/>
  <c r="D169" i="4"/>
  <c r="E169" i="4"/>
  <c r="F169" i="4"/>
  <c r="G169" i="4"/>
  <c r="G73" i="5"/>
  <c r="F73" i="5"/>
  <c r="E73" i="5"/>
  <c r="D73" i="5"/>
  <c r="G72" i="5"/>
  <c r="F72" i="5"/>
  <c r="E72" i="5"/>
  <c r="D72" i="5"/>
  <c r="G71" i="5"/>
  <c r="F71" i="5"/>
  <c r="E71" i="5"/>
  <c r="D71" i="5"/>
  <c r="G70" i="5"/>
  <c r="F70" i="5"/>
  <c r="E70" i="5"/>
  <c r="D70" i="5"/>
  <c r="G69" i="5"/>
  <c r="F69" i="5"/>
  <c r="E69" i="5"/>
  <c r="D69" i="5"/>
  <c r="G68" i="5"/>
  <c r="F68" i="5"/>
  <c r="E68" i="5"/>
  <c r="D68" i="5"/>
  <c r="G67" i="5"/>
  <c r="F67" i="5"/>
  <c r="E67" i="5"/>
  <c r="D67" i="5"/>
  <c r="G66" i="5"/>
  <c r="F66" i="5"/>
  <c r="E66" i="5"/>
  <c r="D66" i="5"/>
  <c r="G65" i="5"/>
  <c r="F65" i="5"/>
  <c r="E65" i="5"/>
  <c r="D65" i="5"/>
  <c r="G64" i="5"/>
  <c r="F64" i="5"/>
  <c r="E64" i="5"/>
  <c r="D64" i="5"/>
  <c r="G63" i="5"/>
  <c r="F63" i="5"/>
  <c r="E63" i="5"/>
  <c r="D63" i="5"/>
  <c r="G62" i="5"/>
  <c r="F62" i="5"/>
  <c r="E62" i="5"/>
  <c r="D62" i="5"/>
  <c r="G61" i="5"/>
  <c r="F61" i="5"/>
  <c r="E61" i="5"/>
  <c r="D61" i="5"/>
  <c r="G60" i="5"/>
  <c r="F60" i="5"/>
  <c r="E60" i="5"/>
  <c r="D60" i="5"/>
  <c r="G59" i="5"/>
  <c r="F59" i="5"/>
  <c r="E59" i="5"/>
  <c r="D59" i="5"/>
  <c r="G58" i="5"/>
  <c r="F58" i="5"/>
  <c r="E58" i="5"/>
  <c r="D58" i="5"/>
  <c r="G57" i="5"/>
  <c r="F57" i="5"/>
  <c r="E57" i="5"/>
  <c r="D57" i="5"/>
  <c r="G56" i="5"/>
  <c r="F56" i="5"/>
  <c r="E56" i="5"/>
  <c r="D56" i="5"/>
  <c r="G55" i="5"/>
  <c r="F55" i="5"/>
  <c r="E55" i="5"/>
  <c r="D55" i="5"/>
  <c r="G54" i="5"/>
  <c r="F54" i="5"/>
  <c r="E54" i="5"/>
  <c r="D54" i="5"/>
  <c r="G53" i="5"/>
  <c r="F53" i="5"/>
  <c r="E53" i="5"/>
  <c r="D53" i="5"/>
  <c r="G52" i="5"/>
  <c r="F52" i="5"/>
  <c r="E52" i="5"/>
  <c r="D52" i="5"/>
  <c r="G51" i="5"/>
  <c r="F51" i="5"/>
  <c r="E51" i="5"/>
  <c r="D51" i="5"/>
  <c r="G50" i="5"/>
  <c r="F50" i="5"/>
  <c r="E50" i="5"/>
  <c r="D50" i="5"/>
  <c r="G49" i="5"/>
  <c r="F49" i="5"/>
  <c r="E49" i="5"/>
  <c r="D49" i="5"/>
  <c r="G48" i="5"/>
  <c r="F48" i="5"/>
  <c r="E48" i="5"/>
  <c r="D48" i="5"/>
  <c r="G47" i="5"/>
  <c r="F47" i="5"/>
  <c r="E47" i="5"/>
  <c r="D47" i="5"/>
  <c r="G46" i="5"/>
  <c r="F46" i="5"/>
  <c r="E46" i="5"/>
  <c r="D46" i="5"/>
  <c r="G45" i="5"/>
  <c r="F45" i="5"/>
  <c r="E45" i="5"/>
  <c r="D45" i="5"/>
  <c r="G44" i="5"/>
  <c r="F44" i="5"/>
  <c r="E44" i="5"/>
  <c r="D44" i="5"/>
  <c r="G43" i="5"/>
  <c r="F43" i="5"/>
  <c r="E43" i="5"/>
  <c r="D43" i="5"/>
  <c r="G42" i="5"/>
  <c r="F42" i="5"/>
  <c r="E42" i="5"/>
  <c r="D42" i="5"/>
  <c r="G41" i="5"/>
  <c r="F41" i="5"/>
  <c r="E41" i="5"/>
  <c r="D41" i="5"/>
  <c r="G40" i="5"/>
  <c r="F40" i="5"/>
  <c r="E40" i="5"/>
  <c r="D40" i="5"/>
  <c r="G39" i="5"/>
  <c r="F39" i="5"/>
  <c r="E39" i="5"/>
  <c r="D39" i="5"/>
  <c r="G38" i="5"/>
  <c r="F38" i="5"/>
  <c r="E38" i="5"/>
  <c r="D38" i="5"/>
  <c r="G37" i="5"/>
  <c r="F37" i="5"/>
  <c r="E37" i="5"/>
  <c r="D37" i="5"/>
  <c r="G36" i="5"/>
  <c r="F36" i="5"/>
  <c r="E36" i="5"/>
  <c r="D36" i="5"/>
  <c r="G35" i="5"/>
  <c r="F35" i="5"/>
  <c r="E35" i="5"/>
  <c r="D35" i="5"/>
  <c r="G34" i="5"/>
  <c r="F34" i="5"/>
  <c r="E34" i="5"/>
  <c r="D34" i="5"/>
  <c r="G33" i="5"/>
  <c r="F33" i="5"/>
  <c r="E33" i="5"/>
  <c r="D33" i="5"/>
  <c r="G32" i="5"/>
  <c r="F32" i="5"/>
  <c r="E32" i="5"/>
  <c r="D32" i="5"/>
  <c r="G31" i="5"/>
  <c r="F31" i="5"/>
  <c r="E31" i="5"/>
  <c r="D31" i="5"/>
  <c r="G30" i="5"/>
  <c r="F30" i="5"/>
  <c r="E30" i="5"/>
  <c r="D30" i="5"/>
  <c r="G29" i="5"/>
  <c r="F29" i="5"/>
  <c r="E29" i="5"/>
  <c r="D29" i="5"/>
  <c r="G28" i="5"/>
  <c r="F28" i="5"/>
  <c r="E28" i="5"/>
  <c r="D28" i="5"/>
  <c r="G27" i="5"/>
  <c r="F27" i="5"/>
  <c r="E27" i="5"/>
  <c r="D27" i="5"/>
  <c r="G26" i="5"/>
  <c r="F26" i="5"/>
  <c r="E26" i="5"/>
  <c r="D26" i="5"/>
  <c r="G25" i="5"/>
  <c r="F25" i="5"/>
  <c r="E25" i="5"/>
  <c r="D25" i="5"/>
  <c r="G24" i="5"/>
  <c r="F24" i="5"/>
  <c r="E24" i="5"/>
  <c r="D24" i="5"/>
  <c r="G23" i="5"/>
  <c r="F23" i="5"/>
  <c r="E23" i="5"/>
  <c r="D23" i="5"/>
  <c r="G22" i="5"/>
  <c r="F22" i="5"/>
  <c r="E22" i="5"/>
  <c r="D22" i="5"/>
  <c r="G21" i="5"/>
  <c r="F21" i="5"/>
  <c r="E21" i="5"/>
  <c r="D21" i="5"/>
  <c r="G20" i="5"/>
  <c r="F20" i="5"/>
  <c r="E20" i="5"/>
  <c r="D20" i="5"/>
  <c r="G19" i="5"/>
  <c r="F19" i="5"/>
  <c r="E19" i="5"/>
  <c r="D19" i="5"/>
  <c r="G18" i="5"/>
  <c r="F18" i="5"/>
  <c r="E18" i="5"/>
  <c r="D18" i="5"/>
  <c r="G17" i="5"/>
  <c r="F17" i="5"/>
  <c r="E17" i="5"/>
  <c r="D17" i="5"/>
  <c r="G16" i="5"/>
  <c r="F16" i="5"/>
  <c r="E16" i="5"/>
  <c r="D16" i="5"/>
  <c r="G15" i="5"/>
  <c r="F15" i="5"/>
  <c r="E15" i="5"/>
  <c r="D15" i="5"/>
  <c r="G14" i="5"/>
  <c r="F14" i="5"/>
  <c r="E14" i="5"/>
  <c r="D14" i="5"/>
  <c r="G13" i="5"/>
  <c r="F13" i="5"/>
  <c r="E13" i="5"/>
  <c r="D13" i="5"/>
  <c r="G12" i="5"/>
  <c r="F12" i="5"/>
  <c r="E12" i="5"/>
  <c r="D12" i="5"/>
  <c r="G11" i="5"/>
  <c r="F11" i="5"/>
  <c r="E11" i="5"/>
  <c r="D11" i="5"/>
  <c r="G10" i="5"/>
  <c r="F10" i="5"/>
  <c r="E10" i="5"/>
  <c r="D10" i="5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G5" i="5"/>
  <c r="F5" i="5"/>
  <c r="E5" i="5"/>
  <c r="D5" i="5"/>
  <c r="G4" i="5"/>
  <c r="F4" i="5"/>
  <c r="E4" i="5"/>
  <c r="D4" i="5"/>
  <c r="G3" i="5"/>
  <c r="F3" i="5"/>
  <c r="E3" i="5"/>
  <c r="D3" i="5"/>
  <c r="G2" i="5"/>
  <c r="F2" i="5"/>
  <c r="E2" i="5"/>
  <c r="D2" i="5"/>
  <c r="G76" i="4"/>
  <c r="F76" i="4"/>
  <c r="E76" i="4"/>
  <c r="D76" i="4"/>
  <c r="G75" i="4"/>
  <c r="F75" i="4"/>
  <c r="E75" i="4"/>
  <c r="D75" i="4"/>
  <c r="G74" i="4"/>
  <c r="F74" i="4"/>
  <c r="E74" i="4"/>
  <c r="D74" i="4"/>
  <c r="G73" i="4"/>
  <c r="F73" i="4"/>
  <c r="E73" i="4"/>
  <c r="D73" i="4"/>
  <c r="G72" i="4"/>
  <c r="F72" i="4"/>
  <c r="E72" i="4"/>
  <c r="D72" i="4"/>
  <c r="G71" i="4"/>
  <c r="F71" i="4"/>
  <c r="E71" i="4"/>
  <c r="D71" i="4"/>
  <c r="G70" i="4"/>
  <c r="F70" i="4"/>
  <c r="E70" i="4"/>
  <c r="D70" i="4"/>
  <c r="G69" i="4"/>
  <c r="F69" i="4"/>
  <c r="E69" i="4"/>
  <c r="D69" i="4"/>
  <c r="G68" i="4"/>
  <c r="F68" i="4"/>
  <c r="E68" i="4"/>
  <c r="D68" i="4"/>
  <c r="G67" i="4"/>
  <c r="F67" i="4"/>
  <c r="E67" i="4"/>
  <c r="D67" i="4"/>
  <c r="G66" i="4"/>
  <c r="F66" i="4"/>
  <c r="E66" i="4"/>
  <c r="D66" i="4"/>
  <c r="G65" i="4"/>
  <c r="F65" i="4"/>
  <c r="E65" i="4"/>
  <c r="D65" i="4"/>
  <c r="G64" i="4"/>
  <c r="F64" i="4"/>
  <c r="E64" i="4"/>
  <c r="D64" i="4"/>
  <c r="G63" i="4"/>
  <c r="F63" i="4"/>
  <c r="E63" i="4"/>
  <c r="D63" i="4"/>
  <c r="G62" i="4"/>
  <c r="F62" i="4"/>
  <c r="E62" i="4"/>
  <c r="D62" i="4"/>
  <c r="G61" i="4"/>
  <c r="F61" i="4"/>
  <c r="E61" i="4"/>
  <c r="D61" i="4"/>
  <c r="G60" i="4"/>
  <c r="F60" i="4"/>
  <c r="E60" i="4"/>
  <c r="D60" i="4"/>
  <c r="G59" i="4"/>
  <c r="F59" i="4"/>
  <c r="E59" i="4"/>
  <c r="D59" i="4"/>
  <c r="G58" i="4"/>
  <c r="F58" i="4"/>
  <c r="E58" i="4"/>
  <c r="D58" i="4"/>
  <c r="G57" i="4"/>
  <c r="F57" i="4"/>
  <c r="E57" i="4"/>
  <c r="D57" i="4"/>
  <c r="G56" i="4"/>
  <c r="F56" i="4"/>
  <c r="E56" i="4"/>
  <c r="D56" i="4"/>
  <c r="G55" i="4"/>
  <c r="F55" i="4"/>
  <c r="E55" i="4"/>
  <c r="D55" i="4"/>
  <c r="G54" i="4"/>
  <c r="F54" i="4"/>
  <c r="E54" i="4"/>
  <c r="D54" i="4"/>
  <c r="G53" i="4"/>
  <c r="F53" i="4"/>
  <c r="E53" i="4"/>
  <c r="D53" i="4"/>
  <c r="G52" i="4"/>
  <c r="F52" i="4"/>
  <c r="E52" i="4"/>
  <c r="D52" i="4"/>
  <c r="G51" i="4"/>
  <c r="F51" i="4"/>
  <c r="E51" i="4"/>
  <c r="D51" i="4"/>
  <c r="G50" i="4"/>
  <c r="F50" i="4"/>
  <c r="E50" i="4"/>
  <c r="D50" i="4"/>
  <c r="G49" i="4"/>
  <c r="F49" i="4"/>
  <c r="E49" i="4"/>
  <c r="D49" i="4"/>
  <c r="G48" i="4"/>
  <c r="F48" i="4"/>
  <c r="E48" i="4"/>
  <c r="D48" i="4"/>
  <c r="G47" i="4"/>
  <c r="F47" i="4"/>
  <c r="E47" i="4"/>
  <c r="D47" i="4"/>
  <c r="G46" i="4"/>
  <c r="F46" i="4"/>
  <c r="E46" i="4"/>
  <c r="D46" i="4"/>
  <c r="G45" i="4"/>
  <c r="F45" i="4"/>
  <c r="E45" i="4"/>
  <c r="D45" i="4"/>
  <c r="G44" i="4"/>
  <c r="F44" i="4"/>
  <c r="E44" i="4"/>
  <c r="D44" i="4"/>
  <c r="G43" i="4"/>
  <c r="F43" i="4"/>
  <c r="E43" i="4"/>
  <c r="D43" i="4"/>
  <c r="G42" i="4"/>
  <c r="F42" i="4"/>
  <c r="E42" i="4"/>
  <c r="D42" i="4"/>
  <c r="G41" i="4"/>
  <c r="F41" i="4"/>
  <c r="E41" i="4"/>
  <c r="D41" i="4"/>
  <c r="G40" i="4"/>
  <c r="F40" i="4"/>
  <c r="E40" i="4"/>
  <c r="D40" i="4"/>
  <c r="G39" i="4"/>
  <c r="F39" i="4"/>
  <c r="E39" i="4"/>
  <c r="D39" i="4"/>
  <c r="G38" i="4"/>
  <c r="F38" i="4"/>
  <c r="E38" i="4"/>
  <c r="D38" i="4"/>
  <c r="G37" i="4"/>
  <c r="F37" i="4"/>
  <c r="E37" i="4"/>
  <c r="D37" i="4"/>
  <c r="G36" i="4"/>
  <c r="F36" i="4"/>
  <c r="E36" i="4"/>
  <c r="D36" i="4"/>
  <c r="G35" i="4"/>
  <c r="F35" i="4"/>
  <c r="E35" i="4"/>
  <c r="D35" i="4"/>
  <c r="G34" i="4"/>
  <c r="F34" i="4"/>
  <c r="E34" i="4"/>
  <c r="D34" i="4"/>
  <c r="G33" i="4"/>
  <c r="F33" i="4"/>
  <c r="E33" i="4"/>
  <c r="D33" i="4"/>
  <c r="G32" i="4"/>
  <c r="F32" i="4"/>
  <c r="E32" i="4"/>
  <c r="D32" i="4"/>
  <c r="G31" i="4"/>
  <c r="F31" i="4"/>
  <c r="E31" i="4"/>
  <c r="D31" i="4"/>
  <c r="G30" i="4"/>
  <c r="F30" i="4"/>
  <c r="E30" i="4"/>
  <c r="D30" i="4"/>
  <c r="G29" i="4"/>
  <c r="F29" i="4"/>
  <c r="E29" i="4"/>
  <c r="D29" i="4"/>
  <c r="G28" i="4"/>
  <c r="F28" i="4"/>
  <c r="E28" i="4"/>
  <c r="D28" i="4"/>
  <c r="G27" i="4"/>
  <c r="F27" i="4"/>
  <c r="E27" i="4"/>
  <c r="D27" i="4"/>
  <c r="G26" i="4"/>
  <c r="F26" i="4"/>
  <c r="E26" i="4"/>
  <c r="D26" i="4"/>
  <c r="G25" i="4"/>
  <c r="F25" i="4"/>
  <c r="E25" i="4"/>
  <c r="D25" i="4"/>
  <c r="G24" i="4"/>
  <c r="F24" i="4"/>
  <c r="E24" i="4"/>
  <c r="D24" i="4"/>
  <c r="G23" i="4"/>
  <c r="F23" i="4"/>
  <c r="E23" i="4"/>
  <c r="D23" i="4"/>
  <c r="G22" i="4"/>
  <c r="F22" i="4"/>
  <c r="E22" i="4"/>
  <c r="D22" i="4"/>
  <c r="G21" i="4"/>
  <c r="F21" i="4"/>
  <c r="E21" i="4"/>
  <c r="D21" i="4"/>
  <c r="G20" i="4"/>
  <c r="F20" i="4"/>
  <c r="E20" i="4"/>
  <c r="D20" i="4"/>
  <c r="G19" i="4"/>
  <c r="F19" i="4"/>
  <c r="E19" i="4"/>
  <c r="D19" i="4"/>
  <c r="G18" i="4"/>
  <c r="F18" i="4"/>
  <c r="E18" i="4"/>
  <c r="D18" i="4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F14" i="4"/>
  <c r="E14" i="4"/>
  <c r="D14" i="4"/>
  <c r="G13" i="4"/>
  <c r="F13" i="4"/>
  <c r="E13" i="4"/>
  <c r="D13" i="4"/>
  <c r="G12" i="4"/>
  <c r="F12" i="4"/>
  <c r="E12" i="4"/>
  <c r="D12" i="4"/>
  <c r="G11" i="4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G6" i="4"/>
  <c r="F6" i="4"/>
  <c r="E6" i="4"/>
  <c r="D6" i="4"/>
  <c r="G5" i="4"/>
  <c r="F5" i="4"/>
  <c r="E5" i="4"/>
  <c r="D5" i="4"/>
  <c r="G4" i="4"/>
  <c r="F4" i="4"/>
  <c r="E4" i="4"/>
  <c r="D4" i="4"/>
  <c r="G3" i="4"/>
  <c r="F3" i="4"/>
  <c r="E3" i="4"/>
  <c r="D3" i="4"/>
  <c r="G2" i="4"/>
  <c r="F2" i="4"/>
  <c r="E2" i="4"/>
  <c r="D2" i="4"/>
  <c r="G70" i="3"/>
  <c r="F70" i="3"/>
  <c r="E70" i="3"/>
  <c r="D70" i="3"/>
  <c r="G69" i="3"/>
  <c r="F69" i="3"/>
  <c r="E69" i="3"/>
  <c r="D69" i="3"/>
  <c r="G68" i="3"/>
  <c r="F68" i="3"/>
  <c r="E68" i="3"/>
  <c r="D68" i="3"/>
  <c r="G67" i="3"/>
  <c r="F67" i="3"/>
  <c r="E67" i="3"/>
  <c r="D67" i="3"/>
  <c r="G66" i="3"/>
  <c r="F66" i="3"/>
  <c r="E66" i="3"/>
  <c r="D66" i="3"/>
  <c r="G65" i="3"/>
  <c r="F65" i="3"/>
  <c r="E65" i="3"/>
  <c r="D65" i="3"/>
  <c r="G64" i="3"/>
  <c r="F64" i="3"/>
  <c r="E64" i="3"/>
  <c r="D64" i="3"/>
  <c r="G63" i="3"/>
  <c r="F63" i="3"/>
  <c r="E63" i="3"/>
  <c r="D63" i="3"/>
  <c r="G62" i="3"/>
  <c r="F62" i="3"/>
  <c r="E62" i="3"/>
  <c r="D62" i="3"/>
  <c r="G61" i="3"/>
  <c r="F61" i="3"/>
  <c r="E61" i="3"/>
  <c r="D61" i="3"/>
  <c r="G60" i="3"/>
  <c r="F60" i="3"/>
  <c r="E60" i="3"/>
  <c r="D60" i="3"/>
  <c r="G59" i="3"/>
  <c r="F59" i="3"/>
  <c r="E59" i="3"/>
  <c r="D59" i="3"/>
  <c r="G58" i="3"/>
  <c r="F58" i="3"/>
  <c r="E58" i="3"/>
  <c r="D58" i="3"/>
  <c r="G57" i="3"/>
  <c r="F57" i="3"/>
  <c r="E57" i="3"/>
  <c r="D57" i="3"/>
  <c r="G56" i="3"/>
  <c r="F56" i="3"/>
  <c r="E56" i="3"/>
  <c r="D56" i="3"/>
  <c r="G55" i="3"/>
  <c r="F55" i="3"/>
  <c r="E55" i="3"/>
  <c r="D55" i="3"/>
  <c r="G54" i="3"/>
  <c r="F54" i="3"/>
  <c r="E54" i="3"/>
  <c r="D54" i="3"/>
  <c r="G53" i="3"/>
  <c r="F53" i="3"/>
  <c r="E53" i="3"/>
  <c r="D53" i="3"/>
  <c r="G52" i="3"/>
  <c r="F52" i="3"/>
  <c r="E52" i="3"/>
  <c r="D52" i="3"/>
  <c r="G51" i="3"/>
  <c r="F51" i="3"/>
  <c r="E51" i="3"/>
  <c r="D51" i="3"/>
  <c r="G50" i="3"/>
  <c r="F50" i="3"/>
  <c r="E50" i="3"/>
  <c r="D50" i="3"/>
  <c r="G49" i="3"/>
  <c r="F49" i="3"/>
  <c r="E49" i="3"/>
  <c r="D49" i="3"/>
  <c r="G48" i="3"/>
  <c r="F48" i="3"/>
  <c r="E48" i="3"/>
  <c r="D48" i="3"/>
  <c r="G47" i="3"/>
  <c r="F47" i="3"/>
  <c r="E47" i="3"/>
  <c r="D47" i="3"/>
  <c r="G46" i="3"/>
  <c r="F46" i="3"/>
  <c r="E46" i="3"/>
  <c r="D46" i="3"/>
  <c r="G45" i="3"/>
  <c r="F45" i="3"/>
  <c r="E45" i="3"/>
  <c r="D45" i="3"/>
  <c r="G44" i="3"/>
  <c r="F44" i="3"/>
  <c r="E44" i="3"/>
  <c r="D44" i="3"/>
  <c r="G43" i="3"/>
  <c r="F43" i="3"/>
  <c r="E43" i="3"/>
  <c r="D43" i="3"/>
  <c r="G42" i="3"/>
  <c r="F42" i="3"/>
  <c r="E42" i="3"/>
  <c r="D42" i="3"/>
  <c r="G41" i="3"/>
  <c r="F41" i="3"/>
  <c r="E41" i="3"/>
  <c r="D41" i="3"/>
  <c r="G40" i="3"/>
  <c r="F40" i="3"/>
  <c r="E40" i="3"/>
  <c r="D40" i="3"/>
  <c r="G39" i="3"/>
  <c r="F39" i="3"/>
  <c r="E39" i="3"/>
  <c r="D39" i="3"/>
  <c r="G38" i="3"/>
  <c r="F38" i="3"/>
  <c r="E38" i="3"/>
  <c r="D38" i="3"/>
  <c r="G37" i="3"/>
  <c r="F37" i="3"/>
  <c r="E37" i="3"/>
  <c r="D37" i="3"/>
  <c r="G36" i="3"/>
  <c r="F36" i="3"/>
  <c r="E36" i="3"/>
  <c r="D36" i="3"/>
  <c r="G35" i="3"/>
  <c r="F35" i="3"/>
  <c r="E35" i="3"/>
  <c r="D35" i="3"/>
  <c r="G34" i="3"/>
  <c r="F34" i="3"/>
  <c r="E34" i="3"/>
  <c r="D34" i="3"/>
  <c r="G33" i="3"/>
  <c r="F33" i="3"/>
  <c r="E33" i="3"/>
  <c r="D33" i="3"/>
  <c r="G32" i="3"/>
  <c r="F32" i="3"/>
  <c r="E32" i="3"/>
  <c r="D32" i="3"/>
  <c r="G31" i="3"/>
  <c r="F31" i="3"/>
  <c r="E31" i="3"/>
  <c r="D31" i="3"/>
  <c r="G30" i="3"/>
  <c r="F30" i="3"/>
  <c r="E30" i="3"/>
  <c r="D30" i="3"/>
  <c r="G29" i="3"/>
  <c r="F29" i="3"/>
  <c r="E29" i="3"/>
  <c r="D29" i="3"/>
  <c r="G28" i="3"/>
  <c r="F28" i="3"/>
  <c r="E28" i="3"/>
  <c r="D28" i="3"/>
  <c r="G27" i="3"/>
  <c r="F27" i="3"/>
  <c r="E27" i="3"/>
  <c r="D27" i="3"/>
  <c r="G26" i="3"/>
  <c r="F26" i="3"/>
  <c r="E26" i="3"/>
  <c r="D26" i="3"/>
  <c r="G25" i="3"/>
  <c r="F25" i="3"/>
  <c r="E25" i="3"/>
  <c r="D25" i="3"/>
  <c r="G24" i="3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  <c r="G3" i="3"/>
  <c r="F3" i="3"/>
  <c r="E3" i="3"/>
  <c r="D3" i="3"/>
  <c r="G2" i="3"/>
  <c r="F2" i="3"/>
  <c r="E2" i="3"/>
  <c r="D2" i="3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2" i="1"/>
  <c r="E2" i="1"/>
  <c r="F2" i="1"/>
  <c r="G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G15" i="1"/>
  <c r="F15" i="1"/>
  <c r="E15" i="1"/>
  <c r="D15" i="1"/>
  <c r="J77" i="4"/>
  <c r="Z77" i="4" s="1"/>
  <c r="J45" i="4"/>
  <c r="Y45" i="4" s="1"/>
  <c r="J151" i="4"/>
  <c r="Z151" i="4" s="1"/>
  <c r="J145" i="5"/>
  <c r="J159" i="5"/>
  <c r="J28" i="1"/>
  <c r="Y28" i="1" s="1"/>
  <c r="R159" i="5"/>
  <c r="Q159" i="5"/>
  <c r="R160" i="5"/>
  <c r="Q160" i="5"/>
  <c r="Q146" i="5"/>
  <c r="R145" i="5"/>
  <c r="Q132" i="5"/>
  <c r="Q128" i="5"/>
  <c r="P123" i="5"/>
  <c r="M123" i="5"/>
  <c r="L123" i="5"/>
  <c r="J123" i="5"/>
  <c r="Z123" i="5" s="1"/>
  <c r="U116" i="5"/>
  <c r="U161" i="5" s="1"/>
  <c r="R59" i="5"/>
  <c r="R41" i="5"/>
  <c r="R38" i="5"/>
  <c r="Z38" i="5" s="1"/>
  <c r="Q38" i="5"/>
  <c r="R23" i="5"/>
  <c r="Q23" i="5"/>
  <c r="Q9" i="5"/>
  <c r="R9" i="5"/>
  <c r="R3" i="5"/>
  <c r="Q3" i="5"/>
  <c r="M160" i="5"/>
  <c r="M53" i="5"/>
  <c r="Y53" i="5" s="1"/>
  <c r="AA53" i="5" s="1"/>
  <c r="P160" i="5"/>
  <c r="P159" i="5"/>
  <c r="P146" i="5"/>
  <c r="P145" i="5"/>
  <c r="P139" i="5"/>
  <c r="P82" i="5"/>
  <c r="P74" i="5"/>
  <c r="P68" i="5"/>
  <c r="P63" i="5"/>
  <c r="Y63" i="5" s="1"/>
  <c r="P62" i="5"/>
  <c r="P59" i="5"/>
  <c r="P58" i="5"/>
  <c r="P51" i="5"/>
  <c r="P44" i="5"/>
  <c r="P41" i="5"/>
  <c r="P36" i="5"/>
  <c r="Y36" i="5" s="1"/>
  <c r="AA36" i="5" s="1"/>
  <c r="P34" i="5"/>
  <c r="P29" i="5"/>
  <c r="P23" i="5"/>
  <c r="P9" i="5"/>
  <c r="P3" i="5"/>
  <c r="P2" i="5"/>
  <c r="Y2" i="5" s="1"/>
  <c r="AA2" i="5" s="1"/>
  <c r="L159" i="5"/>
  <c r="M146" i="5"/>
  <c r="M145" i="5"/>
  <c r="M44" i="5"/>
  <c r="J160" i="5"/>
  <c r="J139" i="5"/>
  <c r="J82" i="5"/>
  <c r="J74" i="5"/>
  <c r="J68" i="5"/>
  <c r="J62" i="5"/>
  <c r="Z62" i="5" s="1"/>
  <c r="J61" i="5"/>
  <c r="Y61" i="5" s="1"/>
  <c r="J59" i="5"/>
  <c r="J58" i="5"/>
  <c r="Z58" i="5" s="1"/>
  <c r="J51" i="5"/>
  <c r="Z51" i="5" s="1"/>
  <c r="J41" i="5"/>
  <c r="J39" i="5"/>
  <c r="Y39" i="5" s="1"/>
  <c r="J34" i="5"/>
  <c r="J29" i="5"/>
  <c r="Z29" i="5" s="1"/>
  <c r="J23" i="5"/>
  <c r="J9" i="5"/>
  <c r="J3" i="5"/>
  <c r="U162" i="4"/>
  <c r="Q149" i="4"/>
  <c r="U96" i="4"/>
  <c r="Q83" i="4"/>
  <c r="Q79" i="4"/>
  <c r="R70" i="4"/>
  <c r="Q70" i="4"/>
  <c r="U64" i="4"/>
  <c r="R64" i="4"/>
  <c r="Q56" i="4"/>
  <c r="Q46" i="4"/>
  <c r="R46" i="4"/>
  <c r="R42" i="4"/>
  <c r="Q37" i="4"/>
  <c r="U28" i="4"/>
  <c r="U27" i="4"/>
  <c r="U26" i="4"/>
  <c r="U24" i="4"/>
  <c r="Q23" i="4"/>
  <c r="R13" i="4"/>
  <c r="U13" i="4"/>
  <c r="Q2" i="4"/>
  <c r="M149" i="4"/>
  <c r="P169" i="4"/>
  <c r="Y169" i="4" s="1"/>
  <c r="AA169" i="4" s="1"/>
  <c r="P163" i="4"/>
  <c r="Y163" i="4" s="1"/>
  <c r="P162" i="4"/>
  <c r="P155" i="4"/>
  <c r="Y155" i="4" s="1"/>
  <c r="P150" i="4"/>
  <c r="Y150" i="4" s="1"/>
  <c r="AA150" i="4" s="1"/>
  <c r="P149" i="4"/>
  <c r="Y149" i="4" s="1"/>
  <c r="AA149" i="4" s="1"/>
  <c r="P145" i="4"/>
  <c r="Y145" i="4" s="1"/>
  <c r="P140" i="4"/>
  <c r="P96" i="4"/>
  <c r="P88" i="4"/>
  <c r="P83" i="4"/>
  <c r="P79" i="4"/>
  <c r="P77" i="4"/>
  <c r="P70" i="4"/>
  <c r="P64" i="4"/>
  <c r="P46" i="4"/>
  <c r="P42" i="4"/>
  <c r="P37" i="4"/>
  <c r="P36" i="4"/>
  <c r="Y36" i="4" s="1"/>
  <c r="P28" i="4"/>
  <c r="P26" i="4"/>
  <c r="Y26" i="4" s="1"/>
  <c r="P18" i="4"/>
  <c r="Y18" i="4" s="1"/>
  <c r="AA18" i="4" s="1"/>
  <c r="P13" i="4"/>
  <c r="P2" i="4"/>
  <c r="M70" i="4"/>
  <c r="L46" i="4"/>
  <c r="L170" i="4" s="1"/>
  <c r="M18" i="4"/>
  <c r="M13" i="4"/>
  <c r="M11" i="4"/>
  <c r="Y11" i="4" s="1"/>
  <c r="AA11" i="4" s="1"/>
  <c r="J162" i="4"/>
  <c r="Z162" i="4" s="1"/>
  <c r="J155" i="4"/>
  <c r="Z155" i="4" s="1"/>
  <c r="J140" i="4"/>
  <c r="Z140" i="4" s="1"/>
  <c r="J96" i="4"/>
  <c r="Z96" i="4" s="1"/>
  <c r="J88" i="4"/>
  <c r="Z88" i="4" s="1"/>
  <c r="J83" i="4"/>
  <c r="Y83" i="4" s="1"/>
  <c r="J79" i="4"/>
  <c r="Y79" i="4" s="1"/>
  <c r="J70" i="4"/>
  <c r="J67" i="4"/>
  <c r="Y67" i="4" s="1"/>
  <c r="J64" i="4"/>
  <c r="Y64" i="4" s="1"/>
  <c r="J57" i="4"/>
  <c r="Y57" i="4" s="1"/>
  <c r="J49" i="4"/>
  <c r="Z49" i="4" s="1"/>
  <c r="J48" i="4"/>
  <c r="Y48" i="4" s="1"/>
  <c r="J46" i="4"/>
  <c r="J42" i="4"/>
  <c r="Z42" i="4" s="1"/>
  <c r="J41" i="4"/>
  <c r="Y41" i="4" s="1"/>
  <c r="J37" i="4"/>
  <c r="Z37" i="4" s="1"/>
  <c r="J28" i="4"/>
  <c r="Z28" i="4" s="1"/>
  <c r="J13" i="4"/>
  <c r="J2" i="4"/>
  <c r="R110" i="3"/>
  <c r="Q110" i="3"/>
  <c r="R103" i="3"/>
  <c r="Q103" i="3"/>
  <c r="R93" i="3"/>
  <c r="Q93" i="3"/>
  <c r="U93" i="3"/>
  <c r="Q90" i="3"/>
  <c r="Q88" i="3"/>
  <c r="Q76" i="3"/>
  <c r="Q74" i="3"/>
  <c r="Q73" i="3"/>
  <c r="R72" i="3"/>
  <c r="Z72" i="3" s="1"/>
  <c r="Q72" i="3"/>
  <c r="R70" i="3"/>
  <c r="Z70" i="3" s="1"/>
  <c r="Q70" i="3"/>
  <c r="Q69" i="3"/>
  <c r="R67" i="3"/>
  <c r="Z67" i="3" s="1"/>
  <c r="Q67" i="3"/>
  <c r="U65" i="3"/>
  <c r="U61" i="3"/>
  <c r="R61" i="3"/>
  <c r="Z61" i="3" s="1"/>
  <c r="Q61" i="3"/>
  <c r="R53" i="3"/>
  <c r="Q45" i="3"/>
  <c r="Q43" i="3"/>
  <c r="R35" i="3"/>
  <c r="Z35" i="3" s="1"/>
  <c r="R33" i="3"/>
  <c r="Q33" i="3"/>
  <c r="U28" i="3"/>
  <c r="R28" i="3"/>
  <c r="Q28" i="3"/>
  <c r="R23" i="3"/>
  <c r="Q23" i="3"/>
  <c r="R21" i="3"/>
  <c r="Q21" i="3"/>
  <c r="R20" i="3"/>
  <c r="Q20" i="3"/>
  <c r="R17" i="3"/>
  <c r="R13" i="3"/>
  <c r="Z13" i="3" s="1"/>
  <c r="R11" i="3"/>
  <c r="Q11" i="3"/>
  <c r="N93" i="3"/>
  <c r="M93" i="3"/>
  <c r="M50" i="3"/>
  <c r="N50" i="3"/>
  <c r="N33" i="3"/>
  <c r="M90" i="3"/>
  <c r="Y90" i="3" s="1"/>
  <c r="AA90" i="3" s="1"/>
  <c r="P110" i="3"/>
  <c r="P103" i="3"/>
  <c r="P98" i="3"/>
  <c r="P93" i="3"/>
  <c r="P88" i="3"/>
  <c r="Y88" i="3" s="1"/>
  <c r="P84" i="3"/>
  <c r="P57" i="3"/>
  <c r="Y57" i="3" s="1"/>
  <c r="P53" i="3"/>
  <c r="P50" i="3"/>
  <c r="P43" i="3"/>
  <c r="P37" i="3"/>
  <c r="P33" i="3"/>
  <c r="P28" i="3"/>
  <c r="P27" i="3"/>
  <c r="P26" i="3"/>
  <c r="Y26" i="3" s="1"/>
  <c r="AA26" i="3" s="1"/>
  <c r="P23" i="3"/>
  <c r="P21" i="3"/>
  <c r="P20" i="3"/>
  <c r="P17" i="3"/>
  <c r="P5" i="3"/>
  <c r="Y5" i="3" s="1"/>
  <c r="AA5" i="3" s="1"/>
  <c r="M94" i="3"/>
  <c r="Y94" i="3" s="1"/>
  <c r="AA94" i="3" s="1"/>
  <c r="L93" i="3"/>
  <c r="L111" i="3" s="1"/>
  <c r="M30" i="3"/>
  <c r="Y30" i="3" s="1"/>
  <c r="AA30" i="3" s="1"/>
  <c r="M29" i="3"/>
  <c r="Y29" i="3" s="1"/>
  <c r="AA29" i="3" s="1"/>
  <c r="M21" i="3"/>
  <c r="M20" i="3"/>
  <c r="J110" i="3"/>
  <c r="J103" i="3"/>
  <c r="Y103" i="3" s="1"/>
  <c r="J101" i="3"/>
  <c r="Y101" i="3" s="1"/>
  <c r="J98" i="3"/>
  <c r="Z98" i="3" s="1"/>
  <c r="J93" i="3"/>
  <c r="J84" i="3"/>
  <c r="Z84" i="3" s="1"/>
  <c r="J53" i="3"/>
  <c r="J50" i="3"/>
  <c r="Z50" i="3" s="1"/>
  <c r="J43" i="3"/>
  <c r="Z43" i="3" s="1"/>
  <c r="J37" i="3"/>
  <c r="Y37" i="3" s="1"/>
  <c r="J33" i="3"/>
  <c r="J28" i="3"/>
  <c r="J27" i="3"/>
  <c r="Z27" i="3" s="1"/>
  <c r="J23" i="3"/>
  <c r="Y23" i="3" s="1"/>
  <c r="J21" i="3"/>
  <c r="J20" i="3"/>
  <c r="J17" i="3"/>
  <c r="Y17" i="3" s="1"/>
  <c r="J11" i="3"/>
  <c r="AA158" i="5" l="1"/>
  <c r="Z160" i="5"/>
  <c r="AA63" i="5"/>
  <c r="R161" i="5"/>
  <c r="AA5" i="5"/>
  <c r="AA98" i="5"/>
  <c r="AA48" i="5"/>
  <c r="AA143" i="5"/>
  <c r="AA140" i="5"/>
  <c r="AA133" i="5"/>
  <c r="AA130" i="5"/>
  <c r="AA127" i="5"/>
  <c r="AA43" i="5"/>
  <c r="AA33" i="5"/>
  <c r="AA157" i="5"/>
  <c r="AA112" i="5"/>
  <c r="AA97" i="5"/>
  <c r="AA81" i="5"/>
  <c r="AA7" i="5"/>
  <c r="Y9" i="5"/>
  <c r="AA108" i="5"/>
  <c r="AA96" i="5"/>
  <c r="AA93" i="5"/>
  <c r="AA80" i="5"/>
  <c r="AA49" i="5"/>
  <c r="AA37" i="5"/>
  <c r="AA16" i="5"/>
  <c r="AA6" i="5"/>
  <c r="AA151" i="5"/>
  <c r="AA91" i="5"/>
  <c r="AA85" i="5"/>
  <c r="AA54" i="5"/>
  <c r="Y68" i="5"/>
  <c r="Y74" i="5"/>
  <c r="AA138" i="5"/>
  <c r="AA135" i="5"/>
  <c r="AA132" i="5"/>
  <c r="AA129" i="5"/>
  <c r="AA42" i="5"/>
  <c r="AA154" i="5"/>
  <c r="AA115" i="5"/>
  <c r="AA88" i="5"/>
  <c r="AA50" i="5"/>
  <c r="Y62" i="5"/>
  <c r="AA62" i="5" s="1"/>
  <c r="Y159" i="5"/>
  <c r="AA86" i="5"/>
  <c r="AA31" i="5"/>
  <c r="AA87" i="5"/>
  <c r="AA67" i="5"/>
  <c r="AA64" i="5"/>
  <c r="AA28" i="5"/>
  <c r="AA25" i="5"/>
  <c r="AA21" i="5"/>
  <c r="AA13" i="5"/>
  <c r="AA10" i="5"/>
  <c r="AA4" i="5"/>
  <c r="AA141" i="5"/>
  <c r="AA101" i="5"/>
  <c r="Y3" i="5"/>
  <c r="AA3" i="5" s="1"/>
  <c r="Y41" i="5"/>
  <c r="AA41" i="5" s="1"/>
  <c r="AA148" i="5"/>
  <c r="AA125" i="5"/>
  <c r="AA77" i="5"/>
  <c r="AA73" i="5"/>
  <c r="AA66" i="5"/>
  <c r="AA20" i="5"/>
  <c r="AA15" i="5"/>
  <c r="AA12" i="5"/>
  <c r="AA150" i="5"/>
  <c r="AA147" i="5"/>
  <c r="AA124" i="5"/>
  <c r="AA76" i="5"/>
  <c r="AA69" i="5"/>
  <c r="AA45" i="5"/>
  <c r="AA30" i="5"/>
  <c r="AA26" i="5"/>
  <c r="AA22" i="5"/>
  <c r="AA19" i="5"/>
  <c r="AA11" i="5"/>
  <c r="AA58" i="4"/>
  <c r="AA44" i="4"/>
  <c r="AA133" i="4"/>
  <c r="AA124" i="4"/>
  <c r="AA90" i="4"/>
  <c r="AA76" i="4"/>
  <c r="AA166" i="4"/>
  <c r="AA139" i="4"/>
  <c r="AA39" i="4"/>
  <c r="AA21" i="4"/>
  <c r="AA129" i="4"/>
  <c r="AA108" i="4"/>
  <c r="AA53" i="4"/>
  <c r="AA34" i="4"/>
  <c r="AA33" i="4"/>
  <c r="AA134" i="4"/>
  <c r="AA128" i="4"/>
  <c r="AA125" i="4"/>
  <c r="AA122" i="4"/>
  <c r="AA113" i="4"/>
  <c r="AA110" i="4"/>
  <c r="AA107" i="4"/>
  <c r="AA104" i="4"/>
  <c r="AA19" i="4"/>
  <c r="Y70" i="4"/>
  <c r="AA36" i="4"/>
  <c r="AA145" i="4"/>
  <c r="AA160" i="4"/>
  <c r="AA135" i="4"/>
  <c r="AA117" i="4"/>
  <c r="AA114" i="4"/>
  <c r="AA97" i="4"/>
  <c r="AA17" i="4"/>
  <c r="AA92" i="4"/>
  <c r="AA82" i="4"/>
  <c r="AA51" i="4"/>
  <c r="AA81" i="4"/>
  <c r="Y77" i="4"/>
  <c r="AA77" i="4" s="1"/>
  <c r="AA12" i="4"/>
  <c r="U170" i="4"/>
  <c r="AA26" i="4"/>
  <c r="Y162" i="4"/>
  <c r="AA162" i="4" s="1"/>
  <c r="AA161" i="4"/>
  <c r="AA121" i="4"/>
  <c r="AA118" i="4"/>
  <c r="AA106" i="4"/>
  <c r="AA94" i="4"/>
  <c r="AA91" i="4"/>
  <c r="AA87" i="4"/>
  <c r="AA65" i="4"/>
  <c r="AA38" i="4"/>
  <c r="AA92" i="3"/>
  <c r="AA85" i="3"/>
  <c r="AA81" i="3"/>
  <c r="AA75" i="3"/>
  <c r="AA68" i="3"/>
  <c r="AA58" i="3"/>
  <c r="AA7" i="3"/>
  <c r="AA107" i="3"/>
  <c r="AA104" i="3"/>
  <c r="AA99" i="3"/>
  <c r="AA66" i="3"/>
  <c r="AA56" i="3"/>
  <c r="AA52" i="3"/>
  <c r="AA48" i="3"/>
  <c r="AA45" i="3"/>
  <c r="AA38" i="3"/>
  <c r="AA22" i="3"/>
  <c r="AA16" i="3"/>
  <c r="Z20" i="3"/>
  <c r="Y21" i="3"/>
  <c r="N111" i="3"/>
  <c r="Q111" i="3"/>
  <c r="Y53" i="3"/>
  <c r="Y110" i="3"/>
  <c r="U111" i="3"/>
  <c r="Y28" i="3"/>
  <c r="AA86" i="3"/>
  <c r="AA82" i="3"/>
  <c r="AA76" i="3"/>
  <c r="AA69" i="3"/>
  <c r="AA32" i="3"/>
  <c r="AA12" i="3"/>
  <c r="AA8" i="3"/>
  <c r="AA97" i="3"/>
  <c r="AA65" i="3"/>
  <c r="AA55" i="3"/>
  <c r="AA51" i="3"/>
  <c r="AA44" i="3"/>
  <c r="AA40" i="3"/>
  <c r="AA36" i="3"/>
  <c r="AA19" i="3"/>
  <c r="AA4" i="3"/>
  <c r="AA34" i="1"/>
  <c r="AA17" i="1"/>
  <c r="AA42" i="1"/>
  <c r="AA75" i="1"/>
  <c r="AA32" i="1"/>
  <c r="AA74" i="1"/>
  <c r="AA55" i="1"/>
  <c r="AA31" i="1"/>
  <c r="AA36" i="1"/>
  <c r="AA53" i="1"/>
  <c r="AA72" i="1"/>
  <c r="AA49" i="1"/>
  <c r="AA66" i="1"/>
  <c r="AA62" i="1"/>
  <c r="AA58" i="1"/>
  <c r="AA43" i="1"/>
  <c r="AA24" i="1"/>
  <c r="AA8" i="1"/>
  <c r="AA50" i="1"/>
  <c r="AA38" i="1"/>
  <c r="AA69" i="1"/>
  <c r="AA51" i="1"/>
  <c r="AA60" i="1"/>
  <c r="AA48" i="1"/>
  <c r="AA37" i="1"/>
  <c r="AA6" i="1"/>
  <c r="R111" i="3"/>
  <c r="AA54" i="3"/>
  <c r="AA49" i="3"/>
  <c r="AA24" i="3"/>
  <c r="AA18" i="3"/>
  <c r="AA3" i="3"/>
  <c r="AA91" i="3"/>
  <c r="AA87" i="3"/>
  <c r="AA83" i="3"/>
  <c r="AA80" i="3"/>
  <c r="AA77" i="3"/>
  <c r="AA74" i="3"/>
  <c r="AA60" i="3"/>
  <c r="AA34" i="3"/>
  <c r="AA6" i="3"/>
  <c r="AA108" i="3"/>
  <c r="AA42" i="3"/>
  <c r="AA96" i="3"/>
  <c r="AA64" i="3"/>
  <c r="Z11" i="3"/>
  <c r="M111" i="3"/>
  <c r="AA59" i="3"/>
  <c r="AA88" i="3"/>
  <c r="AA100" i="3"/>
  <c r="AA71" i="3"/>
  <c r="AA39" i="3"/>
  <c r="Y33" i="3"/>
  <c r="Z93" i="3"/>
  <c r="AA57" i="3"/>
  <c r="AA146" i="4"/>
  <c r="AA136" i="4"/>
  <c r="AA119" i="4"/>
  <c r="AA111" i="4"/>
  <c r="AA105" i="4"/>
  <c r="AA80" i="4"/>
  <c r="AA59" i="4"/>
  <c r="AA27" i="4"/>
  <c r="AA163" i="4"/>
  <c r="AA168" i="4"/>
  <c r="AA159" i="4"/>
  <c r="AA156" i="4"/>
  <c r="AA130" i="4"/>
  <c r="AA127" i="4"/>
  <c r="Y96" i="4"/>
  <c r="AA96" i="4" s="1"/>
  <c r="AA93" i="4"/>
  <c r="Z79" i="4"/>
  <c r="AA79" i="4" s="1"/>
  <c r="AA73" i="4"/>
  <c r="Z70" i="4"/>
  <c r="AA70" i="4" s="1"/>
  <c r="Z67" i="4"/>
  <c r="AA67" i="4" s="1"/>
  <c r="AA61" i="4"/>
  <c r="AA50" i="4"/>
  <c r="AA8" i="4"/>
  <c r="AA5" i="4"/>
  <c r="AA155" i="4"/>
  <c r="P170" i="4"/>
  <c r="AA167" i="4"/>
  <c r="AA158" i="4"/>
  <c r="Y151" i="4"/>
  <c r="AA151" i="4" s="1"/>
  <c r="AA144" i="4"/>
  <c r="AA126" i="4"/>
  <c r="AA123" i="4"/>
  <c r="AA101" i="4"/>
  <c r="AA98" i="4"/>
  <c r="AA89" i="4"/>
  <c r="AA75" i="4"/>
  <c r="AA66" i="4"/>
  <c r="AA63" i="4"/>
  <c r="AA52" i="4"/>
  <c r="AA43" i="4"/>
  <c r="AA35" i="4"/>
  <c r="AA25" i="4"/>
  <c r="AA20" i="4"/>
  <c r="Z64" i="4"/>
  <c r="AA64" i="4" s="1"/>
  <c r="R170" i="4"/>
  <c r="J170" i="4"/>
  <c r="Y46" i="4"/>
  <c r="Z13" i="4"/>
  <c r="Y13" i="4"/>
  <c r="Y42" i="4"/>
  <c r="AA42" i="4" s="1"/>
  <c r="Q170" i="4"/>
  <c r="AA147" i="4"/>
  <c r="AA137" i="4"/>
  <c r="AA112" i="4"/>
  <c r="AA109" i="4"/>
  <c r="AA103" i="4"/>
  <c r="AA85" i="4"/>
  <c r="AA78" i="4"/>
  <c r="AA74" i="4"/>
  <c r="AA69" i="4"/>
  <c r="AA54" i="4"/>
  <c r="Z46" i="4"/>
  <c r="AA32" i="4"/>
  <c r="AA22" i="4"/>
  <c r="AA16" i="4"/>
  <c r="AA14" i="4"/>
  <c r="AA8" i="5"/>
  <c r="AA156" i="5"/>
  <c r="AA121" i="5"/>
  <c r="AA113" i="5"/>
  <c r="AA110" i="5"/>
  <c r="AA102" i="5"/>
  <c r="AA99" i="5"/>
  <c r="AA89" i="5"/>
  <c r="AA84" i="5"/>
  <c r="AA78" i="5"/>
  <c r="AA75" i="5"/>
  <c r="AA71" i="5"/>
  <c r="Z68" i="5"/>
  <c r="AA68" i="5" s="1"/>
  <c r="AA65" i="5"/>
  <c r="Y58" i="5"/>
  <c r="AA55" i="5"/>
  <c r="AA47" i="5"/>
  <c r="AA40" i="5"/>
  <c r="AA32" i="5"/>
  <c r="AA17" i="5"/>
  <c r="AA38" i="5"/>
  <c r="Y23" i="5"/>
  <c r="Y82" i="5"/>
  <c r="Y59" i="5"/>
  <c r="L161" i="5"/>
  <c r="Y51" i="5"/>
  <c r="AA51" i="5" s="1"/>
  <c r="AA152" i="5"/>
  <c r="AA149" i="5"/>
  <c r="AA136" i="5"/>
  <c r="AA126" i="5"/>
  <c r="AA117" i="5"/>
  <c r="AA27" i="5"/>
  <c r="Y139" i="5"/>
  <c r="Y145" i="5"/>
  <c r="Q161" i="5"/>
  <c r="Y34" i="5"/>
  <c r="Y160" i="5"/>
  <c r="AA160" i="5" s="1"/>
  <c r="Y146" i="5"/>
  <c r="AA146" i="5" s="1"/>
  <c r="Z3" i="5"/>
  <c r="Y123" i="5"/>
  <c r="AA123" i="5" s="1"/>
  <c r="Z145" i="5"/>
  <c r="M161" i="5"/>
  <c r="Y44" i="5"/>
  <c r="AA44" i="5" s="1"/>
  <c r="AA128" i="5"/>
  <c r="AA122" i="5"/>
  <c r="AA119" i="5"/>
  <c r="AA114" i="5"/>
  <c r="AA111" i="5"/>
  <c r="AA106" i="5"/>
  <c r="AA103" i="5"/>
  <c r="AA100" i="5"/>
  <c r="I161" i="5"/>
  <c r="AA58" i="5"/>
  <c r="P161" i="5"/>
  <c r="AA153" i="5"/>
  <c r="AA142" i="5"/>
  <c r="AA131" i="5"/>
  <c r="AA120" i="5"/>
  <c r="AA105" i="5"/>
  <c r="AA94" i="5"/>
  <c r="AA83" i="5"/>
  <c r="AA72" i="5"/>
  <c r="Z61" i="5"/>
  <c r="AA61" i="5" s="1"/>
  <c r="Z59" i="5"/>
  <c r="AA57" i="5"/>
  <c r="AA46" i="5"/>
  <c r="Z39" i="5"/>
  <c r="AA39" i="5" s="1"/>
  <c r="AA35" i="5"/>
  <c r="AA24" i="5"/>
  <c r="Z9" i="5"/>
  <c r="AA9" i="5" s="1"/>
  <c r="J161" i="5"/>
  <c r="Y29" i="5"/>
  <c r="AA29" i="5" s="1"/>
  <c r="AA14" i="5"/>
  <c r="Z159" i="5"/>
  <c r="Z74" i="5"/>
  <c r="AA74" i="5" s="1"/>
  <c r="Z41" i="5"/>
  <c r="Z139" i="5"/>
  <c r="AA139" i="5" s="1"/>
  <c r="Z82" i="5"/>
  <c r="AA56" i="5"/>
  <c r="Z34" i="5"/>
  <c r="Z23" i="5"/>
  <c r="Y49" i="4"/>
  <c r="AA49" i="4" s="1"/>
  <c r="Y2" i="4"/>
  <c r="Y140" i="4"/>
  <c r="AA140" i="4" s="1"/>
  <c r="Z57" i="4"/>
  <c r="AA57" i="4" s="1"/>
  <c r="Z48" i="4"/>
  <c r="AA48" i="4" s="1"/>
  <c r="Z45" i="4"/>
  <c r="AA45" i="4" s="1"/>
  <c r="Z41" i="4"/>
  <c r="AA41" i="4" s="1"/>
  <c r="Y37" i="4"/>
  <c r="AA37" i="4" s="1"/>
  <c r="AA157" i="4"/>
  <c r="AA148" i="4"/>
  <c r="AA120" i="4"/>
  <c r="AA95" i="4"/>
  <c r="Y88" i="4"/>
  <c r="AA88" i="4" s="1"/>
  <c r="Z83" i="4"/>
  <c r="AA83" i="4" s="1"/>
  <c r="AA72" i="4"/>
  <c r="Y28" i="4"/>
  <c r="AA28" i="4" s="1"/>
  <c r="Z2" i="4"/>
  <c r="AA142" i="4"/>
  <c r="AA29" i="4"/>
  <c r="M170" i="4"/>
  <c r="AA153" i="4"/>
  <c r="AA141" i="4"/>
  <c r="AA132" i="4"/>
  <c r="AA116" i="4"/>
  <c r="AA100" i="4"/>
  <c r="AA84" i="4"/>
  <c r="AA68" i="4"/>
  <c r="AA56" i="4"/>
  <c r="AA47" i="4"/>
  <c r="AA40" i="4"/>
  <c r="AA31" i="4"/>
  <c r="AA24" i="4"/>
  <c r="AA4" i="4"/>
  <c r="AA164" i="4"/>
  <c r="AA152" i="4"/>
  <c r="AA143" i="4"/>
  <c r="AA131" i="4"/>
  <c r="AA115" i="4"/>
  <c r="AA99" i="4"/>
  <c r="AA30" i="4"/>
  <c r="AA3" i="4"/>
  <c r="AA35" i="3"/>
  <c r="AA110" i="3"/>
  <c r="AA67" i="3"/>
  <c r="AA70" i="3"/>
  <c r="P111" i="3"/>
  <c r="Y98" i="3"/>
  <c r="AA98" i="3" s="1"/>
  <c r="Y93" i="3"/>
  <c r="Y84" i="3"/>
  <c r="AA84" i="3" s="1"/>
  <c r="AA72" i="3"/>
  <c r="AA61" i="3"/>
  <c r="Y50" i="3"/>
  <c r="AA50" i="3" s="1"/>
  <c r="Y43" i="3"/>
  <c r="AA43" i="3" s="1"/>
  <c r="Y27" i="3"/>
  <c r="AA27" i="3" s="1"/>
  <c r="Y20" i="3"/>
  <c r="AA20" i="3" s="1"/>
  <c r="AA13" i="3"/>
  <c r="Y11" i="3"/>
  <c r="AA2" i="3"/>
  <c r="AA95" i="3"/>
  <c r="AA79" i="3"/>
  <c r="AA63" i="3"/>
  <c r="AA47" i="3"/>
  <c r="AA31" i="3"/>
  <c r="AA15" i="3"/>
  <c r="Z103" i="3"/>
  <c r="AA103" i="3" s="1"/>
  <c r="Z101" i="3"/>
  <c r="AA101" i="3" s="1"/>
  <c r="Z53" i="3"/>
  <c r="Z37" i="3"/>
  <c r="AA37" i="3" s="1"/>
  <c r="Z33" i="3"/>
  <c r="Z28" i="3"/>
  <c r="AA28" i="3" s="1"/>
  <c r="Z23" i="3"/>
  <c r="AA23" i="3" s="1"/>
  <c r="Z21" i="3"/>
  <c r="Z17" i="3"/>
  <c r="AA17" i="3" s="1"/>
  <c r="AA10" i="3"/>
  <c r="Z110" i="3"/>
  <c r="J111" i="3"/>
  <c r="AA105" i="3"/>
  <c r="AA89" i="3"/>
  <c r="AA78" i="3"/>
  <c r="AA73" i="3"/>
  <c r="AA62" i="3"/>
  <c r="AA46" i="3"/>
  <c r="AA41" i="3"/>
  <c r="AA25" i="3"/>
  <c r="AA14" i="3"/>
  <c r="AA9" i="3"/>
  <c r="AA46" i="1"/>
  <c r="AA25" i="1"/>
  <c r="AA4" i="1"/>
  <c r="AA15" i="1"/>
  <c r="AA73" i="1"/>
  <c r="AA61" i="1"/>
  <c r="Z28" i="1"/>
  <c r="AA28" i="1" s="1"/>
  <c r="AA63" i="1"/>
  <c r="AA56" i="1"/>
  <c r="AA35" i="1"/>
  <c r="R76" i="1"/>
  <c r="Q76" i="1"/>
  <c r="U74" i="1"/>
  <c r="U73" i="1"/>
  <c r="U71" i="1"/>
  <c r="R71" i="1"/>
  <c r="Q71" i="1"/>
  <c r="R70" i="1"/>
  <c r="Q70" i="1"/>
  <c r="R68" i="1"/>
  <c r="Z68" i="1" s="1"/>
  <c r="Q68" i="1"/>
  <c r="U64" i="1"/>
  <c r="R64" i="1"/>
  <c r="Z64" i="1" s="1"/>
  <c r="AA64" i="1" s="1"/>
  <c r="Q64" i="1"/>
  <c r="R59" i="1"/>
  <c r="Q59" i="1"/>
  <c r="U57" i="1"/>
  <c r="R57" i="1"/>
  <c r="Z57" i="1" s="1"/>
  <c r="AA57" i="1" s="1"/>
  <c r="Q57" i="1"/>
  <c r="U53" i="1"/>
  <c r="R52" i="1"/>
  <c r="Z52" i="1" s="1"/>
  <c r="AA52" i="1" s="1"/>
  <c r="Q52" i="1"/>
  <c r="R44" i="1"/>
  <c r="Z44" i="1" s="1"/>
  <c r="Q42" i="1"/>
  <c r="R41" i="1"/>
  <c r="Q32" i="1"/>
  <c r="R30" i="1"/>
  <c r="Z30" i="1" s="1"/>
  <c r="AA30" i="1" s="1"/>
  <c r="R26" i="1"/>
  <c r="Z26" i="1" s="1"/>
  <c r="U21" i="1"/>
  <c r="R21" i="1"/>
  <c r="U20" i="1"/>
  <c r="R20" i="1"/>
  <c r="Z20" i="1" s="1"/>
  <c r="Q20" i="1"/>
  <c r="U19" i="1"/>
  <c r="R19" i="1"/>
  <c r="Z19" i="1" s="1"/>
  <c r="AA19" i="1" s="1"/>
  <c r="U18" i="1"/>
  <c r="R18" i="1"/>
  <c r="Z18" i="1" s="1"/>
  <c r="AA18" i="1" s="1"/>
  <c r="U17" i="1"/>
  <c r="Q17" i="1"/>
  <c r="U16" i="1"/>
  <c r="R16" i="1"/>
  <c r="U15" i="1"/>
  <c r="Q15" i="1"/>
  <c r="U14" i="1"/>
  <c r="R14" i="1"/>
  <c r="Z14" i="1" s="1"/>
  <c r="AA14" i="1" s="1"/>
  <c r="Q14" i="1"/>
  <c r="U13" i="1"/>
  <c r="R13" i="1"/>
  <c r="Z13" i="1" s="1"/>
  <c r="AA13" i="1" s="1"/>
  <c r="Q13" i="1"/>
  <c r="U12" i="1"/>
  <c r="R12" i="1"/>
  <c r="U11" i="1"/>
  <c r="R11" i="1"/>
  <c r="Z11" i="1" s="1"/>
  <c r="AA11" i="1" s="1"/>
  <c r="Q11" i="1"/>
  <c r="U10" i="1"/>
  <c r="R10" i="1"/>
  <c r="Q10" i="1"/>
  <c r="U9" i="1"/>
  <c r="R9" i="1"/>
  <c r="Z9" i="1" s="1"/>
  <c r="AA9" i="1" s="1"/>
  <c r="Q9" i="1"/>
  <c r="U8" i="1"/>
  <c r="Q8" i="1"/>
  <c r="U7" i="1"/>
  <c r="R5" i="1"/>
  <c r="U4" i="1"/>
  <c r="U3" i="1"/>
  <c r="P76" i="1"/>
  <c r="P71" i="1"/>
  <c r="P70" i="1"/>
  <c r="P68" i="1"/>
  <c r="Y68" i="1" s="1"/>
  <c r="AA68" i="1" s="1"/>
  <c r="P65" i="1"/>
  <c r="Y65" i="1" s="1"/>
  <c r="AA65" i="1" s="1"/>
  <c r="P59" i="1"/>
  <c r="P47" i="1"/>
  <c r="P45" i="1"/>
  <c r="P41" i="1"/>
  <c r="P40" i="1"/>
  <c r="Y40" i="1" s="1"/>
  <c r="AA40" i="1" s="1"/>
  <c r="P39" i="1"/>
  <c r="P33" i="1"/>
  <c r="Y33" i="1" s="1"/>
  <c r="AA33" i="1" s="1"/>
  <c r="P29" i="1"/>
  <c r="Y29" i="1" s="1"/>
  <c r="AA29" i="1" s="1"/>
  <c r="P26" i="1"/>
  <c r="Y26" i="1" s="1"/>
  <c r="P21" i="1"/>
  <c r="P20" i="1"/>
  <c r="Y20" i="1" s="1"/>
  <c r="P16" i="1"/>
  <c r="P12" i="1"/>
  <c r="P10" i="1"/>
  <c r="P7" i="1"/>
  <c r="P3" i="1"/>
  <c r="M76" i="1"/>
  <c r="M10" i="1"/>
  <c r="M70" i="1"/>
  <c r="M67" i="1"/>
  <c r="Y67" i="1" s="1"/>
  <c r="AA67" i="1" s="1"/>
  <c r="M44" i="1"/>
  <c r="Y44" i="1" s="1"/>
  <c r="M41" i="1"/>
  <c r="J76" i="1"/>
  <c r="J71" i="1"/>
  <c r="J70" i="1"/>
  <c r="J59" i="1"/>
  <c r="J47" i="1"/>
  <c r="J45" i="1"/>
  <c r="J41" i="1"/>
  <c r="J39" i="1"/>
  <c r="J23" i="1"/>
  <c r="J22" i="1"/>
  <c r="J21" i="1"/>
  <c r="J16" i="1"/>
  <c r="J12" i="1"/>
  <c r="J10" i="1"/>
  <c r="J7" i="1"/>
  <c r="J3" i="1"/>
  <c r="AA159" i="5" l="1"/>
  <c r="AA34" i="5"/>
  <c r="AA59" i="5"/>
  <c r="AA46" i="4"/>
  <c r="AA13" i="4"/>
  <c r="AA93" i="3"/>
  <c r="AA21" i="3"/>
  <c r="AA11" i="3"/>
  <c r="AA53" i="3"/>
  <c r="AA44" i="1"/>
  <c r="U77" i="1"/>
  <c r="AA20" i="1"/>
  <c r="AA33" i="3"/>
  <c r="AA145" i="5"/>
  <c r="AA23" i="5"/>
  <c r="AA82" i="5"/>
  <c r="AA2" i="4"/>
  <c r="Y7" i="1"/>
  <c r="Z7" i="1"/>
  <c r="Y23" i="1"/>
  <c r="Z23" i="1"/>
  <c r="Y70" i="1"/>
  <c r="Z70" i="1"/>
  <c r="Z10" i="1"/>
  <c r="Y10" i="1"/>
  <c r="Z39" i="1"/>
  <c r="Y39" i="1"/>
  <c r="Y71" i="1"/>
  <c r="Z71" i="1"/>
  <c r="M77" i="1"/>
  <c r="Z12" i="1"/>
  <c r="Y12" i="1"/>
  <c r="Y41" i="1"/>
  <c r="Z41" i="1"/>
  <c r="Y76" i="1"/>
  <c r="Z76" i="1"/>
  <c r="Z5" i="1"/>
  <c r="AA5" i="1" s="1"/>
  <c r="R77" i="1"/>
  <c r="Z16" i="1"/>
  <c r="Y16" i="1"/>
  <c r="Y45" i="1"/>
  <c r="Z45" i="1"/>
  <c r="P77" i="1"/>
  <c r="Y21" i="1"/>
  <c r="Z21" i="1"/>
  <c r="Y47" i="1"/>
  <c r="Z47" i="1"/>
  <c r="AA26" i="1"/>
  <c r="Q77" i="1"/>
  <c r="J77" i="1"/>
  <c r="Y3" i="1"/>
  <c r="Z3" i="1"/>
  <c r="Y22" i="1"/>
  <c r="Z22" i="1"/>
  <c r="Y59" i="1"/>
  <c r="Z59" i="1"/>
  <c r="AA10" i="1" l="1"/>
  <c r="AA16" i="1"/>
  <c r="AA12" i="1"/>
  <c r="AA23" i="1"/>
  <c r="AA21" i="1"/>
  <c r="AA22" i="1"/>
  <c r="AA47" i="1"/>
  <c r="AA45" i="1"/>
  <c r="AA76" i="1"/>
  <c r="AA71" i="1"/>
  <c r="AA70" i="1"/>
  <c r="AA3" i="1"/>
  <c r="AA41" i="1"/>
  <c r="AA39" i="1"/>
  <c r="AA59" i="1"/>
  <c r="AA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Ksenia Nazarenko</author>
  </authors>
  <commentList>
    <comment ref="P150" authorId="0" shapeId="0" xr:uid="{0393008E-7D8E-4892-BB1A-BD7E0F6266CF}">
      <text>
        <r>
          <rPr>
            <sz val="11"/>
            <color indexed="8"/>
            <rFont val="Calibri"/>
            <family val="2"/>
            <charset val="204"/>
          </rPr>
          <t>Ksenia Nazarenko:
84 мин работала одна сторона</t>
        </r>
      </text>
    </comment>
  </commentList>
</comments>
</file>

<file path=xl/sharedStrings.xml><?xml version="1.0" encoding="utf-8"?>
<sst xmlns="http://schemas.openxmlformats.org/spreadsheetml/2006/main" count="9675" uniqueCount="4862">
  <si>
    <t>Line</t>
  </si>
  <si>
    <t>Name</t>
  </si>
  <si>
    <t>Code</t>
  </si>
  <si>
    <t>English name</t>
  </si>
  <si>
    <t>Brand</t>
  </si>
  <si>
    <t>Nomenclature group</t>
  </si>
  <si>
    <t>Type of nomenclature</t>
  </si>
  <si>
    <t>Batch number</t>
  </si>
  <si>
    <t>Planned production, pcs</t>
  </si>
  <si>
    <t>Actual production, pcs</t>
  </si>
  <si>
    <t>Line setup time, min</t>
  </si>
  <si>
    <t>Time of food stops, min</t>
  </si>
  <si>
    <t>Time for stops independent of line personnel, min</t>
  </si>
  <si>
    <t>Description of the reason for stopping column "N"</t>
  </si>
  <si>
    <t>Total batch production time, min</t>
  </si>
  <si>
    <t>Initial defective cans, pcs</t>
  </si>
  <si>
    <t>Manufacturing defects of cans, pcs</t>
  </si>
  <si>
    <t>Недостача баллонов, шт.</t>
  </si>
  <si>
    <t>Излишек баллонов, шт.</t>
  </si>
  <si>
    <t>Number of cans taken by the laboratory for arbitration storage, pcs</t>
  </si>
  <si>
    <t>ОЕЕ1</t>
  </si>
  <si>
    <t>ОЕЕ2</t>
  </si>
  <si>
    <t>ОЕЕ</t>
  </si>
  <si>
    <t>Comment</t>
  </si>
  <si>
    <t>A1</t>
  </si>
  <si>
    <t>Освежитель воздуха AIR WICK Французская ривьера (Морская волна и легкий бриз)</t>
  </si>
  <si>
    <t>ER-00012432</t>
  </si>
  <si>
    <t>OA227</t>
  </si>
  <si>
    <t>Освежитель воздуха AIR WICK Швейцарские альпы (Утренняя роса и зеленый лес)</t>
  </si>
  <si>
    <t>ER-00012431</t>
  </si>
  <si>
    <t>OA228</t>
  </si>
  <si>
    <t xml:space="preserve">Освежитель воздуха AIR WICK Испанские каникулы (Грейпфрут и цветущий лайм) </t>
  </si>
  <si>
    <t>ER-00012435</t>
  </si>
  <si>
    <t>OA289</t>
  </si>
  <si>
    <t>OA288</t>
  </si>
  <si>
    <t>Освежитель воздуха AIR WICK Мальдивские мечты (Тропические цветы и пачули)</t>
  </si>
  <si>
    <t>ER-00012888</t>
  </si>
  <si>
    <t>Освежитель воздуха AIR WICK Мальдивские мечты (Тропические цветы и пачули) SRP</t>
  </si>
  <si>
    <t>ER-00013064</t>
  </si>
  <si>
    <t>OA285</t>
  </si>
  <si>
    <t>Освежитель воздуха AIR WICK Японская весна (Цветущая сакура и бергамот)</t>
  </si>
  <si>
    <t>ER-00012430</t>
  </si>
  <si>
    <t>OA286</t>
  </si>
  <si>
    <t>Освежитель воздуха AIR WICK Марокканское утро (Листочки мяты и Зелёный чай)</t>
  </si>
  <si>
    <t>ER-00011334</t>
  </si>
  <si>
    <t>OA229</t>
  </si>
  <si>
    <t>Освежитель воздуха AIR WICK Freshmatic Нежный шелк и лилия SRP</t>
  </si>
  <si>
    <t>ER-00012474</t>
  </si>
  <si>
    <t>OA230</t>
  </si>
  <si>
    <t>Освежитель воздуха AIR WICK Freshmatic Райский десерт</t>
  </si>
  <si>
    <t>ER-00012477</t>
  </si>
  <si>
    <t>OA231</t>
  </si>
  <si>
    <t>Освежитель воздуха AROMA VOYAGE Hello Aroma тропический смузи</t>
  </si>
  <si>
    <t>ER-00011755</t>
  </si>
  <si>
    <t>OA436</t>
  </si>
  <si>
    <t>Освежитель воздуха AROMA VOYAGE Hello Aroma алтайская свежесть</t>
  </si>
  <si>
    <t>ER-00011757</t>
  </si>
  <si>
    <t>OA437</t>
  </si>
  <si>
    <t>Освежитель воздуха AROMA VOYAGE Hello Aroma китайская орхидея</t>
  </si>
  <si>
    <t>ER-00011758</t>
  </si>
  <si>
    <t>OA438</t>
  </si>
  <si>
    <t>Освежитель воздуха AROMA VOYAGE Hello Aroma карельские ягоды</t>
  </si>
  <si>
    <t>ER-00011756</t>
  </si>
  <si>
    <t>OA439</t>
  </si>
  <si>
    <t>Освежитель воздуха Verti Ветивер и бамбук Gold edition</t>
  </si>
  <si>
    <t>ER-00012767</t>
  </si>
  <si>
    <t>OA432</t>
  </si>
  <si>
    <t>Освежитель воздуха Verti Морская соль и белое дерево Gold edition</t>
  </si>
  <si>
    <t>ER-00012769</t>
  </si>
  <si>
    <t>OA433</t>
  </si>
  <si>
    <t>Освежитель воздуха Verti Черный перец и апельсиновый цвет Gold edition</t>
  </si>
  <si>
    <t>ER-00012770</t>
  </si>
  <si>
    <t>OA434</t>
  </si>
  <si>
    <t>Освежитель воздуха Verti Магнолия и иланг-иланг Gold edition</t>
  </si>
  <si>
    <t>ER-00012768</t>
  </si>
  <si>
    <t>OA435</t>
  </si>
  <si>
    <t>Освежитель воздуха Нужные вещи Ванильный уют НД</t>
  </si>
  <si>
    <t>ER-00011580</t>
  </si>
  <si>
    <t>OA292</t>
  </si>
  <si>
    <t xml:space="preserve">Освежитель воздуха Нужные вещи Киви-виноград. Антитабак НД </t>
  </si>
  <si>
    <t>ER-00011581</t>
  </si>
  <si>
    <t>OA297</t>
  </si>
  <si>
    <t>Освежитель воздуха Нужные вещи Лайм и корица НД</t>
  </si>
  <si>
    <t>ER-00011583</t>
  </si>
  <si>
    <t>OA397</t>
  </si>
  <si>
    <t xml:space="preserve">Освежитель воздуха Нужные вещи Королева цветов НД </t>
  </si>
  <si>
    <t>ER-00011582</t>
  </si>
  <si>
    <t>OA399</t>
  </si>
  <si>
    <t xml:space="preserve">Освежитель воздуха Нужные вещи Летний дождь НД </t>
  </si>
  <si>
    <t>ER-00011584</t>
  </si>
  <si>
    <t>OA398</t>
  </si>
  <si>
    <t>Освежитель воздуха Нужные вещи Нежная фрезия НД</t>
  </si>
  <si>
    <t>ER-00011579</t>
  </si>
  <si>
    <t>OA293</t>
  </si>
  <si>
    <t>OA409</t>
  </si>
  <si>
    <t>OA410</t>
  </si>
  <si>
    <t>OA226</t>
  </si>
  <si>
    <t>OA355</t>
  </si>
  <si>
    <t>OA411</t>
  </si>
  <si>
    <t>Освежитель воздуха AIR WICK Байкальская свежесть (Свежий воздух и Нежный ландыш)</t>
  </si>
  <si>
    <t>ER-00012440</t>
  </si>
  <si>
    <t>OA414</t>
  </si>
  <si>
    <t>Освежитель воздуха AIR WICK Гавайский Ритм (Киви и Яблоко)</t>
  </si>
  <si>
    <t>ER-00012436</t>
  </si>
  <si>
    <t>OA418</t>
  </si>
  <si>
    <t>Освежитель воздуха AIR WICK Алтайские луга (Ромашка и сочная зелень)</t>
  </si>
  <si>
    <t>ER-00012437</t>
  </si>
  <si>
    <t>OA424</t>
  </si>
  <si>
    <t>OA557</t>
  </si>
  <si>
    <t>Освежитель воздуха Flower shop Золотой лотос и роза 300 мл</t>
  </si>
  <si>
    <t>ER-00011973</t>
  </si>
  <si>
    <t>OA390</t>
  </si>
  <si>
    <t>Освежитель воздуха Flower shop Морские минералы 300 мл</t>
  </si>
  <si>
    <t>ER-00012698</t>
  </si>
  <si>
    <t>OA542</t>
  </si>
  <si>
    <t>Освежитель воздуха Flower shop Яблоко и жасмин 300 мл</t>
  </si>
  <si>
    <t>ER-00011980</t>
  </si>
  <si>
    <t>OA510</t>
  </si>
  <si>
    <t>Освежитель воздуха Flower shop Антитабак 300 мл</t>
  </si>
  <si>
    <t>ER-00012699</t>
  </si>
  <si>
    <t>OA543</t>
  </si>
  <si>
    <t>Освежитель воздуха Flower shop Лайм и мята 300 мл</t>
  </si>
  <si>
    <t>ER-00012701</t>
  </si>
  <si>
    <t>OA544</t>
  </si>
  <si>
    <t>OA415</t>
  </si>
  <si>
    <t>Освежитель воздуха AIR WICK Freshmatic Спелый манго</t>
  </si>
  <si>
    <t>ER-00012478</t>
  </si>
  <si>
    <t>OA233</t>
  </si>
  <si>
    <t>Освежитель воздуха Бреф Делюкс Роскошь 250 мл</t>
  </si>
  <si>
    <t>ER-00013165</t>
  </si>
  <si>
    <t>OA425</t>
  </si>
  <si>
    <t>Освежитель воздуха Бреф Делюкс Энергия 250 мл</t>
  </si>
  <si>
    <t>ER-00013167</t>
  </si>
  <si>
    <t>OA426</t>
  </si>
  <si>
    <t>Освежитель воздуха Бреф Делюкс Пленительный Жасмин 280 мл</t>
  </si>
  <si>
    <t>ER-00013157</t>
  </si>
  <si>
    <t>OA427</t>
  </si>
  <si>
    <t>Освежитель воздуха Бреф Делюкс Волшебная орхидея 280 мл</t>
  </si>
  <si>
    <t>ER-00013156</t>
  </si>
  <si>
    <t>OA428</t>
  </si>
  <si>
    <t>OA417</t>
  </si>
  <si>
    <t>OA488</t>
  </si>
  <si>
    <t>OA489</t>
  </si>
  <si>
    <t>OA490</t>
  </si>
  <si>
    <t>OA581</t>
  </si>
  <si>
    <t>OA582</t>
  </si>
  <si>
    <t>OA493</t>
  </si>
  <si>
    <t>OA416</t>
  </si>
  <si>
    <t>OA494</t>
  </si>
  <si>
    <t>OA541</t>
  </si>
  <si>
    <t>OA504</t>
  </si>
  <si>
    <t>OA537</t>
  </si>
  <si>
    <t>OA444</t>
  </si>
  <si>
    <t>OA442</t>
  </si>
  <si>
    <t>OA443</t>
  </si>
  <si>
    <t>OA492</t>
  </si>
  <si>
    <t>OA615</t>
  </si>
  <si>
    <t>OA491</t>
  </si>
  <si>
    <t>OA648</t>
  </si>
  <si>
    <t>OA616</t>
  </si>
  <si>
    <t>Освежитель воздуха Home aroma Дыхание тайги</t>
  </si>
  <si>
    <t>ER-00011591</t>
  </si>
  <si>
    <t>OA634</t>
  </si>
  <si>
    <t>Освежитель воздуха Air pure Сиреневый день</t>
  </si>
  <si>
    <t>ER-00011969</t>
  </si>
  <si>
    <t>OA673</t>
  </si>
  <si>
    <t>OA619</t>
  </si>
  <si>
    <t>OA621</t>
  </si>
  <si>
    <t>Освежитель воздуха AIR PURE ALPEN FRESH Тропические цветы</t>
  </si>
  <si>
    <t>ER-00012500</t>
  </si>
  <si>
    <t>OA658</t>
  </si>
  <si>
    <t>Освежитель воздуха AIR PURE ALPEN FRESH Свежесть водопада</t>
  </si>
  <si>
    <t>ER-00012457</t>
  </si>
  <si>
    <t>OA659</t>
  </si>
  <si>
    <t>Освежитель воздуха AIR PURE ALPEN FRESH Морской бриз</t>
  </si>
  <si>
    <t>ER-00012615</t>
  </si>
  <si>
    <t>OA661</t>
  </si>
  <si>
    <t>Освежитель воздуха AIR PURE ALPEN FRESH Ароматный вернисаж</t>
  </si>
  <si>
    <t>ER-00012614</t>
  </si>
  <si>
    <t>OA660</t>
  </si>
  <si>
    <t xml:space="preserve">Освежитель воздуха Air pure Nature Тропический взрыв </t>
  </si>
  <si>
    <t>ER-00012807</t>
  </si>
  <si>
    <t>OA685</t>
  </si>
  <si>
    <t>A2</t>
  </si>
  <si>
    <t>Освежитель воздуха Flower shop Нежная фрезия и персик 300 мл</t>
  </si>
  <si>
    <t>ER-00011974</t>
  </si>
  <si>
    <t>OA209</t>
  </si>
  <si>
    <t>Освежитель воздуха Альпен Весенний сад 300 мл</t>
  </si>
  <si>
    <t>ER-00012716</t>
  </si>
  <si>
    <t>OA377</t>
  </si>
  <si>
    <t>Освежитель воздуха Альпен Нежность хлопка 300 мл</t>
  </si>
  <si>
    <t>ER-00012495</t>
  </si>
  <si>
    <t>OA378</t>
  </si>
  <si>
    <t>Освежитель воздуха Альпен Ландыш и жасмин 300 мл</t>
  </si>
  <si>
    <t>ER-00012496</t>
  </si>
  <si>
    <t>OA379</t>
  </si>
  <si>
    <t>Освежитель воздуха Альпен Антитабак 300 мл</t>
  </si>
  <si>
    <t>ER-00012707</t>
  </si>
  <si>
    <t>OA191</t>
  </si>
  <si>
    <t>Освежитель воздуха Альпен Цветок магнолии 300 мл</t>
  </si>
  <si>
    <t>ER-00012715</t>
  </si>
  <si>
    <t>OA160</t>
  </si>
  <si>
    <t>Освежитель воздуха Альпен Утренняя роса 300 мл</t>
  </si>
  <si>
    <t>ER-00012713</t>
  </si>
  <si>
    <t>OA153</t>
  </si>
  <si>
    <r>
      <t xml:space="preserve">Освежитель воздуха Прованс Солнечный апельсин 300 мл </t>
    </r>
    <r>
      <rPr>
        <b/>
        <sz val="12"/>
        <color rgb="FF000000"/>
        <rFont val="Calibri"/>
        <family val="2"/>
        <charset val="204"/>
      </rPr>
      <t>GG</t>
    </r>
  </si>
  <si>
    <t>ER-00013382</t>
  </si>
  <si>
    <t>OA408</t>
  </si>
  <si>
    <t xml:space="preserve">Освежитель воздуха Прованс Солнечный апельсин 300 мл </t>
  </si>
  <si>
    <t>ER-00011705</t>
  </si>
  <si>
    <r>
      <t xml:space="preserve">Освежитель воздуха Прованс Сирень и лаванда 300 мл </t>
    </r>
    <r>
      <rPr>
        <b/>
        <sz val="12"/>
        <color rgb="FF000000"/>
        <rFont val="Calibri"/>
        <family val="2"/>
        <charset val="204"/>
      </rPr>
      <t>GG</t>
    </r>
  </si>
  <si>
    <t>ER-00013380</t>
  </si>
  <si>
    <t>OA386</t>
  </si>
  <si>
    <t xml:space="preserve">Освежитель воздуха Прованс Сирень и лаванда 300 мл </t>
  </si>
  <si>
    <t>ER-00011712</t>
  </si>
  <si>
    <t>Дезодорант SS Ice blue мужской</t>
  </si>
  <si>
    <t>00-00001753</t>
  </si>
  <si>
    <t>DA029</t>
  </si>
  <si>
    <t>Дезодорант EDISON Golden Amber мужской</t>
  </si>
  <si>
    <t>ER-00012398</t>
  </si>
  <si>
    <t>DA025</t>
  </si>
  <si>
    <t>Дезодорант EDISON Green Vetiver мужской</t>
  </si>
  <si>
    <t>ER-00012400</t>
  </si>
  <si>
    <t>DA026</t>
  </si>
  <si>
    <t>Дезодорант EDISON Orange Bergamot мужской</t>
  </si>
  <si>
    <t>ER-00012399</t>
  </si>
  <si>
    <t>DA027</t>
  </si>
  <si>
    <t>Дезодорант EDISON Blue Aqua мужской</t>
  </si>
  <si>
    <t>ER-00012401</t>
  </si>
  <si>
    <t>DA028</t>
  </si>
  <si>
    <t>Лак для волос Professional look Fanfare Экстрасильная фиксация</t>
  </si>
  <si>
    <t>00-00010355</t>
  </si>
  <si>
    <t>UA024</t>
  </si>
  <si>
    <t>Лак для волос Professional look Fanfare Luxury Уход и фиксация</t>
  </si>
  <si>
    <t>00-00008693</t>
  </si>
  <si>
    <t>UA025</t>
  </si>
  <si>
    <t>Лак для волос Pro fixation сверхсильной фиксации товарного знака DELIVEA</t>
  </si>
  <si>
    <t>00-00011257</t>
  </si>
  <si>
    <t>UA031</t>
  </si>
  <si>
    <t>Пена для бритья EDISON для всех типов кожи с алоэ вера</t>
  </si>
  <si>
    <t>00-00010623</t>
  </si>
  <si>
    <t>BA028</t>
  </si>
  <si>
    <t>Пена для бритья EDISON для чувствительной с витаминами</t>
  </si>
  <si>
    <t>00-00010624</t>
  </si>
  <si>
    <t>BA029</t>
  </si>
  <si>
    <t>Пена для бритья DELIVEA для чувствительной кожи MEN</t>
  </si>
  <si>
    <t>ER-00011870</t>
  </si>
  <si>
    <t>BA030</t>
  </si>
  <si>
    <r>
      <t>Пена для бритья Endeavor для чувствительной кожи</t>
    </r>
    <r>
      <rPr>
        <b/>
        <sz val="12"/>
        <color rgb="FFFF0000"/>
        <rFont val="Calibri"/>
        <family val="2"/>
        <charset val="204"/>
      </rPr>
      <t xml:space="preserve"> СЛИВЕР</t>
    </r>
  </si>
  <si>
    <t>ER-00013449</t>
  </si>
  <si>
    <t>BA023</t>
  </si>
  <si>
    <t>Пена для бритья LA FRESH для чувствительной кожи 52*161</t>
  </si>
  <si>
    <t>ER-00011919</t>
  </si>
  <si>
    <t>BA037</t>
  </si>
  <si>
    <t>Антистатик VERTI Velon</t>
  </si>
  <si>
    <t>ER-00013428</t>
  </si>
  <si>
    <t>АА004</t>
  </si>
  <si>
    <t>Дезодорант-антиперспирант для ног LA FRESH, 150 мл 45*150</t>
  </si>
  <si>
    <t>00-00001026</t>
  </si>
  <si>
    <t>DA019</t>
  </si>
  <si>
    <t>Мусс для волос PROFESSIONAL TOUCH Pro-vitamin B5 Silk Protein экстрасильной фиксации, 150 мл 45*150</t>
  </si>
  <si>
    <t>00-00001658</t>
  </si>
  <si>
    <t>UA023</t>
  </si>
  <si>
    <t>Мусс для волос PROFESSIONAL TOUCH Pro-Vitamin B5&amp;Collagen сильная фиксация,150 мл 45*150</t>
  </si>
  <si>
    <t>ER-00011901</t>
  </si>
  <si>
    <t>UA032</t>
  </si>
  <si>
    <t>Мусс для волос OLIVIA Пышная грива 4 степень фиксации, 150 мл, trends 45*150</t>
  </si>
  <si>
    <t>ER-00012333</t>
  </si>
  <si>
    <t>UA018</t>
  </si>
  <si>
    <t>Мусс для волос OLIVIA Мега стойкость и Термо защита cверхсильная фиксация 6, 150 мл, fitocare 45*150</t>
  </si>
  <si>
    <t>ER-00012334</t>
  </si>
  <si>
    <t>UA021</t>
  </si>
  <si>
    <t>Мусс для волос OLIVIA Супер объем от корней мегафиксация 5, 150 мл, fitocare 45*150</t>
  </si>
  <si>
    <t>ER-00012335</t>
  </si>
  <si>
    <t>UA022</t>
  </si>
  <si>
    <t>Мусс для волос OLIVIA Expert PRO Flex&amp;Control, 150 мл 45*150</t>
  </si>
  <si>
    <t>ER-00011391</t>
  </si>
  <si>
    <t>UA019</t>
  </si>
  <si>
    <t>Мусс для волос OLIVIA Expert PRO Volume&amp;power, 150 мл 45*150</t>
  </si>
  <si>
    <t>ER-00011392</t>
  </si>
  <si>
    <t>UA020</t>
  </si>
  <si>
    <t xml:space="preserve">Дезодорант SS Ice blue мужской НД </t>
  </si>
  <si>
    <t>ER-00013566</t>
  </si>
  <si>
    <t>DA040</t>
  </si>
  <si>
    <t>DA034</t>
  </si>
  <si>
    <t>DA030</t>
  </si>
  <si>
    <t>DA032</t>
  </si>
  <si>
    <t>DA031</t>
  </si>
  <si>
    <t>DA033</t>
  </si>
  <si>
    <t>Лак для волос OLIVIA Fitocare Восстановление и Объем сильная фиксация 4</t>
  </si>
  <si>
    <t>ER-00012344</t>
  </si>
  <si>
    <t>UA036</t>
  </si>
  <si>
    <t>Лак для волос OLIVIA Fitocare Супер объем от корней мегафиксация 5</t>
  </si>
  <si>
    <t>ER-00012345</t>
  </si>
  <si>
    <t>UA037</t>
  </si>
  <si>
    <t>Лак для волос OLIVIA Fitocare Экстра блеск и Стойкость мегафиксация 5</t>
  </si>
  <si>
    <t>ER-00012346</t>
  </si>
  <si>
    <t>UA038</t>
  </si>
  <si>
    <r>
      <rPr>
        <sz val="12"/>
        <color rgb="FF000000"/>
        <rFont val="Calibri"/>
        <family val="2"/>
        <charset val="204"/>
      </rPr>
      <t xml:space="preserve">Пена для бритья 365 дней для чувствительной кожи </t>
    </r>
    <r>
      <rPr>
        <b/>
        <sz val="12"/>
        <color rgb="FFFF0000"/>
        <rFont val="Calibri"/>
        <family val="2"/>
        <charset val="204"/>
      </rPr>
      <t>СЛИВЕР</t>
    </r>
    <r>
      <rPr>
        <sz val="12"/>
        <rFont val="Calibri"/>
        <family val="2"/>
        <charset val="204"/>
      </rPr>
      <t xml:space="preserve"> 52*161</t>
    </r>
  </si>
  <si>
    <t>00-00010441</t>
  </si>
  <si>
    <t>BA038</t>
  </si>
  <si>
    <t>Пена для бритья SPORT STAR Sensеtive для чувствительной кожи с ментолом 52*161</t>
  </si>
  <si>
    <t>00-00001116</t>
  </si>
  <si>
    <t>BA046</t>
  </si>
  <si>
    <r>
      <t xml:space="preserve">Пена для бритья SPORT STAR Sensеtive для чувствительной кожи с ментолом 52*161 </t>
    </r>
    <r>
      <rPr>
        <b/>
        <sz val="12"/>
        <rFont val="Calibri"/>
        <family val="2"/>
        <charset val="204"/>
      </rPr>
      <t>GG</t>
    </r>
  </si>
  <si>
    <t>ER-00013408</t>
  </si>
  <si>
    <r>
      <t xml:space="preserve">Пена для бритья SPORT STAR Regular для всех типов кожи 52*161 </t>
    </r>
    <r>
      <rPr>
        <b/>
        <sz val="12"/>
        <rFont val="Calibri"/>
        <family val="2"/>
        <charset val="204"/>
      </rPr>
      <t>GG</t>
    </r>
  </si>
  <si>
    <t>ER-00013409</t>
  </si>
  <si>
    <t>BA050</t>
  </si>
  <si>
    <t>Пена для бритья BRAVE DAVE для чувствительной кожи мужская 52*161</t>
  </si>
  <si>
    <t>ER-00012134</t>
  </si>
  <si>
    <t>BA044</t>
  </si>
  <si>
    <t>Пена для бритья BRAVE DAVE с увлажняющим эффектом для всех типов кожи мужская 52*161</t>
  </si>
  <si>
    <t>ER-00012137</t>
  </si>
  <si>
    <t>BA045</t>
  </si>
  <si>
    <t>Пена для бритья EDISON для всех типов кожи с алоэ вера 52*195</t>
  </si>
  <si>
    <t>BA042</t>
  </si>
  <si>
    <t>Пена для бритья EDISON для чувствительной с витаминами 52*195</t>
  </si>
  <si>
    <t>BA041</t>
  </si>
  <si>
    <t>UA034</t>
  </si>
  <si>
    <t>UA035</t>
  </si>
  <si>
    <t>Лак для волос OLIVIA Fitocare Мега стойкость и Термо защита сверхсильная фиксация 6</t>
  </si>
  <si>
    <t>ER-00012347</t>
  </si>
  <si>
    <t>UA043</t>
  </si>
  <si>
    <r>
      <t>Пена для бритья SPORT STAR Sensеtive для чувствительной кожи женская</t>
    </r>
    <r>
      <rPr>
        <b/>
        <sz val="12"/>
        <color rgb="FFFF0000"/>
        <rFont val="Calibri"/>
        <family val="2"/>
        <charset val="204"/>
      </rPr>
      <t xml:space="preserve"> СЛИВЕР</t>
    </r>
  </si>
  <si>
    <t>00-00001118</t>
  </si>
  <si>
    <t>BA047</t>
  </si>
  <si>
    <t>Пена для бритья DIVING CLUB для всех типов кожи кожи 52*195</t>
  </si>
  <si>
    <t>ER-00013013</t>
  </si>
  <si>
    <t>BA048</t>
  </si>
  <si>
    <t>Пена для бритья DELIVEA для чувствительной кожи MEN 52*195</t>
  </si>
  <si>
    <t>BA039</t>
  </si>
  <si>
    <t>BA057</t>
  </si>
  <si>
    <t>BA058</t>
  </si>
  <si>
    <t>Дезодорант-спрей МОЯ ЦЕНА женский 45*140</t>
  </si>
  <si>
    <t>ER-00011917</t>
  </si>
  <si>
    <t>DA038</t>
  </si>
  <si>
    <r>
      <t xml:space="preserve">Лак для волос PROFESSIONAL TOUCH Pro vitamin B5 Silk Protein экстрасильной фиксации </t>
    </r>
    <r>
      <rPr>
        <b/>
        <sz val="12"/>
        <rFont val="Calibri"/>
        <family val="2"/>
        <charset val="204"/>
      </rPr>
      <t>GG</t>
    </r>
  </si>
  <si>
    <t>ER-00013406</t>
  </si>
  <si>
    <t>UA040</t>
  </si>
  <si>
    <t>Лак для волос PROFESSIONAL TOUCH Pro vitamin B5 Silk Protein экстрасильной фиксации</t>
  </si>
  <si>
    <t>00-00001654</t>
  </si>
  <si>
    <t>Лак для волос PROFESSIONAL TOUCH Pro vitamin B5 Multi Vitamins экстрасильной фиксации</t>
  </si>
  <si>
    <t>00-00001655</t>
  </si>
  <si>
    <t>UA042</t>
  </si>
  <si>
    <t>Лак для волос PROFESSIONAL TOUCH Pro-vitamin B5&amp;Keratin Complex экстрасильная фиксация</t>
  </si>
  <si>
    <t>ER-00011898</t>
  </si>
  <si>
    <t>UA033</t>
  </si>
  <si>
    <t xml:space="preserve">Дезодорант SS Outpace мужской НД </t>
  </si>
  <si>
    <t>ER-00013765</t>
  </si>
  <si>
    <t>DA046</t>
  </si>
  <si>
    <t xml:space="preserve">Дезодорант SS Ultra мужской НД </t>
  </si>
  <si>
    <t>ER-00013766</t>
  </si>
  <si>
    <t>DA047</t>
  </si>
  <si>
    <t>DA050</t>
  </si>
  <si>
    <t>BA052</t>
  </si>
  <si>
    <t>BA053</t>
  </si>
  <si>
    <t>BA054</t>
  </si>
  <si>
    <t>Пена для бритья Endeavor для чувствительной кожи 52*161</t>
  </si>
  <si>
    <t>00-00011017</t>
  </si>
  <si>
    <t>BA040</t>
  </si>
  <si>
    <t>Лак для волос КРАСНАЯ ЦЕНА сверхсильной фиксации 45*178</t>
  </si>
  <si>
    <t>ER-00011544</t>
  </si>
  <si>
    <t>UA039</t>
  </si>
  <si>
    <t>Антистатик VERTI Velon 45*178</t>
  </si>
  <si>
    <t>AA005</t>
  </si>
  <si>
    <t>Дезодорант-спрей МОЯ ЦЕНА мужской 45*140</t>
  </si>
  <si>
    <t>ER-00011918</t>
  </si>
  <si>
    <t>DA039</t>
  </si>
  <si>
    <t>DA049</t>
  </si>
  <si>
    <t>Дезодорант BIG D для обуви 45*140</t>
  </si>
  <si>
    <t>00-00001054</t>
  </si>
  <si>
    <t>DA035</t>
  </si>
  <si>
    <t>Дезодорант BIG D для обуви с ароматом мяты антибактериальный 45*140</t>
  </si>
  <si>
    <t>ER-00012319</t>
  </si>
  <si>
    <t>DA037</t>
  </si>
  <si>
    <t>UA045</t>
  </si>
  <si>
    <t>UA046</t>
  </si>
  <si>
    <t>BA059</t>
  </si>
  <si>
    <t>BA060</t>
  </si>
  <si>
    <t>BA061</t>
  </si>
  <si>
    <r>
      <rPr>
        <sz val="12"/>
        <color rgb="FF000000"/>
        <rFont val="Calibri"/>
        <family val="2"/>
        <charset val="204"/>
      </rPr>
      <t xml:space="preserve">Дезодорант SS Ice blue мужской СД </t>
    </r>
    <r>
      <rPr>
        <b/>
        <sz val="12"/>
        <color rgb="FFFF0000"/>
        <rFont val="Calibri"/>
        <family val="2"/>
        <charset val="204"/>
      </rPr>
      <t>СЛИВЕР</t>
    </r>
    <r>
      <rPr>
        <sz val="12"/>
        <color rgb="FF000000"/>
        <rFont val="Calibri"/>
        <family val="2"/>
        <charset val="204"/>
      </rPr>
      <t xml:space="preserve"> 52*120</t>
    </r>
  </si>
  <si>
    <t>ER-00013231</t>
  </si>
  <si>
    <t>DA051</t>
  </si>
  <si>
    <r>
      <t xml:space="preserve">Дезодорант мужской Древесно-цитрусовый Красная цена </t>
    </r>
    <r>
      <rPr>
        <b/>
        <sz val="12"/>
        <color rgb="FFFF0000"/>
        <rFont val="Calibri"/>
        <family val="2"/>
        <charset val="204"/>
      </rPr>
      <t>СЛИВЕР</t>
    </r>
    <r>
      <rPr>
        <sz val="12"/>
        <rFont val="Calibri"/>
        <family val="2"/>
        <charset val="204"/>
      </rPr>
      <t xml:space="preserve"> 52*120</t>
    </r>
  </si>
  <si>
    <t>ER-00012752</t>
  </si>
  <si>
    <t>DA048</t>
  </si>
  <si>
    <t>DA042</t>
  </si>
  <si>
    <t>DA043</t>
  </si>
  <si>
    <t>DA044</t>
  </si>
  <si>
    <t>DA045</t>
  </si>
  <si>
    <t>UA047</t>
  </si>
  <si>
    <t>UA048</t>
  </si>
  <si>
    <t>UA053</t>
  </si>
  <si>
    <t>UA051</t>
  </si>
  <si>
    <t>UA044</t>
  </si>
  <si>
    <t>BA064</t>
  </si>
  <si>
    <t>DA052</t>
  </si>
  <si>
    <t>DA053</t>
  </si>
  <si>
    <t>DA054</t>
  </si>
  <si>
    <t>DA055</t>
  </si>
  <si>
    <r>
      <rPr>
        <sz val="12"/>
        <color rgb="FF000000"/>
        <rFont val="Calibri"/>
        <family val="2"/>
        <charset val="204"/>
      </rPr>
      <t xml:space="preserve">Пена для бритья EDISON для всех типов кожи с алоэ вера 52*195 </t>
    </r>
    <r>
      <rPr>
        <b/>
        <sz val="12"/>
        <color rgb="FFFF0000"/>
        <rFont val="Calibri"/>
        <family val="2"/>
        <charset val="204"/>
      </rPr>
      <t>СЛИВЕР</t>
    </r>
  </si>
  <si>
    <t>ER-00013796</t>
  </si>
  <si>
    <t>BA070</t>
  </si>
  <si>
    <r>
      <t>Пена для бритья EDISON для чувствительной с витаминами 52*195</t>
    </r>
    <r>
      <rPr>
        <b/>
        <sz val="12"/>
        <color rgb="FFFF0000"/>
        <rFont val="Calibri"/>
        <family val="2"/>
        <charset val="204"/>
      </rPr>
      <t xml:space="preserve"> СЛИВЕР</t>
    </r>
  </si>
  <si>
    <t>ER-00013797</t>
  </si>
  <si>
    <t>BA071</t>
  </si>
  <si>
    <r>
      <rPr>
        <sz val="12"/>
        <color rgb="FF000000"/>
        <rFont val="Calibri"/>
        <family val="2"/>
        <charset val="204"/>
      </rPr>
      <t xml:space="preserve">Пена для бритья 365 дней для чувствительной кожи </t>
    </r>
    <r>
      <rPr>
        <b/>
        <sz val="12"/>
        <color rgb="FFFF0000"/>
        <rFont val="Calibri"/>
        <family val="2"/>
        <charset val="204"/>
      </rPr>
      <t>СЛИВЕР</t>
    </r>
    <r>
      <rPr>
        <sz val="12"/>
        <color rgb="FF000000"/>
        <rFont val="Calibri"/>
        <family val="2"/>
        <charset val="204"/>
      </rPr>
      <t xml:space="preserve"> 52*161</t>
    </r>
  </si>
  <si>
    <t>BA067</t>
  </si>
  <si>
    <r>
      <rPr>
        <sz val="12"/>
        <color rgb="FF000000"/>
        <rFont val="Calibri"/>
        <family val="2"/>
        <charset val="204"/>
      </rPr>
      <t>Пена для бритья SPORT STAR Sensеtive для чувствительной кожи женская</t>
    </r>
    <r>
      <rPr>
        <b/>
        <sz val="12"/>
        <color rgb="FFFF0000"/>
        <rFont val="Calibri"/>
        <family val="2"/>
        <charset val="204"/>
      </rPr>
      <t xml:space="preserve"> СЛИВЕР</t>
    </r>
  </si>
  <si>
    <t>BA069</t>
  </si>
  <si>
    <t>BA068</t>
  </si>
  <si>
    <t>BA043</t>
  </si>
  <si>
    <t>BA065</t>
  </si>
  <si>
    <t>BA066</t>
  </si>
  <si>
    <r>
      <t xml:space="preserve">Дезодорант Каждый день Diving Club Заряд Свежести мужской </t>
    </r>
    <r>
      <rPr>
        <b/>
        <sz val="12"/>
        <color rgb="FFFF0000"/>
        <rFont val="Calibri"/>
        <family val="2"/>
        <charset val="204"/>
      </rPr>
      <t>СЛИВЕР</t>
    </r>
    <r>
      <rPr>
        <sz val="12"/>
        <rFont val="Calibri"/>
        <family val="2"/>
        <charset val="204"/>
      </rPr>
      <t xml:space="preserve"> 45*140</t>
    </r>
  </si>
  <si>
    <t>00-00010608</t>
  </si>
  <si>
    <t>DA041</t>
  </si>
  <si>
    <r>
      <t xml:space="preserve">Дезодорант Каждый день Фруктовый женский </t>
    </r>
    <r>
      <rPr>
        <b/>
        <sz val="12"/>
        <color rgb="FFFF0000"/>
        <rFont val="Calibri"/>
        <family val="2"/>
        <charset val="204"/>
      </rPr>
      <t>СЛИВЕР</t>
    </r>
    <r>
      <rPr>
        <sz val="12"/>
        <rFont val="Calibri"/>
        <family val="2"/>
        <charset val="204"/>
      </rPr>
      <t xml:space="preserve"> 45*140</t>
    </r>
  </si>
  <si>
    <t>ER-00013592</t>
  </si>
  <si>
    <t>DA060</t>
  </si>
  <si>
    <t>Дезодорант женский Аква-цветочный Красная цена 45*140</t>
  </si>
  <si>
    <t>00-00011026</t>
  </si>
  <si>
    <t>DA057</t>
  </si>
  <si>
    <t>UA052</t>
  </si>
  <si>
    <t>А3</t>
  </si>
  <si>
    <t xml:space="preserve">Освежитель воздуха Либерхаус Тропический остров </t>
  </si>
  <si>
    <t>00-00001703</t>
  </si>
  <si>
    <t>OA348</t>
  </si>
  <si>
    <t>Освежитель воздуха Прованс Фруктовый десерт 250 мл</t>
  </si>
  <si>
    <t>ER-00012049</t>
  </si>
  <si>
    <t>OA211</t>
  </si>
  <si>
    <t>Освежитель воздуха Прованс Райское наслаждение 250 мл</t>
  </si>
  <si>
    <t>ER-00012048</t>
  </si>
  <si>
    <t>OA364</t>
  </si>
  <si>
    <r>
      <t xml:space="preserve">Освежитель воздуха Прованс Бодрящий лайм 250 мл </t>
    </r>
    <r>
      <rPr>
        <b/>
        <sz val="12"/>
        <color rgb="FF000000"/>
        <rFont val="Calibri"/>
        <family val="2"/>
        <charset val="204"/>
      </rPr>
      <t>GG</t>
    </r>
  </si>
  <si>
    <t>ER-00013392</t>
  </si>
  <si>
    <t>OA188</t>
  </si>
  <si>
    <t>Освежитель воздуха Прованс Бодрящий лайм 250 мл</t>
  </si>
  <si>
    <t>ER-00012044</t>
  </si>
  <si>
    <t>Освежитель воздуха Прованс Антитабак. Манго и ваниль. Блокатор запахов 250 мл</t>
  </si>
  <si>
    <t>ER-00012046</t>
  </si>
  <si>
    <t>OA175</t>
  </si>
  <si>
    <r>
      <t xml:space="preserve">Освежитель воздуха Прованс Антитабак. Манго и ваниль. Блокатор запахов 250 мл </t>
    </r>
    <r>
      <rPr>
        <b/>
        <sz val="12"/>
        <color rgb="FF000000"/>
        <rFont val="Calibri"/>
        <family val="2"/>
        <charset val="204"/>
      </rPr>
      <t>GG</t>
    </r>
  </si>
  <si>
    <t>ER-00013390</t>
  </si>
  <si>
    <r>
      <t xml:space="preserve">Освежитель воздуха Прованс Ягодное наслаждение 250 мл </t>
    </r>
    <r>
      <rPr>
        <b/>
        <sz val="12"/>
        <color rgb="FF000000"/>
        <rFont val="Calibri"/>
        <family val="2"/>
        <charset val="204"/>
      </rPr>
      <t>GG</t>
    </r>
  </si>
  <si>
    <t>ER-00013400</t>
  </si>
  <si>
    <t>OA239</t>
  </si>
  <si>
    <t>Освежитель воздуха Прованс Ягодное наслаждение 250 мл</t>
  </si>
  <si>
    <t>ER-00012032</t>
  </si>
  <si>
    <t>Освежитель воздуха Home aroma Императорский сад</t>
  </si>
  <si>
    <t>ER-00011602</t>
  </si>
  <si>
    <t>OA316</t>
  </si>
  <si>
    <t>OA317</t>
  </si>
  <si>
    <t>Освежитель воздуха Home aroma Ананасовый пунш</t>
  </si>
  <si>
    <t>ER-00011601</t>
  </si>
  <si>
    <t>OA179</t>
  </si>
  <si>
    <t>Освежитель воздуха Air pure Антитабак Мохито</t>
  </si>
  <si>
    <t>ER-00011967</t>
  </si>
  <si>
    <t>OA314</t>
  </si>
  <si>
    <t>OA309</t>
  </si>
  <si>
    <t>OA307</t>
  </si>
  <si>
    <t>OA308</t>
  </si>
  <si>
    <t>OA306</t>
  </si>
  <si>
    <t>OA302</t>
  </si>
  <si>
    <t>OA357</t>
  </si>
  <si>
    <t>OA358</t>
  </si>
  <si>
    <t>OA359</t>
  </si>
  <si>
    <t>Освежитель воздуха Прованс Гранатовый лимонад 250 мл</t>
  </si>
  <si>
    <t>ER-00012028</t>
  </si>
  <si>
    <t>OA240</t>
  </si>
  <si>
    <t>Освежитель воздуха Прованс Лазурные альпы 250 мл</t>
  </si>
  <si>
    <t>ER-00012029</t>
  </si>
  <si>
    <t>OA241</t>
  </si>
  <si>
    <t>Освежитель воздуха Прованс Цветущая вишня 250 мл</t>
  </si>
  <si>
    <t>ER-00012045</t>
  </si>
  <si>
    <t>OA366</t>
  </si>
  <si>
    <t>OA419</t>
  </si>
  <si>
    <t>OA420</t>
  </si>
  <si>
    <t>Освежитель воздуха Прованс Цветущий прованс 250 мл</t>
  </si>
  <si>
    <t>ER-00012031</t>
  </si>
  <si>
    <t>OA365</t>
  </si>
  <si>
    <t>OA310</t>
  </si>
  <si>
    <t>OA311</t>
  </si>
  <si>
    <t>OA312</t>
  </si>
  <si>
    <t>OA313</t>
  </si>
  <si>
    <r>
      <rPr>
        <sz val="12"/>
        <color rgb="FF000000"/>
        <rFont val="Calibri"/>
        <family val="2"/>
        <charset val="204"/>
      </rPr>
      <t>Силиконовая смазка BIG D 500 мл</t>
    </r>
    <r>
      <rPr>
        <b/>
        <sz val="12"/>
        <color rgb="FFFF0000"/>
        <rFont val="Calibri"/>
        <family val="2"/>
        <charset val="204"/>
      </rPr>
      <t xml:space="preserve"> СЛИВЕР</t>
    </r>
  </si>
  <si>
    <t>ER-00011843</t>
  </si>
  <si>
    <t>CA014</t>
  </si>
  <si>
    <r>
      <t>Полироль для пластика TURTLE WAX ВИШНЯ 500 мл</t>
    </r>
    <r>
      <rPr>
        <b/>
        <sz val="12"/>
        <color rgb="FFFF0000"/>
        <rFont val="Calibri"/>
        <family val="2"/>
        <charset val="204"/>
      </rPr>
      <t xml:space="preserve"> СЛИВЕР</t>
    </r>
  </si>
  <si>
    <t>ER-00012269</t>
  </si>
  <si>
    <t>CA007</t>
  </si>
  <si>
    <r>
      <t xml:space="preserve">Полироль для пластика TURTLE WAX ЯБЛОКО 500 мл </t>
    </r>
    <r>
      <rPr>
        <b/>
        <sz val="12"/>
        <color rgb="FFFF0000"/>
        <rFont val="Calibri"/>
        <family val="2"/>
        <charset val="204"/>
      </rPr>
      <t>СЛИВЕР</t>
    </r>
  </si>
  <si>
    <t>ER-00012270</t>
  </si>
  <si>
    <t>CA006</t>
  </si>
  <si>
    <t>Освежитель воздуха Air pure Цветочная вуаль</t>
  </si>
  <si>
    <t>ER-00011964</t>
  </si>
  <si>
    <t>OA315</t>
  </si>
  <si>
    <t>OA429</t>
  </si>
  <si>
    <t>Освежитель воздуха Air pure Цветущие горы</t>
  </si>
  <si>
    <t>ER-00011968</t>
  </si>
  <si>
    <t>OA430</t>
  </si>
  <si>
    <t>OA431</t>
  </si>
  <si>
    <t>Освежитель воздуха Моя цена Тайфун НД</t>
  </si>
  <si>
    <t>00-00011160</t>
  </si>
  <si>
    <t>OA322</t>
  </si>
  <si>
    <t>Освежитель воздуха Нужные вещи Сочный лайм НД</t>
  </si>
  <si>
    <t>ER-00011672</t>
  </si>
  <si>
    <t>OA319</t>
  </si>
  <si>
    <t xml:space="preserve">Освежитель воздуха Нужные вещи Тропическая орхидея НД </t>
  </si>
  <si>
    <t>ER-00011670</t>
  </si>
  <si>
    <t>OA318</t>
  </si>
  <si>
    <t>Освежитель воздуха Нужные вещи Цветущая сакура НД</t>
  </si>
  <si>
    <t>ER-00011671</t>
  </si>
  <si>
    <t>OA320</t>
  </si>
  <si>
    <t>Освежитель воздуха Моя цена Гранат НД</t>
  </si>
  <si>
    <t>00-00011159</t>
  </si>
  <si>
    <t>OA321</t>
  </si>
  <si>
    <r>
      <t xml:space="preserve">Освежитель воздуха Либерхаус Солнечное настроение </t>
    </r>
    <r>
      <rPr>
        <b/>
        <sz val="12"/>
        <color rgb="FFFF0000"/>
        <rFont val="Calibri"/>
        <family val="2"/>
        <charset val="204"/>
      </rPr>
      <t xml:space="preserve">SRP </t>
    </r>
  </si>
  <si>
    <t>00-00001704</t>
  </si>
  <si>
    <t>OA401</t>
  </si>
  <si>
    <r>
      <t xml:space="preserve">Освежитель воздуха Либерхаус Тропический остров </t>
    </r>
    <r>
      <rPr>
        <b/>
        <sz val="12"/>
        <color rgb="FFFF0000"/>
        <rFont val="Calibri"/>
        <family val="2"/>
        <charset val="204"/>
      </rPr>
      <t xml:space="preserve">SRP </t>
    </r>
  </si>
  <si>
    <t>OA400</t>
  </si>
  <si>
    <t>OA446</t>
  </si>
  <si>
    <t>OA447</t>
  </si>
  <si>
    <t>OA448</t>
  </si>
  <si>
    <t>OA454</t>
  </si>
  <si>
    <t>OA457</t>
  </si>
  <si>
    <t>OA456</t>
  </si>
  <si>
    <t>OA455</t>
  </si>
  <si>
    <t>Освежитель воздуха Прованс Морская ривьера 250 мл</t>
  </si>
  <si>
    <t>ER-00012030</t>
  </si>
  <si>
    <t>OA368</t>
  </si>
  <si>
    <t>OA500</t>
  </si>
  <si>
    <r>
      <t>Освежитель воздуха Прованс Фруктовый десерт 250 мл</t>
    </r>
    <r>
      <rPr>
        <b/>
        <sz val="12"/>
        <color rgb="FF000000"/>
        <rFont val="Calibri"/>
        <family val="2"/>
        <charset val="204"/>
      </rPr>
      <t xml:space="preserve"> GG</t>
    </r>
  </si>
  <si>
    <t>ER-00013398</t>
  </si>
  <si>
    <t>OA501</t>
  </si>
  <si>
    <t>OA484</t>
  </si>
  <si>
    <t>OA502</t>
  </si>
  <si>
    <t>OA503</t>
  </si>
  <si>
    <t>Освежитель воздуха Прованс Королевская орхидея 250 мл</t>
  </si>
  <si>
    <t>ER-00012047</t>
  </si>
  <si>
    <t>OA367</t>
  </si>
  <si>
    <t>OA449</t>
  </si>
  <si>
    <t>OA450</t>
  </si>
  <si>
    <t>OA451</t>
  </si>
  <si>
    <t>OA452</t>
  </si>
  <si>
    <r>
      <rPr>
        <sz val="12"/>
        <color rgb="FF000000"/>
        <rFont val="Calibri"/>
        <family val="2"/>
        <charset val="204"/>
      </rPr>
      <t xml:space="preserve">Освежитель воздуха Flower shop Цветущее манго и кокос 250 мл </t>
    </r>
    <r>
      <rPr>
        <b/>
        <sz val="12"/>
        <color rgb="FFFF0000"/>
        <rFont val="Calibri"/>
        <family val="2"/>
        <charset val="204"/>
      </rPr>
      <t xml:space="preserve">СЛИВЕР </t>
    </r>
  </si>
  <si>
    <t>ER-00012637</t>
  </si>
  <si>
    <t>OA360</t>
  </si>
  <si>
    <r>
      <rPr>
        <sz val="12"/>
        <color rgb="FF000000"/>
        <rFont val="Calibri"/>
        <family val="2"/>
        <charset val="204"/>
      </rPr>
      <t xml:space="preserve">Освежитель воздуха Flower shop Апельсин и грейпфрут 250 мл </t>
    </r>
    <r>
      <rPr>
        <b/>
        <sz val="12"/>
        <color rgb="FFFF0000"/>
        <rFont val="Calibri"/>
        <family val="2"/>
        <charset val="204"/>
      </rPr>
      <t>СЛИВЕР</t>
    </r>
  </si>
  <si>
    <t>ER-00012639</t>
  </si>
  <si>
    <t>OA361</t>
  </si>
  <si>
    <r>
      <rPr>
        <sz val="12"/>
        <color rgb="FF000000"/>
        <rFont val="Calibri"/>
        <family val="2"/>
        <charset val="204"/>
      </rPr>
      <t xml:space="preserve">Освежитель воздуха Flower shop Цветок тиаре и гибискус </t>
    </r>
    <r>
      <rPr>
        <b/>
        <sz val="12"/>
        <color rgb="FFFF0000"/>
        <rFont val="Calibri"/>
        <family val="2"/>
        <charset val="204"/>
      </rPr>
      <t>СЛИВЕР</t>
    </r>
  </si>
  <si>
    <t>ER-00012640</t>
  </si>
  <si>
    <t>OA362</t>
  </si>
  <si>
    <r>
      <rPr>
        <sz val="12"/>
        <color rgb="FF000000"/>
        <rFont val="Calibri"/>
        <family val="2"/>
        <charset val="204"/>
      </rPr>
      <t xml:space="preserve">Освежитель воздуха Flower shop Морские минералы </t>
    </r>
    <r>
      <rPr>
        <b/>
        <sz val="12"/>
        <color rgb="FFFF0000"/>
        <rFont val="Calibri"/>
        <family val="2"/>
        <charset val="204"/>
      </rPr>
      <t>СЛИВЕР</t>
    </r>
  </si>
  <si>
    <t>ER-00012638</t>
  </si>
  <si>
    <t>OA363</t>
  </si>
  <si>
    <t>OA462</t>
  </si>
  <si>
    <r>
      <t>Освежитель воздуха Прованс Бодрящий лайм 250 мл</t>
    </r>
    <r>
      <rPr>
        <b/>
        <sz val="12"/>
        <color rgb="FF000000"/>
        <rFont val="Calibri"/>
        <family val="2"/>
        <charset val="204"/>
      </rPr>
      <t xml:space="preserve"> </t>
    </r>
    <r>
      <rPr>
        <b/>
        <sz val="12"/>
        <color rgb="FFFF0000"/>
        <rFont val="Calibri"/>
        <family val="2"/>
        <charset val="204"/>
      </rPr>
      <t>СЛИВЕР</t>
    </r>
  </si>
  <si>
    <t>ER-00011627</t>
  </si>
  <si>
    <t>OA512</t>
  </si>
  <si>
    <r>
      <t xml:space="preserve">Освежитель воздуха Прованс Лазурные альпы 250 мл </t>
    </r>
    <r>
      <rPr>
        <b/>
        <sz val="12"/>
        <color rgb="FF000000"/>
        <rFont val="Calibri"/>
        <family val="2"/>
        <charset val="204"/>
      </rPr>
      <t>GG</t>
    </r>
  </si>
  <si>
    <t>ER-00013397</t>
  </si>
  <si>
    <t>OA516</t>
  </si>
  <si>
    <t>OA517</t>
  </si>
  <si>
    <t>OA518</t>
  </si>
  <si>
    <t>OA513</t>
  </si>
  <si>
    <t>OA461</t>
  </si>
  <si>
    <t>OA460</t>
  </si>
  <si>
    <t>OA459</t>
  </si>
  <si>
    <t>OA467</t>
  </si>
  <si>
    <t>OA469</t>
  </si>
  <si>
    <t>OA468</t>
  </si>
  <si>
    <t>OA470</t>
  </si>
  <si>
    <t>OA463</t>
  </si>
  <si>
    <t>OA464</t>
  </si>
  <si>
    <t>OA465</t>
  </si>
  <si>
    <t>OA466</t>
  </si>
  <si>
    <t xml:space="preserve">Освежитель воздуха Созвездие ароматов By Nature </t>
  </si>
  <si>
    <t>00-00007752</t>
  </si>
  <si>
    <t>OA509</t>
  </si>
  <si>
    <r>
      <rPr>
        <sz val="12"/>
        <color rgb="FF000000"/>
        <rFont val="Calibri"/>
        <family val="2"/>
        <charset val="204"/>
      </rPr>
      <t xml:space="preserve">Освежитель воздуха Лента Цветочная вуаль </t>
    </r>
    <r>
      <rPr>
        <b/>
        <sz val="12"/>
        <color rgb="FFFF0000"/>
        <rFont val="Calibri"/>
        <family val="2"/>
        <charset val="204"/>
      </rPr>
      <t>СЛИВЕР</t>
    </r>
  </si>
  <si>
    <t>00-00010469</t>
  </si>
  <si>
    <t>OA471</t>
  </si>
  <si>
    <r>
      <rPr>
        <sz val="12"/>
        <color rgb="FF000000"/>
        <rFont val="Calibri"/>
        <family val="2"/>
        <charset val="204"/>
      </rPr>
      <t xml:space="preserve">Освежитель воздуха Лента Лесная ягода </t>
    </r>
    <r>
      <rPr>
        <b/>
        <sz val="12"/>
        <color rgb="FFFF0000"/>
        <rFont val="Calibri"/>
        <family val="2"/>
        <charset val="204"/>
      </rPr>
      <t>СЛИВЕР</t>
    </r>
  </si>
  <si>
    <t>00-00010380</t>
  </si>
  <si>
    <t>OA472</t>
  </si>
  <si>
    <r>
      <rPr>
        <sz val="12"/>
        <color rgb="FF000000"/>
        <rFont val="Calibri"/>
        <family val="2"/>
        <charset val="204"/>
      </rPr>
      <t xml:space="preserve">Освежитель воздуха Лента Королевский десерт </t>
    </r>
    <r>
      <rPr>
        <b/>
        <sz val="12"/>
        <color rgb="FFFF0000"/>
        <rFont val="Calibri"/>
        <family val="2"/>
        <charset val="204"/>
      </rPr>
      <t>СЛИВЕР</t>
    </r>
  </si>
  <si>
    <t>00-00010377</t>
  </si>
  <si>
    <t>OA473</t>
  </si>
  <si>
    <r>
      <t xml:space="preserve">Освежитель воздуха Лента Мокко </t>
    </r>
    <r>
      <rPr>
        <b/>
        <sz val="12"/>
        <color rgb="FFFF0000"/>
        <rFont val="Calibri"/>
        <family val="2"/>
        <charset val="204"/>
      </rPr>
      <t>СЛИВЕР</t>
    </r>
  </si>
  <si>
    <t>00-00010488</t>
  </si>
  <si>
    <t>OA474</t>
  </si>
  <si>
    <t>OA475</t>
  </si>
  <si>
    <t>OA476</t>
  </si>
  <si>
    <t>OA478</t>
  </si>
  <si>
    <t>OA477</t>
  </si>
  <si>
    <t>OA479</t>
  </si>
  <si>
    <t>OA547</t>
  </si>
  <si>
    <t>OA561</t>
  </si>
  <si>
    <t>OA562</t>
  </si>
  <si>
    <t>OA563</t>
  </si>
  <si>
    <t>OA564</t>
  </si>
  <si>
    <t>OA565</t>
  </si>
  <si>
    <t>OA566</t>
  </si>
  <si>
    <t>OA567</t>
  </si>
  <si>
    <t>OA568</t>
  </si>
  <si>
    <t>OA569</t>
  </si>
  <si>
    <t>OA570</t>
  </si>
  <si>
    <t>OA514</t>
  </si>
  <si>
    <t>OA558</t>
  </si>
  <si>
    <t>OA485</t>
  </si>
  <si>
    <t>Освежитель воздуха Air pure Малиновая панакота</t>
  </si>
  <si>
    <t>ER-00011966</t>
  </si>
  <si>
    <t>OA612</t>
  </si>
  <si>
    <t>OA458</t>
  </si>
  <si>
    <t>Освежитель воздуха AIR PURE ALPEN FRESH Райские фрукты</t>
  </si>
  <si>
    <t>ER-00012501</t>
  </si>
  <si>
    <t>OA356</t>
  </si>
  <si>
    <t>OA553</t>
  </si>
  <si>
    <r>
      <t xml:space="preserve">Освежитель воздуха Прованс Бодрящий лайм 250 мл </t>
    </r>
    <r>
      <rPr>
        <b/>
        <sz val="12"/>
        <color rgb="FFFF0000"/>
        <rFont val="Calibri"/>
        <family val="2"/>
        <charset val="204"/>
      </rPr>
      <t>СЛИВЕР</t>
    </r>
  </si>
  <si>
    <t>OA549</t>
  </si>
  <si>
    <t>OA550</t>
  </si>
  <si>
    <t>OA611</t>
  </si>
  <si>
    <t>OA633</t>
  </si>
  <si>
    <t>OA578</t>
  </si>
  <si>
    <t>OA577</t>
  </si>
  <si>
    <t>OA635</t>
  </si>
  <si>
    <t>OA636</t>
  </si>
  <si>
    <t>OA637</t>
  </si>
  <si>
    <t>OA638</t>
  </si>
  <si>
    <t>OA571</t>
  </si>
  <si>
    <t>OA574</t>
  </si>
  <si>
    <t>OA572</t>
  </si>
  <si>
    <t>OA573</t>
  </si>
  <si>
    <t>OA575</t>
  </si>
  <si>
    <t>OA639</t>
  </si>
  <si>
    <t>OA640</t>
  </si>
  <si>
    <t>OA642</t>
  </si>
  <si>
    <t>OA515</t>
  </si>
  <si>
    <t>OA551</t>
  </si>
  <si>
    <t>OA552</t>
  </si>
  <si>
    <t>OA554</t>
  </si>
  <si>
    <t>OA628</t>
  </si>
  <si>
    <t>OA649</t>
  </si>
  <si>
    <t>OA650</t>
  </si>
  <si>
    <t>OA651</t>
  </si>
  <si>
    <t>OA652</t>
  </si>
  <si>
    <t>OA653</t>
  </si>
  <si>
    <t>OA579</t>
  </si>
  <si>
    <t>OA654</t>
  </si>
  <si>
    <t>OA656</t>
  </si>
  <si>
    <t>OA655</t>
  </si>
  <si>
    <t>OA657</t>
  </si>
  <si>
    <t>OA663</t>
  </si>
  <si>
    <t>OA662</t>
  </si>
  <si>
    <t>OA678</t>
  </si>
  <si>
    <t>OA679</t>
  </si>
  <si>
    <t>OA680</t>
  </si>
  <si>
    <t>OA677</t>
  </si>
  <si>
    <t>OA668</t>
  </si>
  <si>
    <t>OA670</t>
  </si>
  <si>
    <t>OA671</t>
  </si>
  <si>
    <t>OA672</t>
  </si>
  <si>
    <t>OA669</t>
  </si>
  <si>
    <t>OA681</t>
  </si>
  <si>
    <t>OA682</t>
  </si>
  <si>
    <t>OA683</t>
  </si>
  <si>
    <t>OA684</t>
  </si>
  <si>
    <t>Освежитель воздуха АШАН Красная птичка Ягодный коктейль 250 мл</t>
  </si>
  <si>
    <t>00-00010901</t>
  </si>
  <si>
    <t>OA304</t>
  </si>
  <si>
    <t>Освежитель воздуха АШАН Красная птичка Пряный апельсин и клюква 250 мл</t>
  </si>
  <si>
    <t>00-00010900</t>
  </si>
  <si>
    <t>OA305</t>
  </si>
  <si>
    <t>OA664</t>
  </si>
  <si>
    <t>OA665</t>
  </si>
  <si>
    <t>OA667</t>
  </si>
  <si>
    <t>A4</t>
  </si>
  <si>
    <t xml:space="preserve">Освежитель воздуха Либерхаус Ягодный взрыв НД </t>
  </si>
  <si>
    <t>00-00001342</t>
  </si>
  <si>
    <t>OA354</t>
  </si>
  <si>
    <t>Освежитель воздуха Альпен Альпийское утро 300 мл</t>
  </si>
  <si>
    <t>ER-00012497</t>
  </si>
  <si>
    <t>OA380</t>
  </si>
  <si>
    <t>Освежитель воздуха Альпен Фиалковое поле 300 мл</t>
  </si>
  <si>
    <t>ER-00012709</t>
  </si>
  <si>
    <t>OA372</t>
  </si>
  <si>
    <t>Освежитель воздуха Альпен Цветущая яблоня 300 мл</t>
  </si>
  <si>
    <t>ER-00012712</t>
  </si>
  <si>
    <t>OA373</t>
  </si>
  <si>
    <t>Освежитель воздуха Альпен Солнечный апельсин 300 мл</t>
  </si>
  <si>
    <t>ER-00012711</t>
  </si>
  <si>
    <t>OA391</t>
  </si>
  <si>
    <t>Освежитель воздуха Альпен Карибское море 300 мл</t>
  </si>
  <si>
    <t>ER-00012708</t>
  </si>
  <si>
    <t>OA370</t>
  </si>
  <si>
    <t>Освежитель воздуха Альпен Цветы после дождя 300 мл</t>
  </si>
  <si>
    <t>ER-00012718</t>
  </si>
  <si>
    <t>OA371</t>
  </si>
  <si>
    <t>Освежитель воздуха Альпен Цитрусовая свежесть 300 мл</t>
  </si>
  <si>
    <t>ER-00012714</t>
  </si>
  <si>
    <t>OA374</t>
  </si>
  <si>
    <r>
      <t xml:space="preserve">Освежитель воздуха Прованс Бодрящий лайм 300 мл </t>
    </r>
    <r>
      <rPr>
        <b/>
        <sz val="12"/>
        <color rgb="FF000000"/>
        <rFont val="Calibri"/>
        <family val="2"/>
        <charset val="204"/>
      </rPr>
      <t>GG</t>
    </r>
  </si>
  <si>
    <t>ER-00013365</t>
  </si>
  <si>
    <t>OA382</t>
  </si>
  <si>
    <t>Освежитель воздуха Прованс Бодрящий лайм 300 мл</t>
  </si>
  <si>
    <t>ER-00011707</t>
  </si>
  <si>
    <r>
      <t xml:space="preserve">Освежитель воздуха Прованс Гранатовый лимонад 300 мл </t>
    </r>
    <r>
      <rPr>
        <b/>
        <sz val="12"/>
        <color rgb="FF000000"/>
        <rFont val="Calibri"/>
        <family val="2"/>
        <charset val="204"/>
      </rPr>
      <t>GG</t>
    </r>
  </si>
  <si>
    <t>ER-00013366</t>
  </si>
  <si>
    <t>OA383</t>
  </si>
  <si>
    <t>Освежитель воздуха Прованс Гранатовый лимонад 300 мл</t>
  </si>
  <si>
    <t>ER-00011708</t>
  </si>
  <si>
    <r>
      <t xml:space="preserve">Освежитель воздуха Прованс Лазурные альпы 300 мл </t>
    </r>
    <r>
      <rPr>
        <b/>
        <sz val="12"/>
        <color rgb="FF000000"/>
        <rFont val="Calibri"/>
        <family val="2"/>
        <charset val="204"/>
      </rPr>
      <t>GG</t>
    </r>
  </si>
  <si>
    <t>ER-00013371</t>
  </si>
  <si>
    <t>OA406</t>
  </si>
  <si>
    <t>Освежитель воздуха Прованс Крымские каникулы 300 мл</t>
  </si>
  <si>
    <t>ER-00011704</t>
  </si>
  <si>
    <t>OA384</t>
  </si>
  <si>
    <r>
      <t xml:space="preserve">Освежитель воздуха Прованс Цветущий прованс 300 мл </t>
    </r>
    <r>
      <rPr>
        <b/>
        <sz val="12"/>
        <color rgb="FF000000"/>
        <rFont val="Calibri"/>
        <family val="2"/>
        <charset val="204"/>
      </rPr>
      <t>GG</t>
    </r>
  </si>
  <si>
    <t>ER-00013386</t>
  </si>
  <si>
    <t>OA387</t>
  </si>
  <si>
    <t xml:space="preserve">Освежитель воздуха Прованс Цветущий прованс 300 мл </t>
  </si>
  <si>
    <t>ER-00011714</t>
  </si>
  <si>
    <t xml:space="preserve">Освежитель воздуха Прованс Морская ривьера 300 мл </t>
  </si>
  <si>
    <t>ER-00011710</t>
  </si>
  <si>
    <t>OA350</t>
  </si>
  <si>
    <r>
      <t xml:space="preserve">Освежитель воздуха Прованс Морская ривьера 300 мл </t>
    </r>
    <r>
      <rPr>
        <b/>
        <sz val="12"/>
        <color rgb="FF000000"/>
        <rFont val="Calibri"/>
        <family val="2"/>
        <charset val="204"/>
      </rPr>
      <t>GG</t>
    </r>
  </si>
  <si>
    <t>ER-00013373</t>
  </si>
  <si>
    <r>
      <t xml:space="preserve">Освежитель воздуха Прованс Фруктовый десерт 300 мл </t>
    </r>
    <r>
      <rPr>
        <b/>
        <sz val="12"/>
        <color rgb="FF000000"/>
        <rFont val="Calibri"/>
        <family val="2"/>
        <charset val="204"/>
      </rPr>
      <t>GG</t>
    </r>
  </si>
  <si>
    <t>ER-00013384</t>
  </si>
  <si>
    <t>OA352</t>
  </si>
  <si>
    <r>
      <t xml:space="preserve">Освежитель воздуха Прованс Ягодное наслаждение 300 мл </t>
    </r>
    <r>
      <rPr>
        <b/>
        <sz val="12"/>
        <rFont val="Calibri"/>
        <family val="2"/>
        <charset val="204"/>
      </rPr>
      <t>GG</t>
    </r>
  </si>
  <si>
    <t>ER-00013388</t>
  </si>
  <si>
    <t>OA273</t>
  </si>
  <si>
    <t xml:space="preserve">Освежитель воздуха Прованс Ягодное наслаждение 300 мл </t>
  </si>
  <si>
    <t>ER-00011706</t>
  </si>
  <si>
    <t>Освежитель воздуха VERTI Air Pure Сиреневый день</t>
  </si>
  <si>
    <t>ER-00012788</t>
  </si>
  <si>
    <t>OA326</t>
  </si>
  <si>
    <t>Освежитель воздуха VERTI Air Pure Белый пион</t>
  </si>
  <si>
    <t>ER-00012913</t>
  </si>
  <si>
    <t>OA327</t>
  </si>
  <si>
    <t>Освежитель воздуха VERTI Air Pure Океанский бриз</t>
  </si>
  <si>
    <t>ER-00012915</t>
  </si>
  <si>
    <t>OA328</t>
  </si>
  <si>
    <t>Освежитель воздуха VERTI Air Pure После дождя</t>
  </si>
  <si>
    <t>ER-00012787</t>
  </si>
  <si>
    <t>OA329</t>
  </si>
  <si>
    <t>Освежитель воздуха VERTI Air Pure Свежесть белья</t>
  </si>
  <si>
    <t>ER-00012914</t>
  </si>
  <si>
    <t>OA330</t>
  </si>
  <si>
    <t>Освежитель воздуха VERTI Air Pure Антитабак Мохито</t>
  </si>
  <si>
    <t>ER-00012785</t>
  </si>
  <si>
    <t>OA331</t>
  </si>
  <si>
    <t>Освежитель воздуха VERTI Air Pure Цветущие горы</t>
  </si>
  <si>
    <t>ER-00012786</t>
  </si>
  <si>
    <t>OA332</t>
  </si>
  <si>
    <t>Освежитель воздуха Альпен Горный водопад 300 мл</t>
  </si>
  <si>
    <t>ER-00012717</t>
  </si>
  <si>
    <t>OA259</t>
  </si>
  <si>
    <t>OA423</t>
  </si>
  <si>
    <t>Освежитель воздуха Альпен Манго и гранат 300 мл</t>
  </si>
  <si>
    <t>ER-00012498</t>
  </si>
  <si>
    <t>OA260</t>
  </si>
  <si>
    <t>OA421</t>
  </si>
  <si>
    <t>Освежитель воздуха Альпен Лесные ягоды 300 мл</t>
  </si>
  <si>
    <t>ER-00012710</t>
  </si>
  <si>
    <t>OA192</t>
  </si>
  <si>
    <t>OA257</t>
  </si>
  <si>
    <t>OA422</t>
  </si>
  <si>
    <t>Освежитель воздуха Альпен Голубая лагуна 300 мл</t>
  </si>
  <si>
    <t>ER-00012499</t>
  </si>
  <si>
    <t>OA392</t>
  </si>
  <si>
    <r>
      <rPr>
        <sz val="12"/>
        <color rgb="FF000000"/>
        <rFont val="Calibri"/>
        <family val="2"/>
        <charset val="204"/>
      </rPr>
      <t xml:space="preserve">Освежитель воздуха Либерхаус Ягодный взрыв НД </t>
    </r>
    <r>
      <rPr>
        <b/>
        <sz val="12"/>
        <color rgb="FFFF0000"/>
        <rFont val="Calibri"/>
        <family val="2"/>
        <charset val="204"/>
      </rPr>
      <t>Сливер</t>
    </r>
  </si>
  <si>
    <t>ER-00011988</t>
  </si>
  <si>
    <t>OA218</t>
  </si>
  <si>
    <t>Освежитель воздуха Либерхаус После дождя НД</t>
  </si>
  <si>
    <t>00-00001341</t>
  </si>
  <si>
    <t>OA336</t>
  </si>
  <si>
    <t xml:space="preserve">Освежитель воздуха серии Verti Антитабак </t>
  </si>
  <si>
    <t>00-00010648</t>
  </si>
  <si>
    <t>OA324</t>
  </si>
  <si>
    <t>Освежитель воздуха серии Verti Лайм</t>
  </si>
  <si>
    <t>00-00010637</t>
  </si>
  <si>
    <t>OA323</t>
  </si>
  <si>
    <t>Освежитель воздуха серии Verti Морские минералы</t>
  </si>
  <si>
    <t>00-00010647</t>
  </si>
  <si>
    <t>OA325</t>
  </si>
  <si>
    <t>Освежитель воздуха Ашан Сирень</t>
  </si>
  <si>
    <t>00-00000265</t>
  </si>
  <si>
    <t>OA333</t>
  </si>
  <si>
    <t>Освежитель воздуха Ашан Лайм</t>
  </si>
  <si>
    <t>00-00000264</t>
  </si>
  <si>
    <t>OA334</t>
  </si>
  <si>
    <t>Освежитель воздуха Ашан Океан</t>
  </si>
  <si>
    <t>00-00000266</t>
  </si>
  <si>
    <t>OA335</t>
  </si>
  <si>
    <t>Освежитель воздуха Flower shop После дождя 300 мл</t>
  </si>
  <si>
    <t>ER-00012703</t>
  </si>
  <si>
    <t>OA388</t>
  </si>
  <si>
    <t>OA403</t>
  </si>
  <si>
    <t>OA208</t>
  </si>
  <si>
    <t>Освежитель воздуха Flower shop Апельсин и грейпфрут 300 мл</t>
  </si>
  <si>
    <t>ER-00012702</t>
  </si>
  <si>
    <t>OA389</t>
  </si>
  <si>
    <t>OA404</t>
  </si>
  <si>
    <t>Освежитель воздуха Flower shop Цветок тиаре и гибискус 300 мл</t>
  </si>
  <si>
    <t>ER-00011975</t>
  </si>
  <si>
    <t>OA486</t>
  </si>
  <si>
    <t>Освежитель воздуха Flower shop Клубника и орхидея 300 мл</t>
  </si>
  <si>
    <t>ER-00012700</t>
  </si>
  <si>
    <t>OA495</t>
  </si>
  <si>
    <t>OA487</t>
  </si>
  <si>
    <t>OA480</t>
  </si>
  <si>
    <t>OA481</t>
  </si>
  <si>
    <t>OA496</t>
  </si>
  <si>
    <t>OA499</t>
  </si>
  <si>
    <t>Текстурирующий сухой спрей HOLLY POLLY текстура и экстра-объем, 200 мл</t>
  </si>
  <si>
    <t>ER-00013150</t>
  </si>
  <si>
    <t>SA001</t>
  </si>
  <si>
    <t>OA483</t>
  </si>
  <si>
    <t>OA482</t>
  </si>
  <si>
    <t>OA340</t>
  </si>
  <si>
    <t>OA341</t>
  </si>
  <si>
    <t>OA342</t>
  </si>
  <si>
    <t>OA337</t>
  </si>
  <si>
    <t>OA338</t>
  </si>
  <si>
    <t>OA339</t>
  </si>
  <si>
    <t>OA343</t>
  </si>
  <si>
    <t>OA344</t>
  </si>
  <si>
    <t>OA345</t>
  </si>
  <si>
    <t>OA346</t>
  </si>
  <si>
    <t>OA441</t>
  </si>
  <si>
    <t>OA445</t>
  </si>
  <si>
    <t>OA440</t>
  </si>
  <si>
    <t>Освежитель воздуха АШАН Красная птичка Сочное яблоко и корица 300 мл</t>
  </si>
  <si>
    <t>00-00010876</t>
  </si>
  <si>
    <t>OA505</t>
  </si>
  <si>
    <t>Освежитель воздуха АШАН Красная птичка Фруктовый мармелад 300 мл</t>
  </si>
  <si>
    <t>00-00010875</t>
  </si>
  <si>
    <t>OA507</t>
  </si>
  <si>
    <t>Освежитель воздуха АШАН Красная птичка Сицилийский мандарин и карамель 300 мл</t>
  </si>
  <si>
    <t>00-00010874</t>
  </si>
  <si>
    <t>OA545</t>
  </si>
  <si>
    <t>Освежитель воздуха АШАН Красная птичка Ароматная Кола 300 мл</t>
  </si>
  <si>
    <t>00-00010873</t>
  </si>
  <si>
    <t>OA546</t>
  </si>
  <si>
    <t>OA524</t>
  </si>
  <si>
    <t>Освежитель воздуха Прованс Лазурные альпы 300 мл</t>
  </si>
  <si>
    <t>ER-00011709</t>
  </si>
  <si>
    <t>OA530</t>
  </si>
  <si>
    <r>
      <t xml:space="preserve">Освежитель воздуха Прованс После дождя 300 мл </t>
    </r>
    <r>
      <rPr>
        <b/>
        <sz val="12"/>
        <color rgb="FF000000"/>
        <rFont val="Calibri"/>
        <family val="2"/>
        <charset val="204"/>
      </rPr>
      <t>GG</t>
    </r>
  </si>
  <si>
    <t>ER-00013378</t>
  </si>
  <si>
    <t>OA521</t>
  </si>
  <si>
    <r>
      <t xml:space="preserve">Освежитель воздуха Прованс Нежный пион 300 мл </t>
    </r>
    <r>
      <rPr>
        <b/>
        <sz val="12"/>
        <color rgb="FF000000"/>
        <rFont val="Calibri"/>
        <family val="2"/>
        <charset val="204"/>
      </rPr>
      <t>GG</t>
    </r>
  </si>
  <si>
    <t>ER-00013375</t>
  </si>
  <si>
    <t>OA522</t>
  </si>
  <si>
    <t>OA529</t>
  </si>
  <si>
    <t>OA536</t>
  </si>
  <si>
    <t>OA526</t>
  </si>
  <si>
    <t>Освежитель воздуха Прованс Антитабак 300 мл</t>
  </si>
  <si>
    <t>ER-00011703</t>
  </si>
  <si>
    <t>OA525</t>
  </si>
  <si>
    <r>
      <t xml:space="preserve">Освежитель воздуха Прованс Антитабак 300 мл </t>
    </r>
    <r>
      <rPr>
        <b/>
        <sz val="12"/>
        <color rgb="FF000000"/>
        <rFont val="Calibri"/>
        <family val="2"/>
        <charset val="204"/>
      </rPr>
      <t>GG</t>
    </r>
  </si>
  <si>
    <t>ER-00013364</t>
  </si>
  <si>
    <t>OA548</t>
  </si>
  <si>
    <t>ER-00013814</t>
  </si>
  <si>
    <t>OA584</t>
  </si>
  <si>
    <t>OA498</t>
  </si>
  <si>
    <t>ER-00013813</t>
  </si>
  <si>
    <t>OA613</t>
  </si>
  <si>
    <t>Освежитель воздуха Flower shop Цвеущее манго и кокос 300 мл</t>
  </si>
  <si>
    <t>ER-00011972</t>
  </si>
  <si>
    <t>OA405</t>
  </si>
  <si>
    <t>OA585</t>
  </si>
  <si>
    <t>OA586</t>
  </si>
  <si>
    <t>OA587</t>
  </si>
  <si>
    <t>OA588</t>
  </si>
  <si>
    <t>OA555</t>
  </si>
  <si>
    <t>OA556</t>
  </si>
  <si>
    <t>OA589</t>
  </si>
  <si>
    <t>OA592</t>
  </si>
  <si>
    <t>OA593</t>
  </si>
  <si>
    <t>OA595</t>
  </si>
  <si>
    <t>OA594</t>
  </si>
  <si>
    <t>OA596</t>
  </si>
  <si>
    <t>OA597</t>
  </si>
  <si>
    <t>OA591</t>
  </si>
  <si>
    <t>OA590</t>
  </si>
  <si>
    <t>OA580</t>
  </si>
  <si>
    <t>ER-00013374</t>
  </si>
  <si>
    <t>OA533</t>
  </si>
  <si>
    <t>ER-00013808</t>
  </si>
  <si>
    <t>OA603</t>
  </si>
  <si>
    <t>OA599</t>
  </si>
  <si>
    <t>OA600</t>
  </si>
  <si>
    <t>OA601</t>
  </si>
  <si>
    <t>OA598</t>
  </si>
  <si>
    <t>OA645</t>
  </si>
  <si>
    <t>OA647</t>
  </si>
  <si>
    <t>OA607</t>
  </si>
  <si>
    <t>OA608</t>
  </si>
  <si>
    <t>ER-00013806</t>
  </si>
  <si>
    <t>OA605</t>
  </si>
  <si>
    <t>ER-00013807</t>
  </si>
  <si>
    <t>OA606</t>
  </si>
  <si>
    <t>ER-00013809</t>
  </si>
  <si>
    <t>OA614</t>
  </si>
  <si>
    <t>ER-00013801</t>
  </si>
  <si>
    <t>OA629</t>
  </si>
  <si>
    <t>ER-00013798</t>
  </si>
  <si>
    <t>OA696</t>
  </si>
  <si>
    <t>ER-00013800</t>
  </si>
  <si>
    <t>OA697</t>
  </si>
  <si>
    <t>ER-00013805</t>
  </si>
  <si>
    <t>OA699</t>
  </si>
  <si>
    <t>OA609</t>
  </si>
  <si>
    <t>OA610</t>
  </si>
  <si>
    <t>OA701</t>
  </si>
  <si>
    <t>OA702</t>
  </si>
  <si>
    <t>OA703</t>
  </si>
  <si>
    <t>OA687</t>
  </si>
  <si>
    <t>OA688</t>
  </si>
  <si>
    <t>OA689</t>
  </si>
  <si>
    <t>OA692</t>
  </si>
  <si>
    <t>OA693</t>
  </si>
  <si>
    <t>OA694</t>
  </si>
  <si>
    <t>OA721</t>
  </si>
  <si>
    <t>OA690</t>
  </si>
  <si>
    <t>OA704</t>
  </si>
  <si>
    <t>OA705</t>
  </si>
  <si>
    <t>ER-00013811</t>
  </si>
  <si>
    <t>OA695</t>
  </si>
  <si>
    <t>Освежитель воздуха Прованс Нежный пион  300 мл</t>
  </si>
  <si>
    <t>ER-00011711</t>
  </si>
  <si>
    <t>OA723</t>
  </si>
  <si>
    <t>Освежитель воздуха Прованс Гранатовый лимонад  300 мл</t>
  </si>
  <si>
    <t>OA724</t>
  </si>
  <si>
    <t>Освежитель воздуха Прованс После дождя  300 мл</t>
  </si>
  <si>
    <t>00-00001629</t>
  </si>
  <si>
    <t>OA716</t>
  </si>
  <si>
    <r>
      <t xml:space="preserve">Освежитель воздуха Прованс После дождя  300 мл </t>
    </r>
    <r>
      <rPr>
        <b/>
        <sz val="12"/>
        <color rgb="FF000000"/>
        <rFont val="Calibri"/>
        <family val="2"/>
        <charset val="204"/>
      </rPr>
      <t>GG</t>
    </r>
  </si>
  <si>
    <t xml:space="preserve">Освежитель воздуха Прованс Лазурные альпы 300 мл </t>
  </si>
  <si>
    <t>OA718</t>
  </si>
  <si>
    <t>OA381</t>
  </si>
  <si>
    <t xml:space="preserve">Освежитель воздуха Прованс Антитабак 300 мл </t>
  </si>
  <si>
    <r>
      <t xml:space="preserve">Освежитель воздуха Прованс Ягодное наслаждение  300 мл </t>
    </r>
    <r>
      <rPr>
        <b/>
        <sz val="12"/>
        <color rgb="FF000000"/>
        <rFont val="Calibri"/>
        <family val="2"/>
        <charset val="204"/>
      </rPr>
      <t>GG</t>
    </r>
  </si>
  <si>
    <t>OA720</t>
  </si>
  <si>
    <t xml:space="preserve">Освежитель воздуха Прованс Ягодное наслаждение  300 мл </t>
  </si>
  <si>
    <t>OA708</t>
  </si>
  <si>
    <t>OA707</t>
  </si>
  <si>
    <t>Сухой шампунь NATURA SIBERICA Ice, 200 мл</t>
  </si>
  <si>
    <t>ER-00012675</t>
  </si>
  <si>
    <t>SA002</t>
  </si>
  <si>
    <t>Код</t>
  </si>
  <si>
    <t>Номенклатура</t>
  </si>
  <si>
    <t>Английское наименование</t>
  </si>
  <si>
    <t>Бренд.ENG</t>
  </si>
  <si>
    <t>Группа номенклатуры.Наименование на анг</t>
  </si>
  <si>
    <t>ТипНоменклатуры.Наименование на анг</t>
  </si>
  <si>
    <t>ER-00011869</t>
  </si>
  <si>
    <t>Пена для бритья DELIVEA для чувствительной кожи MEN, 300 мл</t>
  </si>
  <si>
    <t>ER-00012133</t>
  </si>
  <si>
    <t>Пена для бритья BRAVE DAVE</t>
  </si>
  <si>
    <t>ER-00012138</t>
  </si>
  <si>
    <t>Пена для бритья Flory STORY</t>
  </si>
  <si>
    <t>ER-00012197</t>
  </si>
  <si>
    <t>Освежитель воздуха САМОКАТ</t>
  </si>
  <si>
    <t>ER-00012198</t>
  </si>
  <si>
    <t>Освежитель воздуха САМОКАТ сухое распыление</t>
  </si>
  <si>
    <t>ER-00012473</t>
  </si>
  <si>
    <t>Освежитель воздуха AIR WICK (сменный аэрозольный баллон)</t>
  </si>
  <si>
    <t>ER-00012564</t>
  </si>
  <si>
    <t>Антистатик, 200 мл</t>
  </si>
  <si>
    <t>ER-00012609</t>
  </si>
  <si>
    <t>ДИКСИ</t>
  </si>
  <si>
    <t>ER-00012670</t>
  </si>
  <si>
    <t>Натура Сиберика</t>
  </si>
  <si>
    <t>ER-00012674</t>
  </si>
  <si>
    <t xml:space="preserve">СУХОЙ ШАМПУНЬ Natura Siberica </t>
  </si>
  <si>
    <t>ER-00012677</t>
  </si>
  <si>
    <t>Лак для волос YES´S</t>
  </si>
  <si>
    <t>ER-00012736</t>
  </si>
  <si>
    <t>ГАЛАМАРТ</t>
  </si>
  <si>
    <t>ER-00012740</t>
  </si>
  <si>
    <t>Освежители воздуха FLOWER SHOP (рефилл)</t>
  </si>
  <si>
    <t>ER-00012875</t>
  </si>
  <si>
    <t>Освежители воздуха VERTI 250 мл, рефилл</t>
  </si>
  <si>
    <t>ER-00012964</t>
  </si>
  <si>
    <t>PROFESSIONAL TOUCH</t>
  </si>
  <si>
    <t>ER-00012940</t>
  </si>
  <si>
    <t>Антиперспирант SPORT STAR мужской</t>
  </si>
  <si>
    <t>ER-00012977</t>
  </si>
  <si>
    <t>ДМ ЕЩЁ</t>
  </si>
  <si>
    <t>ER-00012979</t>
  </si>
  <si>
    <t>Полироль серии VELON PRO 300 мл</t>
  </si>
  <si>
    <t>ER-00013120</t>
  </si>
  <si>
    <t>USE IT</t>
  </si>
  <si>
    <t>ER-00013149</t>
  </si>
  <si>
    <t>Си Ай Ди Групп</t>
  </si>
  <si>
    <t>ER-00013154</t>
  </si>
  <si>
    <t>ЛАБ ИНДАСТРИЗ</t>
  </si>
  <si>
    <t>ER-00013187</t>
  </si>
  <si>
    <t>Пена EASYGLIDE</t>
  </si>
  <si>
    <t>ER-00013330</t>
  </si>
  <si>
    <t>Пена для бритья BODY&amp;UP</t>
  </si>
  <si>
    <t>ER-00013332</t>
  </si>
  <si>
    <t>ER-00013427</t>
  </si>
  <si>
    <t>Антистатики VELON</t>
  </si>
  <si>
    <t>ER-00013429</t>
  </si>
  <si>
    <t>Антистатик  Verti Velon 200мл</t>
  </si>
  <si>
    <t>ER-00013491</t>
  </si>
  <si>
    <t>Дезодорант MORIKI DORIKI</t>
  </si>
  <si>
    <t>ER-00013630</t>
  </si>
  <si>
    <t xml:space="preserve">Освежитель воздуха интерьерный VERTI Terre de fleurs </t>
  </si>
  <si>
    <t>ER-00013686</t>
  </si>
  <si>
    <t>ИП ХАВАНСКИЙ</t>
  </si>
  <si>
    <t>ER-00013756</t>
  </si>
  <si>
    <t>Мусс для душа USE IT 200 мл</t>
  </si>
  <si>
    <t>00-00006737</t>
  </si>
  <si>
    <t>ГОТОВАЯ ПРОДУКЦИЯ</t>
  </si>
  <si>
    <t>00-00006775</t>
  </si>
  <si>
    <t>Дезодорант для ног LA FRESH</t>
  </si>
  <si>
    <t>00-00006781</t>
  </si>
  <si>
    <t>Дезодорант-антиперспирант Royal barber</t>
  </si>
  <si>
    <t>00-00006782</t>
  </si>
  <si>
    <t>ТАРГЕТ</t>
  </si>
  <si>
    <t>00-00006783</t>
  </si>
  <si>
    <t>Пена для ванны 75 мл</t>
  </si>
  <si>
    <t>00-00006784</t>
  </si>
  <si>
    <t>Пена для бритья ROYAL BARBER 200 мл</t>
  </si>
  <si>
    <t>00-00006785</t>
  </si>
  <si>
    <t>Пена для бритья Carelax</t>
  </si>
  <si>
    <t>00-00006787</t>
  </si>
  <si>
    <t>Средство дезинфицирующее KIDMETICS (BIG D)</t>
  </si>
  <si>
    <t>00-00006788</t>
  </si>
  <si>
    <t>Средство дезинфицирующее BIG D</t>
  </si>
  <si>
    <t>00-00006789</t>
  </si>
  <si>
    <t>Антистатики BIG D</t>
  </si>
  <si>
    <t>00-00006790</t>
  </si>
  <si>
    <t>Сухой шампунь FRELIA, 150мл</t>
  </si>
  <si>
    <t>00-00006791</t>
  </si>
  <si>
    <t>Дезодорант-антиперспирант FRELIA</t>
  </si>
  <si>
    <t>00-00006803</t>
  </si>
  <si>
    <t>ОКЕЙ</t>
  </si>
  <si>
    <t>00-00006804</t>
  </si>
  <si>
    <t>Пена для бритья То что надо! 200 мл</t>
  </si>
  <si>
    <t>00-00006805</t>
  </si>
  <si>
    <t>Дезодорант для тела женский То что надо!</t>
  </si>
  <si>
    <t>00-00006806</t>
  </si>
  <si>
    <t>Лак для волос То что надо!</t>
  </si>
  <si>
    <t>00-00006807</t>
  </si>
  <si>
    <t>Дезодорант мужской То что надо!</t>
  </si>
  <si>
    <t>00-00006808</t>
  </si>
  <si>
    <t>X5</t>
  </si>
  <si>
    <t>00-00006809</t>
  </si>
  <si>
    <t>Пена для бритья КРУГЛЫЙ ГОД</t>
  </si>
  <si>
    <t>00-00006810</t>
  </si>
  <si>
    <t>Дезодорант для обуви Круглый год(BIG D)</t>
  </si>
  <si>
    <t>00-00006811</t>
  </si>
  <si>
    <t xml:space="preserve">Пропитка водоотталкивающая BIG D </t>
  </si>
  <si>
    <t>00-00006812</t>
  </si>
  <si>
    <t>Освежители воздуха "Liberhaus" Рефиллы</t>
  </si>
  <si>
    <t>00-00006813</t>
  </si>
  <si>
    <t>Освежители воздуха "Liberhaus"</t>
  </si>
  <si>
    <t>00-00006814</t>
  </si>
  <si>
    <t>Дезодорант для тела Круглый Год</t>
  </si>
  <si>
    <t>00-00006815</t>
  </si>
  <si>
    <t>АШАН и АТАК</t>
  </si>
  <si>
    <t>00-00006816</t>
  </si>
  <si>
    <t>Лак АШАН "OLIVIA"</t>
  </si>
  <si>
    <t>00-00006817</t>
  </si>
  <si>
    <t>Дезодоранты женские АШАН 150 мл</t>
  </si>
  <si>
    <t>00-00006818</t>
  </si>
  <si>
    <t>Дезодоранты мужские АШАН 150 мл</t>
  </si>
  <si>
    <t>00-00006819</t>
  </si>
  <si>
    <t>Гель АШАН "Каждый день"OLIVIA</t>
  </si>
  <si>
    <t>00-00006820</t>
  </si>
  <si>
    <t>Освежители воздуха АШАН 300 мл</t>
  </si>
  <si>
    <t>00-00006821</t>
  </si>
  <si>
    <t>Пена для бритья АШАН, 200 мл</t>
  </si>
  <si>
    <t>00-00006822</t>
  </si>
  <si>
    <t>БЭСТ ПРАЙС</t>
  </si>
  <si>
    <t>00-00006823</t>
  </si>
  <si>
    <t>Растяжка для обуви (БигДи)</t>
  </si>
  <si>
    <t>00-00006824</t>
  </si>
  <si>
    <t>Средство дезинфицирующее ESTELLAR</t>
  </si>
  <si>
    <t>00-00006825</t>
  </si>
  <si>
    <t>Лак для волос Professional look Fanfare 360 мл</t>
  </si>
  <si>
    <t>00-00006826</t>
  </si>
  <si>
    <t>Освежители воздуха Air Pure. Блокаторы. 350 мл</t>
  </si>
  <si>
    <t>00-00006827</t>
  </si>
  <si>
    <t>Дезодоранты женские "La Pareil" 150мл</t>
  </si>
  <si>
    <t>00-00006828</t>
  </si>
  <si>
    <t>Дезодорант для тела в аэрозольной упаковке SWESS</t>
  </si>
  <si>
    <t>00-00006829</t>
  </si>
  <si>
    <t>Освежитель воздуха Air Pure (сменный аэрозольный баллон)</t>
  </si>
  <si>
    <t>00-00006830</t>
  </si>
  <si>
    <t>Дезодорант для тела в аэрозольной упаковке MANFORT</t>
  </si>
  <si>
    <t>00-00006831</t>
  </si>
  <si>
    <t>Освежители воздуха Air Freshener 250 мл (рефилл)</t>
  </si>
  <si>
    <t>00-00006832</t>
  </si>
  <si>
    <t>Полироль серии ORANGE BOOM 300 мл</t>
  </si>
  <si>
    <t>00-00006833</t>
  </si>
  <si>
    <t>Антистатик Velon 250мл</t>
  </si>
  <si>
    <t>00-00006834</t>
  </si>
  <si>
    <t>Водоотталкивающая пропитка Stop Moisture BIG D</t>
  </si>
  <si>
    <t>00-00006835</t>
  </si>
  <si>
    <t>Пена Diving Club</t>
  </si>
  <si>
    <t>00-00006836</t>
  </si>
  <si>
    <t>Дезодорант для обуви Stop Malodor 150мл(в т.чБиг ДИ)</t>
  </si>
  <si>
    <t>00-00006837</t>
  </si>
  <si>
    <t>Очиститель духовки Orange boom</t>
  </si>
  <si>
    <t>00-00006838</t>
  </si>
  <si>
    <t>Очиститель стёкол и зеркал ORANGE BOOM</t>
  </si>
  <si>
    <t>00-00006839</t>
  </si>
  <si>
    <t>ИП ТАРАНЦЕВА</t>
  </si>
  <si>
    <t>00-00006840</t>
  </si>
  <si>
    <t>Лак для волос 1b.ru 200мл</t>
  </si>
  <si>
    <t>00-00006841</t>
  </si>
  <si>
    <t>Дезодоранты мужские "U", 150 мл</t>
  </si>
  <si>
    <t>00-00006842</t>
  </si>
  <si>
    <t>Дезодоранты женские "U", 150 мл</t>
  </si>
  <si>
    <t>00-00006843</t>
  </si>
  <si>
    <t>Антистатик 1b.ru серии BIG-D, 200 мл</t>
  </si>
  <si>
    <t>00-00006844</t>
  </si>
  <si>
    <t>Освежители воздуха марки 1b.ru, 300 мл</t>
  </si>
  <si>
    <t>00-00006845</t>
  </si>
  <si>
    <t>Пена для бритья марки 1b.ru, 200 мл</t>
  </si>
  <si>
    <t>00-00006846</t>
  </si>
  <si>
    <t>ЭС СИ ДЖОНСОН</t>
  </si>
  <si>
    <t>00-00006847</t>
  </si>
  <si>
    <t>LIMITED EDITION(рефиллы)</t>
  </si>
  <si>
    <t>00-00006848</t>
  </si>
  <si>
    <t>LIMITED EDITION(рефиллы) для Украины</t>
  </si>
  <si>
    <t>00-00006849</t>
  </si>
  <si>
    <t>Рефиллы</t>
  </si>
  <si>
    <t>00-00006850</t>
  </si>
  <si>
    <t>РУССКИЙ СТИЛЬ</t>
  </si>
  <si>
    <t>00-00006851</t>
  </si>
  <si>
    <t>Антистатики "Vento"</t>
  </si>
  <si>
    <t>00-00006852</t>
  </si>
  <si>
    <t>ЭРА</t>
  </si>
  <si>
    <t>00-00006853</t>
  </si>
  <si>
    <t>Освежители воздуха Армето (сухое распыление)</t>
  </si>
  <si>
    <t>00-00006854</t>
  </si>
  <si>
    <t>Освежители воздуха АРМЕТО рефилл</t>
  </si>
  <si>
    <t>00-00006855</t>
  </si>
  <si>
    <t>Освежители воздуха Magic boom (рефилл)</t>
  </si>
  <si>
    <t>00-00006856</t>
  </si>
  <si>
    <t>Дезодорант-антиперспирант для тела DELICARE 75мл</t>
  </si>
  <si>
    <t>00-00006857</t>
  </si>
  <si>
    <t>Мусс-пена для бритья Carelax 200мл</t>
  </si>
  <si>
    <t>00-00006858</t>
  </si>
  <si>
    <t>Мусс-пена "BAMBOLINA"</t>
  </si>
  <si>
    <t>00-00006859</t>
  </si>
  <si>
    <t>Пена для бритья ВЫГОДА 200 мл</t>
  </si>
  <si>
    <t>00-00006860</t>
  </si>
  <si>
    <t>Дезодоранты WEIS</t>
  </si>
  <si>
    <t>00-00006867</t>
  </si>
  <si>
    <t>АРВИТЕКС</t>
  </si>
  <si>
    <t>00-00006868</t>
  </si>
  <si>
    <t>Освежители воздуха Мастер Фреш (рефилл)</t>
  </si>
  <si>
    <t>00-00006869</t>
  </si>
  <si>
    <t>САМСОН ОПТ</t>
  </si>
  <si>
    <t>00-00006870</t>
  </si>
  <si>
    <t>Освежители воздуха "Мелодия" 300мл</t>
  </si>
  <si>
    <t>00-00006873</t>
  </si>
  <si>
    <t>УКРАИНА</t>
  </si>
  <si>
    <t>00-00006874</t>
  </si>
  <si>
    <t>Пена для бритья женская SportStar</t>
  </si>
  <si>
    <t>00-00006875</t>
  </si>
  <si>
    <t>Гели для укладки волос "IT" 250мл.</t>
  </si>
  <si>
    <t>00-00006876</t>
  </si>
  <si>
    <t>Гели для укладки волос "MILLENIUM" 250мл.</t>
  </si>
  <si>
    <t>00-00006877</t>
  </si>
  <si>
    <t>Освежитель воздуха в аэрозольной упаковке  серии  "Flower shop" 300мл</t>
  </si>
  <si>
    <t>00-00006878</t>
  </si>
  <si>
    <t>Лак для волос сильной фиксации "IT</t>
  </si>
  <si>
    <t>00-00006879</t>
  </si>
  <si>
    <t>Лаки для волос "MILLENIUM"  250мл.</t>
  </si>
  <si>
    <t>00-00006880</t>
  </si>
  <si>
    <t>Антистатик BIG D/БИГ ДИ 300мл УКР</t>
  </si>
  <si>
    <t>00-00006886</t>
  </si>
  <si>
    <t>ФЕНИКС</t>
  </si>
  <si>
    <t>00-00006887</t>
  </si>
  <si>
    <t>Освежители воздуха "PROVENCE" ЗЕЛЕНАЯ КОЛЛЕКЦИЯ  300мл.</t>
  </si>
  <si>
    <t>00-00006888</t>
  </si>
  <si>
    <t>Освежители воздуха "Green collection by Provence"  250 мл(рефилл)</t>
  </si>
  <si>
    <t>00-00006889</t>
  </si>
  <si>
    <t>Пена для бритья Sport Star</t>
  </si>
  <si>
    <t>00-00006890</t>
  </si>
  <si>
    <t>Дезодорант SPORT STAR женский</t>
  </si>
  <si>
    <t>00-00006891</t>
  </si>
  <si>
    <t>Освежители воздуха "ALPEN" Air Pure300мл. НОВЫЙ</t>
  </si>
  <si>
    <t>00-00006892</t>
  </si>
  <si>
    <t>Пена для ванны KIDMETICS</t>
  </si>
  <si>
    <t>00-00006893</t>
  </si>
  <si>
    <t>Пропитка водоотталкивающая BIG D</t>
  </si>
  <si>
    <t>00-00006894</t>
  </si>
  <si>
    <t>Освежитель воздуха Aroma collection by Provence (рефилл)</t>
  </si>
  <si>
    <t>00-00006895</t>
  </si>
  <si>
    <t>Гель для волос PROFESSIONAL TOUCH</t>
  </si>
  <si>
    <t>00-00006896</t>
  </si>
  <si>
    <t>Гель для волос OLIVIA</t>
  </si>
  <si>
    <t>00-00006897</t>
  </si>
  <si>
    <t>Пенка для волос OLIVIA</t>
  </si>
  <si>
    <t>00-00006898</t>
  </si>
  <si>
    <t>Очиститель обивки салона(BIG D)</t>
  </si>
  <si>
    <t>00-00006899</t>
  </si>
  <si>
    <t>Освежители воздуха "Alpen Fresh" 250мл. (рефилл)</t>
  </si>
  <si>
    <t>00-00006900</t>
  </si>
  <si>
    <t>Дезодорант для обуви BIG D</t>
  </si>
  <si>
    <t>00-00006901</t>
  </si>
  <si>
    <t>Освежитель воздуха BY PROVENCE 300 мл (сухое распыление)Geen collection</t>
  </si>
  <si>
    <t>00-00006902</t>
  </si>
  <si>
    <t>Лак для волос PROFESSIONAL TOUCH</t>
  </si>
  <si>
    <t>00-00006903</t>
  </si>
  <si>
    <t>Мусс для волос PROFESSIONAL TOUCH</t>
  </si>
  <si>
    <t>00-00006904</t>
  </si>
  <si>
    <t>Освежители воздуха FLOWER SHOP</t>
  </si>
  <si>
    <t>00-00006906</t>
  </si>
  <si>
    <t>Дезодорант SPORT STAR</t>
  </si>
  <si>
    <t>00-00006907</t>
  </si>
  <si>
    <t>Лак для волос OLIVIA</t>
  </si>
  <si>
    <t>00-00006917</t>
  </si>
  <si>
    <t>ЭССЕН ЛОГИСТИК</t>
  </si>
  <si>
    <t>00-00006918</t>
  </si>
  <si>
    <t>Дезодоранты для тела Amika</t>
  </si>
  <si>
    <t>00-00006919</t>
  </si>
  <si>
    <t>Пена для бритья Amika</t>
  </si>
  <si>
    <t>00-00006949</t>
  </si>
  <si>
    <t xml:space="preserve">SALTON Пропитка водоотталкивающая </t>
  </si>
  <si>
    <t>00-00006950</t>
  </si>
  <si>
    <t>Пена для очищения белой обуви</t>
  </si>
  <si>
    <t>00-00006951</t>
  </si>
  <si>
    <t>Средство репеллентное Gardex</t>
  </si>
  <si>
    <t>00-00006952</t>
  </si>
  <si>
    <t xml:space="preserve">SALTON Антиперспирант для ног </t>
  </si>
  <si>
    <t>00-00006957</t>
  </si>
  <si>
    <t>Дезодоранты Zollider, 150мл</t>
  </si>
  <si>
    <t>00-00006958</t>
  </si>
  <si>
    <t>Антиперспиранты Zollider</t>
  </si>
  <si>
    <t>00-00006992</t>
  </si>
  <si>
    <t>ЛЭТУАЛЬ</t>
  </si>
  <si>
    <t>00-00006993</t>
  </si>
  <si>
    <t>Продукция косметическая для детей MORIKI DORIKI</t>
  </si>
  <si>
    <t>00-00006994</t>
  </si>
  <si>
    <t>Дезодорант-антиперспирант SOPHISTICATED,50мл</t>
  </si>
  <si>
    <t>00-00006995</t>
  </si>
  <si>
    <t>Дезодорант-антиперспирант SOPHISTICATED,150мл</t>
  </si>
  <si>
    <t>00-00006996</t>
  </si>
  <si>
    <t>ЛЕНТА</t>
  </si>
  <si>
    <t>00-00006997</t>
  </si>
  <si>
    <t>Дезодоранты 365 дней</t>
  </si>
  <si>
    <t>00-00006998</t>
  </si>
  <si>
    <t>Пена для бритья 365 дней</t>
  </si>
  <si>
    <t>00-00006999</t>
  </si>
  <si>
    <t>Мусс-пена ЛЕНТА</t>
  </si>
  <si>
    <t>00-00007000</t>
  </si>
  <si>
    <t>Термальная вода "Frelia"</t>
  </si>
  <si>
    <t>00-00007001</t>
  </si>
  <si>
    <t>Полироль для мебели ЛЕНТА</t>
  </si>
  <si>
    <t>00-00007002</t>
  </si>
  <si>
    <t>Освежители воздуха рефиллы ЛЕНТА</t>
  </si>
  <si>
    <t>00-00007009</t>
  </si>
  <si>
    <t>Освежитель воздуха LUSCAN, 300 мл</t>
  </si>
  <si>
    <t>00-00007016</t>
  </si>
  <si>
    <t>Мужской дезодорант Astix</t>
  </si>
  <si>
    <t>00-00007021</t>
  </si>
  <si>
    <t>Средство для стирки</t>
  </si>
  <si>
    <t>00-00007025</t>
  </si>
  <si>
    <t>ИП БЕЛОУСОВ</t>
  </si>
  <si>
    <t>00-00007026</t>
  </si>
  <si>
    <t>Лак для волос ORIGAMI 300мл (Prof.Look)</t>
  </si>
  <si>
    <t>00-00007027</t>
  </si>
  <si>
    <t>Освежители воздуха ORIGAMI(рефиллы)</t>
  </si>
  <si>
    <t>00-00007125</t>
  </si>
  <si>
    <t>Лак для волос Ромашкин луг</t>
  </si>
  <si>
    <t>00-00007129</t>
  </si>
  <si>
    <t>Пена- очиститель Анти-грязь</t>
  </si>
  <si>
    <t>00-00007135</t>
  </si>
  <si>
    <t>ТРАНСИНСЕРВИС</t>
  </si>
  <si>
    <t>00-00007137</t>
  </si>
  <si>
    <t>АВТОХИМИЯ</t>
  </si>
  <si>
    <t>00-00007139</t>
  </si>
  <si>
    <t>ВЕКТОР ДИСТРИБЬЮШН</t>
  </si>
  <si>
    <t>00-00007140</t>
  </si>
  <si>
    <t>Пена для бритья Zollider, 200мл</t>
  </si>
  <si>
    <t>00-00007144</t>
  </si>
  <si>
    <t>ЭКСПЕРТ ЛОГИСТИК</t>
  </si>
  <si>
    <t>00-00007145</t>
  </si>
  <si>
    <t>Декоративный ароматизатор</t>
  </si>
  <si>
    <t>00-00007146</t>
  </si>
  <si>
    <t>SALTON Средство для обуви</t>
  </si>
  <si>
    <t>00-00007154</t>
  </si>
  <si>
    <t>РЕКИТТ БЕНКИЗЕР</t>
  </si>
  <si>
    <t>00-00007155</t>
  </si>
  <si>
    <t>КОТТОН КЛАБ</t>
  </si>
  <si>
    <t>00-00007156</t>
  </si>
  <si>
    <t>ГИПЕРГЛОБУС</t>
  </si>
  <si>
    <t>00-00007157</t>
  </si>
  <si>
    <t>ТАНДЕР МАГНИТ</t>
  </si>
  <si>
    <t>00-00007158</t>
  </si>
  <si>
    <t>СВЕТОФОР</t>
  </si>
  <si>
    <t>00-00007159</t>
  </si>
  <si>
    <t>МИКСИТ</t>
  </si>
  <si>
    <t>00-00007160</t>
  </si>
  <si>
    <t>СПЕЙС</t>
  </si>
  <si>
    <t>00-00007161</t>
  </si>
  <si>
    <t>РУСБЛАНКОИЗДАТ</t>
  </si>
  <si>
    <t>00-00007214</t>
  </si>
  <si>
    <t>Освежитель воздуха OFFICE CLEAN (рефилл)</t>
  </si>
  <si>
    <t>00-00007257</t>
  </si>
  <si>
    <t>Освежитель воздуха "OFFICE CLEAN" 300мл(сухое распыление)</t>
  </si>
  <si>
    <t>00-00007258</t>
  </si>
  <si>
    <t>Освежитель воздуха "OFFICE CLEAN"</t>
  </si>
  <si>
    <t>00-00007260</t>
  </si>
  <si>
    <t>Освежители воздуха "Luscan" 250мл</t>
  </si>
  <si>
    <t>00-00007284</t>
  </si>
  <si>
    <t>Термальная вода "Я САМАЯ"</t>
  </si>
  <si>
    <t>00-00007299</t>
  </si>
  <si>
    <t>Освежитель воздуха Air Wick, 290 мл</t>
  </si>
  <si>
    <t>00-00007394</t>
  </si>
  <si>
    <t>AIR PURE by NATURE освежители воздуха</t>
  </si>
  <si>
    <t>00-00007395</t>
  </si>
  <si>
    <t>Дезодоранты LAF 150мл</t>
  </si>
  <si>
    <t>00-00007396</t>
  </si>
  <si>
    <t>Освежитель воздуха серии "Нужные вещи",(рефилл)</t>
  </si>
  <si>
    <t>00-00007406</t>
  </si>
  <si>
    <t>Пена для бритья ВАШ ВЫБОР</t>
  </si>
  <si>
    <t>00-00007407</t>
  </si>
  <si>
    <t>Освежители воздуха Глобус(рефилл)</t>
  </si>
  <si>
    <t>00-00007408</t>
  </si>
  <si>
    <t>Освежитель воздуха  Альпика(рефилл)</t>
  </si>
  <si>
    <t>00-00008220</t>
  </si>
  <si>
    <t>Дезодорант OLIVIA</t>
  </si>
  <si>
    <t>00-00008278</t>
  </si>
  <si>
    <t>Полироль для мебели</t>
  </si>
  <si>
    <t>00-00008658</t>
  </si>
  <si>
    <t>Освежитель воздуха НУЖНЫЕ ВЕЩИ водные</t>
  </si>
  <si>
    <t>00-00008667</t>
  </si>
  <si>
    <t>Мусс для душа SPORT STAR</t>
  </si>
  <si>
    <t>00-00009049</t>
  </si>
  <si>
    <t xml:space="preserve">Полироль TURTLE WAX </t>
  </si>
  <si>
    <t>00-00009115</t>
  </si>
  <si>
    <t>Лак для волос Professional Choice 360мл</t>
  </si>
  <si>
    <t>00-00009261</t>
  </si>
  <si>
    <t>Сухой шампунь для волос Professional Choice 200мл</t>
  </si>
  <si>
    <t>00-00009274</t>
  </si>
  <si>
    <t>Водоотталкивающая пропитка 365 ДНЕЙ</t>
  </si>
  <si>
    <t>00-00009328</t>
  </si>
  <si>
    <t>Дезодоранты La Fresh 150мл</t>
  </si>
  <si>
    <t>00-00009388</t>
  </si>
  <si>
    <t>Мусс-пена "CUTIE"</t>
  </si>
  <si>
    <t>00-00009414</t>
  </si>
  <si>
    <t>Сухой шампунь Origami 200мл (Prof. Look)</t>
  </si>
  <si>
    <t>00-00009427</t>
  </si>
  <si>
    <t>Освежители воздуха "Home Story" Рефиллы</t>
  </si>
  <si>
    <t>00-00009458</t>
  </si>
  <si>
    <t>Дезодорант DEAR MOLLY</t>
  </si>
  <si>
    <t>00-00009557</t>
  </si>
  <si>
    <t>Растяжка для обуви</t>
  </si>
  <si>
    <t>00-00009559</t>
  </si>
  <si>
    <t>Дезодорант для обуви</t>
  </si>
  <si>
    <t>00-00009560</t>
  </si>
  <si>
    <t>Мусс для укладки волос</t>
  </si>
  <si>
    <t>00-00009561</t>
  </si>
  <si>
    <t>Лак для волос</t>
  </si>
  <si>
    <t>00-00009562</t>
  </si>
  <si>
    <t>Освежитель воздуха DEAR MOLLY</t>
  </si>
  <si>
    <t>00-00009533</t>
  </si>
  <si>
    <t>Освежители воздуха Air Fragrance 300 мл</t>
  </si>
  <si>
    <t>00-00009569</t>
  </si>
  <si>
    <t>Освежители воздуха марки 1b.ru, 250 мл</t>
  </si>
  <si>
    <t>00-00009599</t>
  </si>
  <si>
    <t>Тонирующий мусс "Use It" серии "Professional Choice" 150мл</t>
  </si>
  <si>
    <t>00-00010010</t>
  </si>
  <si>
    <t>Дезодорант для тела в аэрозольной упаковке ЛДПР</t>
  </si>
  <si>
    <t>00-00010011</t>
  </si>
  <si>
    <t>БП</t>
  </si>
  <si>
    <t>00-00010080</t>
  </si>
  <si>
    <t>Дезодорант для тела "Sophisticated",150мл</t>
  </si>
  <si>
    <t>00-00010095</t>
  </si>
  <si>
    <t>Пена для ванны 150 мл</t>
  </si>
  <si>
    <t>00-00010146</t>
  </si>
  <si>
    <t>Дезодорант для тела "SODA",150мл</t>
  </si>
  <si>
    <t>00-00010216</t>
  </si>
  <si>
    <t>Мусс для душа DOLCE MILK 200 мл</t>
  </si>
  <si>
    <t>00-00010149</t>
  </si>
  <si>
    <t>Дезодорант для тела UNICORNS APPROVE</t>
  </si>
  <si>
    <t>00-00010401</t>
  </si>
  <si>
    <t>ООО Лабби</t>
  </si>
  <si>
    <t>00-00010439</t>
  </si>
  <si>
    <t>ЛАББИ</t>
  </si>
  <si>
    <t>00-00010507</t>
  </si>
  <si>
    <t>Дезодорант SPORT STAR мужской</t>
  </si>
  <si>
    <t>00-00010565</t>
  </si>
  <si>
    <t>Освежитель воздуха Home Aroma by Verti серии Verti (сменный аэрозольный баллон)</t>
  </si>
  <si>
    <t>00-00010606</t>
  </si>
  <si>
    <t>Водоотталкивающая пропитка для обуви Aqua Stop</t>
  </si>
  <si>
    <t>00-00010607</t>
  </si>
  <si>
    <t>Дезодорант PROFESSIONAL TOUCH женский</t>
  </si>
  <si>
    <t>00-00010625</t>
  </si>
  <si>
    <t>Парфюмированные дезодоранты "Misty" 150мл</t>
  </si>
  <si>
    <t>00-00010626</t>
  </si>
  <si>
    <t>Лак для волос Professional look Fanfare 300 мл</t>
  </si>
  <si>
    <t>00-00010627</t>
  </si>
  <si>
    <t>Дезодорант для тела в аэрозольной упаковке EDISON</t>
  </si>
  <si>
    <t>00-00010631</t>
  </si>
  <si>
    <t>Дезодорант для тела в аэрозольной упаковке GALVANI</t>
  </si>
  <si>
    <t>00-00010635</t>
  </si>
  <si>
    <t>Антистатик Velon PRO 200мл</t>
  </si>
  <si>
    <t>00-00010622</t>
  </si>
  <si>
    <t>Пена Edison</t>
  </si>
  <si>
    <t>00-00010649</t>
  </si>
  <si>
    <t>Освежитель воздуха Wild Aroma by Verti серии Verti (сменный аэрозольный баллон)</t>
  </si>
  <si>
    <t>00-00010712</t>
  </si>
  <si>
    <t>Освежители воздуха VERTI 350 мл</t>
  </si>
  <si>
    <t>00-00010777</t>
  </si>
  <si>
    <t>Лак для волос Moriki Doriki 75мл</t>
  </si>
  <si>
    <t>00-00010839</t>
  </si>
  <si>
    <t>Освежители воздуха ECONTA</t>
  </si>
  <si>
    <t>00-00010897</t>
  </si>
  <si>
    <t>Освежители воздуха АШАН 250 мл</t>
  </si>
  <si>
    <t>00-00011016</t>
  </si>
  <si>
    <t>Пена для бритья ENDEAVOR 200 мл</t>
  </si>
  <si>
    <t>00-00011025</t>
  </si>
  <si>
    <t>Дезодорант для тела КРАСНАЯ ЦЕНА</t>
  </si>
  <si>
    <t>00-00011038</t>
  </si>
  <si>
    <t>ПАРУС</t>
  </si>
  <si>
    <t>00-00011200</t>
  </si>
  <si>
    <t>Пена для бритья SATOMI 150 мл</t>
  </si>
  <si>
    <t>00-00011171</t>
  </si>
  <si>
    <t>Приборы для смешивания салата</t>
  </si>
  <si>
    <t>00-00011158</t>
  </si>
  <si>
    <t>Освежитель воздуха "МОЯ ЦЕНА",(рефилл)</t>
  </si>
  <si>
    <t>00-00011168</t>
  </si>
  <si>
    <t xml:space="preserve">ПЛАСТИК РЕПАБЛИК </t>
  </si>
  <si>
    <t>00-00011251</t>
  </si>
  <si>
    <t>Песочные наборы</t>
  </si>
  <si>
    <t>ER-00011383</t>
  </si>
  <si>
    <t>Лак для волос DELIVEA</t>
  </si>
  <si>
    <t>ER-00011390</t>
  </si>
  <si>
    <t>Мусс для волос OLIVIA</t>
  </si>
  <si>
    <t>ER-00011554</t>
  </si>
  <si>
    <t>Лак для волос GALVANI</t>
  </si>
  <si>
    <t>ER-00011543</t>
  </si>
  <si>
    <t>Лак для волос КРАСНАЯ ЦЕНА</t>
  </si>
  <si>
    <t>ER-00011604</t>
  </si>
  <si>
    <t>Освежитель воздуха Hello Aroma by Verti серии Verti (сменный аэрозольный баллон)</t>
  </si>
  <si>
    <t>ER-00011773</t>
  </si>
  <si>
    <t>УХОД ЗА КОЖЕЙ</t>
  </si>
  <si>
    <t>ER-00011774</t>
  </si>
  <si>
    <t>Полироль BIG D</t>
  </si>
  <si>
    <t>ER-00011777</t>
  </si>
  <si>
    <t>УХОД ЗА ВОЛОСАМИ</t>
  </si>
  <si>
    <t>ER-00011778</t>
  </si>
  <si>
    <t>СРЕДСТВА ДЛЯ ВАННЫ И ДУША</t>
  </si>
  <si>
    <t>ER-00011779</t>
  </si>
  <si>
    <t>СРЕДСТВА ЧИСТЯЩИЕ</t>
  </si>
  <si>
    <t>ER-00011780</t>
  </si>
  <si>
    <t>САМОКАТ</t>
  </si>
  <si>
    <t>ER-00011749</t>
  </si>
  <si>
    <t>Освежитель воздуха SALIX водные</t>
  </si>
  <si>
    <t>00-00007423</t>
  </si>
  <si>
    <t>СУХОЙ ШАМПУНЬ OLIVIA</t>
  </si>
  <si>
    <t>00-00007424</t>
  </si>
  <si>
    <t>Силиконовая смазка</t>
  </si>
  <si>
    <t>00-00007425</t>
  </si>
  <si>
    <t>Размораживатель стекол и замков</t>
  </si>
  <si>
    <t>00-00007426</t>
  </si>
  <si>
    <t>Очистители стекол и зеркал</t>
  </si>
  <si>
    <t>00-00007427</t>
  </si>
  <si>
    <t>Очистители салона</t>
  </si>
  <si>
    <t>00-00007428</t>
  </si>
  <si>
    <t>Полироль</t>
  </si>
  <si>
    <t>00-00007429</t>
  </si>
  <si>
    <t>Очистители тормозов</t>
  </si>
  <si>
    <t>00-00007430</t>
  </si>
  <si>
    <t>Чернитель шин</t>
  </si>
  <si>
    <t>00-00007431</t>
  </si>
  <si>
    <t>Дезодоранты для салона</t>
  </si>
  <si>
    <t>00-00007432</t>
  </si>
  <si>
    <t xml:space="preserve">Освежители воздуха "PROVENCE" ЗЕЛЕНАЯ КОЛЛЕКЦИЯ  300мл.     </t>
  </si>
  <si>
    <t>00-00007760</t>
  </si>
  <si>
    <t>Освежитель воздуха в аэрозольной упаковке серии «Provence» Морской бриз 300мл</t>
  </si>
  <si>
    <t>00-00007761</t>
  </si>
  <si>
    <t>Освежитель воздуха в аэрозольной упаковке серии «Provence» Сирень 300мл</t>
  </si>
  <si>
    <t>00-00007762</t>
  </si>
  <si>
    <t xml:space="preserve">Освежитель воздуха в аэрозольной упаковке серии «Provence» Ягодное наслаждение, 300мл </t>
  </si>
  <si>
    <t>ER-00011605</t>
  </si>
  <si>
    <t>Освежитель воздуха Hello Aroma by Verti серии "Verti" (аромат тропический смузи), 250мл</t>
  </si>
  <si>
    <t>ER-00011606</t>
  </si>
  <si>
    <t>Освежитель воздуха Hello Aroma by Verti серии "Verti" (аромат карельские ягоды), 250мл</t>
  </si>
  <si>
    <t>ER-00011607</t>
  </si>
  <si>
    <t xml:space="preserve">Освежитель воздуха AROMA VOYAGE «Hello Aroma by Verti» «алтайская свежесть», 250 мл  </t>
  </si>
  <si>
    <t>ER-00011608</t>
  </si>
  <si>
    <t>Освежитель воздуха Hello Aroma by Verti серии "Verti" (аромат китайская орхидея), 250мл</t>
  </si>
  <si>
    <t>00-00011245</t>
  </si>
  <si>
    <t xml:space="preserve">Песочный набор Формочка Краб Зеленый бархат 1704023 </t>
  </si>
  <si>
    <t>00-00011246</t>
  </si>
  <si>
    <t>Песочный набор Формочка Звезда желтый 1303099/Сонечный Зайчик</t>
  </si>
  <si>
    <t>00-00011247</t>
  </si>
  <si>
    <t>Песочный набор Формочка Черепашка лососевый 1401238/Персиковая карамель</t>
  </si>
  <si>
    <t>00-00011248</t>
  </si>
  <si>
    <t xml:space="preserve">Песочный набор Формочка Рыба светло-серый 1201554 </t>
  </si>
  <si>
    <t>00-00011172</t>
  </si>
  <si>
    <t xml:space="preserve">Металлический крючок для стрипленты диаметр 4 мм, S-образный </t>
  </si>
  <si>
    <t>00-00011173</t>
  </si>
  <si>
    <t>Гофрокороб 390*290*150 №12</t>
  </si>
  <si>
    <t>00-00011174</t>
  </si>
  <si>
    <t>Стяжка 120*3 СВИП</t>
  </si>
  <si>
    <t>00-00011175</t>
  </si>
  <si>
    <t>Стрейч (500 мм * 17 мкм)</t>
  </si>
  <si>
    <t>00-00011176</t>
  </si>
  <si>
    <t>Этикетки полипропилен 50*35 (с печатью)</t>
  </si>
  <si>
    <t>00-00011177</t>
  </si>
  <si>
    <t>Стрип-лента 10 крючков (стрелок) + ценникодержатель+хомут, BN-110</t>
  </si>
  <si>
    <t>00-00011178</t>
  </si>
  <si>
    <t>Салатник HELSINKI 2,5 л Ложка слоновая кость 1301006</t>
  </si>
  <si>
    <t>00-00011179</t>
  </si>
  <si>
    <t>Салатник HELSINKI 2,5 л Вилка слоновая кость 1301006 (16)</t>
  </si>
  <si>
    <t>00-00011180</t>
  </si>
  <si>
    <t>Упаковка картонная Приборы для смешивания салата ПИКНИК</t>
  </si>
  <si>
    <t>00-00011181</t>
  </si>
  <si>
    <t xml:space="preserve">Скотч 75 мм*66 м*45 мкм проз. </t>
  </si>
  <si>
    <t>00-00011182</t>
  </si>
  <si>
    <t xml:space="preserve">Поддон Евро без клейма </t>
  </si>
  <si>
    <t>00-00011184</t>
  </si>
  <si>
    <t>Этикетка для стойки ценник 99,99 руб</t>
  </si>
  <si>
    <t>00-00011215</t>
  </si>
  <si>
    <t>Песочный набор Ведерко желтый 1303099/СолнЗайчик с IML Зверята с ручкой зеленый бархат</t>
  </si>
  <si>
    <t>00-00011216</t>
  </si>
  <si>
    <t>Гофрокороб 430*335*400 №15</t>
  </si>
  <si>
    <t>00-00011217</t>
  </si>
  <si>
    <t>Нейлоновая сетка белая</t>
  </si>
  <si>
    <t>00-00011218</t>
  </si>
  <si>
    <t>Песочный набор Ведерко Зеленый бархат 1704023 с ручкой желтый 1303099/Солнечный Зайчик</t>
  </si>
  <si>
    <t>00-00011219</t>
  </si>
  <si>
    <t>Песочный набор Грабли желтый 1303099/Солнечный Зайчик</t>
  </si>
  <si>
    <t>00-00011220</t>
  </si>
  <si>
    <t>Песочный набор Грабли Зеленый бархат 1704023</t>
  </si>
  <si>
    <t>00-00011221</t>
  </si>
  <si>
    <t>Песочный набор Сито лососевый 1401238/Персиковая карамель</t>
  </si>
  <si>
    <t>00-00011222</t>
  </si>
  <si>
    <t>Песочный набор Совок желтый 1303099/Сонечный Зайчик</t>
  </si>
  <si>
    <t>00-00011223</t>
  </si>
  <si>
    <t xml:space="preserve">Песочный набор Совок Зеленый бархат 1704023 </t>
  </si>
  <si>
    <t>00-00011224</t>
  </si>
  <si>
    <t xml:space="preserve">Песочный набор Формочка Звезда Зеленый бархат 1704023 </t>
  </si>
  <si>
    <t>00-00011225</t>
  </si>
  <si>
    <t>Песочный набор Формочка Звезда лососевый 1401238/Персиковая карамель</t>
  </si>
  <si>
    <t>00-00011226</t>
  </si>
  <si>
    <t xml:space="preserve">Песочный набор Формочка Звезда светло-серый 1201554 </t>
  </si>
  <si>
    <t>00-00011227</t>
  </si>
  <si>
    <t>Песочный набор Формочка Краб желтый 1303099/Сонечный Зайчик</t>
  </si>
  <si>
    <t>00-00011228</t>
  </si>
  <si>
    <t>Песочный набор Формочка Краб лососевый 1401238/Персиковая карамель</t>
  </si>
  <si>
    <t>00-00011229</t>
  </si>
  <si>
    <t xml:space="preserve">Песочный набор Формочка Краб светло-серый 1201554 </t>
  </si>
  <si>
    <t>00-00011230</t>
  </si>
  <si>
    <t>Песочный набор Формочка Рыба желтый 1303099/Сонечный Зайчик</t>
  </si>
  <si>
    <t>00-00011231</t>
  </si>
  <si>
    <t xml:space="preserve">Песочный набор Формочка Рыба Зеленый бархат 1704023 </t>
  </si>
  <si>
    <t>00-00011232</t>
  </si>
  <si>
    <t>Песочный набор Формочка Рыба лососевый 1401238/Персиковая карамель</t>
  </si>
  <si>
    <t>00-00011233</t>
  </si>
  <si>
    <t>Песочный набор Формочка Черепашка желтый 1303099/Сонечный Зайчик</t>
  </si>
  <si>
    <t>00-00011234</t>
  </si>
  <si>
    <t xml:space="preserve">Песочный набор Формочка Черепашка Зеленый бархат 1704023 </t>
  </si>
  <si>
    <t>00-00011235</t>
  </si>
  <si>
    <t xml:space="preserve">Песочный набор Формочка Черепашка светло-серый 1201554 </t>
  </si>
  <si>
    <t>00-00011236</t>
  </si>
  <si>
    <t>Термоэтикетки полипропилен 25*43 мм без печати (5000)</t>
  </si>
  <si>
    <t>00-00011239</t>
  </si>
  <si>
    <t>Этикетка-Термоэтикетка 73*104 мм (без печати)</t>
  </si>
  <si>
    <t>00-00011240</t>
  </si>
  <si>
    <t>Этикетки полипропилен 60*40 (с печатью KZ)</t>
  </si>
  <si>
    <t>00-00010611</t>
  </si>
  <si>
    <t>Освежитель воздуха GREEN COLLECTION BY PROVENCE Цветущая вишня, 250 мл, С</t>
  </si>
  <si>
    <t>GREEN COLLECTION BY PROVENCE</t>
  </si>
  <si>
    <t>AIR FRESHENERS</t>
  </si>
  <si>
    <t xml:space="preserve">Air fresheners refill </t>
  </si>
  <si>
    <t>00-00010450</t>
  </si>
  <si>
    <t>Освежитель воздуха AIR PURE После дождя, 250 мл, С</t>
  </si>
  <si>
    <t>AIR PURE</t>
  </si>
  <si>
    <t>00-00010426</t>
  </si>
  <si>
    <t>Дезодорант КАЖДЫЙ ДЕНЬ Diving Club Заряд Свежести мужской, 150 мл, С</t>
  </si>
  <si>
    <t>KAZHDYI DEN</t>
  </si>
  <si>
    <t>BODY CARE</t>
  </si>
  <si>
    <t>Deodorant</t>
  </si>
  <si>
    <t>00-00010315</t>
  </si>
  <si>
    <t>Освежитель воздуха GREEN COLLECTION BY PROVENCE Антитабак, 300 мл, С</t>
  </si>
  <si>
    <t>Air fresheners waterbase</t>
  </si>
  <si>
    <t>00-00010362</t>
  </si>
  <si>
    <t>Освежитель воздуха GREEN COLLECTION BY PROVENCE Восточная сказка, 250 мл, С</t>
  </si>
  <si>
    <t>00-00010326</t>
  </si>
  <si>
    <t>Освежитель воздуха GREEN COLLECTION BY PROVENCE Нейтрализатор запахов, 300 мл, С</t>
  </si>
  <si>
    <t>00-00010247</t>
  </si>
  <si>
    <t>Освежитель воздуха GREEN COLLECTION BY PROVENCE Королевская орхидея, 250 мл, С</t>
  </si>
  <si>
    <t>00-00010248</t>
  </si>
  <si>
    <t>Освежитель воздуха GREEN COLLECTION BY PROVENCE Бодрящий лайм, 250 мл, С</t>
  </si>
  <si>
    <t>00-00010097</t>
  </si>
  <si>
    <t>Мусс-пена для детских забав, купания в ванной и мытья рук "Baffy" "Купайся весело!": голубая 150мл</t>
  </si>
  <si>
    <t>BAFFY</t>
  </si>
  <si>
    <t>BATH CARE</t>
  </si>
  <si>
    <t>Bath foam</t>
  </si>
  <si>
    <t>00-00009889</t>
  </si>
  <si>
    <t>Тонирующий мусс PROFESSIONAL CHOICE Каштановый, 150 мл</t>
  </si>
  <si>
    <t>PROFESSIONAL CHOICE</t>
  </si>
  <si>
    <t>HAIR CARE</t>
  </si>
  <si>
    <t>Hair dye</t>
  </si>
  <si>
    <t>00-00009890</t>
  </si>
  <si>
    <t>Тонирующий мусс PROFESSIONAL CHOICE Красный, 150 мл</t>
  </si>
  <si>
    <t>00-00009891</t>
  </si>
  <si>
    <t>Тонирующий мусс PROFESSIONAL CHOICE Русый, 150 мл</t>
  </si>
  <si>
    <t>00-00009892</t>
  </si>
  <si>
    <t>Тонирующий мусс PROFESSIONAL CHOICE Черный, 150 мл</t>
  </si>
  <si>
    <t>00-00010101</t>
  </si>
  <si>
    <t>Мусс-пена для детских забав, купания в ванной и мытья рук "Baffy" "Купайся весело!": зеленая 150мл</t>
  </si>
  <si>
    <t>00-00010102</t>
  </si>
  <si>
    <t>Мусс-пена для детских забав, купания в ванной и мытья рук "Baffy" "Купайся весело!": желтая 150мл</t>
  </si>
  <si>
    <t>00-00009781</t>
  </si>
  <si>
    <t>Мусс-пена AQUATORY Trixiki для купания в ванной детская зеленая, 150 мл</t>
  </si>
  <si>
    <t>AQUATORY</t>
  </si>
  <si>
    <t>00-00009782</t>
  </si>
  <si>
    <t>Детская мусс-пена для купания в ванной т. з. «AQUATORY» с маркировкой «Trixiki», розовый, 150 мл</t>
  </si>
  <si>
    <t>00-00009318</t>
  </si>
  <si>
    <t>Силиконовая смазка серии "Big D/ Биг Ди", 150мл СЛИВЕР (для Бэст Прайс)</t>
  </si>
  <si>
    <t>BIG D</t>
  </si>
  <si>
    <t>AUTO CARE</t>
  </si>
  <si>
    <t>Silicone grease</t>
  </si>
  <si>
    <t>00-00009256</t>
  </si>
  <si>
    <t xml:space="preserve">Свободный код </t>
  </si>
  <si>
    <t>00-00009257</t>
  </si>
  <si>
    <t>Свободный код 2</t>
  </si>
  <si>
    <t>00-00009217</t>
  </si>
  <si>
    <t>Освежитель воздуха MAGIC BOOM Июньское утро, 250 мл</t>
  </si>
  <si>
    <t>MAGIC BOOM</t>
  </si>
  <si>
    <t>00-00009220</t>
  </si>
  <si>
    <t>Полироль для мебели ЛЕНТА Anti-dust с антистатическим эффектом, 300 мл, С</t>
  </si>
  <si>
    <t>LENTA</t>
  </si>
  <si>
    <t>HOME CARE</t>
  </si>
  <si>
    <t>Furniture polish</t>
  </si>
  <si>
    <t>00-00009141</t>
  </si>
  <si>
    <t>Баллон жестяной "365 дней" растяжитель для обуви (45*140)</t>
  </si>
  <si>
    <t>00-00009143</t>
  </si>
  <si>
    <t>Баллон жестяной "Лента" пропитка для обуви (52*195)</t>
  </si>
  <si>
    <t>00-00009145</t>
  </si>
  <si>
    <t>Баллон жестяной "365 дней" пропитка для обуви (45*140)</t>
  </si>
  <si>
    <t>00-00009147</t>
  </si>
  <si>
    <t>Баллон жестяной "365 дней" дезодорант для обуви (45*140)</t>
  </si>
  <si>
    <t>00-00009019</t>
  </si>
  <si>
    <t>Средство дезинфицирующее "Estellar"/Эстеллар "Супер защита",300мл СЛИВЕР</t>
  </si>
  <si>
    <t>ESTELLAR</t>
  </si>
  <si>
    <t>DISINFECTION AND PROTECTION</t>
  </si>
  <si>
    <t>Disinfector</t>
  </si>
  <si>
    <t>00-00008835</t>
  </si>
  <si>
    <t>Дезодорант-антиперспирант с ароматом "цветочный букет" линии "SOPHISTICATED" ТЗ "Л'Этуаль" 150мл</t>
  </si>
  <si>
    <t>00-00008959</t>
  </si>
  <si>
    <t>Сменный блок Green collection by Provence в аэрозольной упаковке,250мл в ассортименте (№1)</t>
  </si>
  <si>
    <t>00-00008634</t>
  </si>
  <si>
    <t>Освежитель воздуха «Green collection by Provence». 250мл, МИКС 3 SKU</t>
  </si>
  <si>
    <t>00-00008650</t>
  </si>
  <si>
    <t>Освежитель воздуха НУЖНЫЕ ВЕЩИ Королева цветов, 300 мл</t>
  </si>
  <si>
    <t>NUZHNYE VESHI</t>
  </si>
  <si>
    <t>00-00008652</t>
  </si>
  <si>
    <t>Освежитель воздуха НУЖНЫЕ ВЕЩИ Лайм и корица, 300 мл</t>
  </si>
  <si>
    <t>00-00008654</t>
  </si>
  <si>
    <t>Освежитель воздуха НУЖНЫЕ ВЕЩИ Летний дождь, 300 мл</t>
  </si>
  <si>
    <t>00-00008459</t>
  </si>
  <si>
    <t>Полироль для мебели ЛАЙМА "ANTI DUST"(анти-пыль) с антистатическим эффектом, 300мл</t>
  </si>
  <si>
    <t>LAIMA</t>
  </si>
  <si>
    <t>00-00002780</t>
  </si>
  <si>
    <t>Дезодорант женский  для тела серии"SPORTSTAR"  Balance Body Spray 150 мл.</t>
  </si>
  <si>
    <t>00-00001633</t>
  </si>
  <si>
    <t>Освежитель воздуха в аэрозольной упаковке серии «Provence» Карибский лайм 300мл</t>
  </si>
  <si>
    <t>00-00001701</t>
  </si>
  <si>
    <t>ПФ Освежитель воздуха Лента "Нежное прикосновение" серии "VERTI", 250мл(рефилл)</t>
  </si>
  <si>
    <t>00-00001717</t>
  </si>
  <si>
    <t>Освежитель воздуха GREEN COLLECTION BY PROVENCE Королевская орхидея, 250 мл</t>
  </si>
  <si>
    <t>00-00001718</t>
  </si>
  <si>
    <t>Освежитель воздуха GREEN COLLECTION BY PROVENCE Бодрящий лайм, 250 мл</t>
  </si>
  <si>
    <t>00-00001719</t>
  </si>
  <si>
    <t>Освежитель воздуха GREEN COLLECTION BY PROVENCE Цветущая вишня, 250 мл</t>
  </si>
  <si>
    <t>00-00001721</t>
  </si>
  <si>
    <t>Освежитель воздуха GREEN COLLECTION BY PROVENCE Фруктовый десерт, 250 мл</t>
  </si>
  <si>
    <t>00-00001722</t>
  </si>
  <si>
    <t>Освежитель воздуха GREEN COLLECTION BY PROVENCE Райское наслаждение, 250 мл</t>
  </si>
  <si>
    <t>00-00001714</t>
  </si>
  <si>
    <t>Освежитель воздуха в аэрозольной упаковке серии "Air Pure by Nature" "Антитабак", 250мл</t>
  </si>
  <si>
    <t>00-00001715</t>
  </si>
  <si>
    <t>Освежитель воздуха в аэрозольной упаковке серии "Air Pure by Nature" "Океан", 250мл</t>
  </si>
  <si>
    <t>00-00001733</t>
  </si>
  <si>
    <t>Освежитель воздуха GREEN COLLECTION BY PROVENCE Антитабак. Манго и ваниль. Блокатор запахов, 250 мл</t>
  </si>
  <si>
    <t>00-00000040</t>
  </si>
  <si>
    <t>Освежитель воздуха "OFFICE CLEAN" "Роскошная магнолия", 300 мл</t>
  </si>
  <si>
    <t>00-00000041</t>
  </si>
  <si>
    <t>Освежитель воздуха "OFFICE CLEAN" "Весенняя сакура и сладкий миндаль", 300 мл</t>
  </si>
  <si>
    <t>00-00000042</t>
  </si>
  <si>
    <t>Освежитель воздуха "OFFICE CLEAN" "Освежающий лимон", 300 мл</t>
  </si>
  <si>
    <t>00-00000043</t>
  </si>
  <si>
    <t>Освежитель воздуха "OFFICE CLEAN" "Тропический оазис", 300 мл</t>
  </si>
  <si>
    <t>00-00000047</t>
  </si>
  <si>
    <t>Освежитель воздуха "OFFICE CLEAN" "Альпийская свежесть", 300мл</t>
  </si>
  <si>
    <t>00-00000158</t>
  </si>
  <si>
    <t>Очиститель обивки салона Big D "MULTIPURPOSE FOAM CLEANER" 500мл-</t>
  </si>
  <si>
    <t>Cleaner for interior</t>
  </si>
  <si>
    <t>ER-00012296</t>
  </si>
  <si>
    <t>Дезодорант LA FRESH Головокружительная любовь женский, 150 мл</t>
  </si>
  <si>
    <t>Deodorant LA FRESH Exotic flowers woman, 150 ml</t>
  </si>
  <si>
    <t>LA FRESH</t>
  </si>
  <si>
    <t>ER-00012297</t>
  </si>
  <si>
    <t>Дезодорант LA FRESH Волшебное сияние женский, 150 мл</t>
  </si>
  <si>
    <t>00-00009329</t>
  </si>
  <si>
    <t>Дезодорант LA FRESH Exotic flowers женский, 150 мл</t>
  </si>
  <si>
    <t>00-00009331</t>
  </si>
  <si>
    <t>Дезодорант LA FRESH Sport мужской, 150 мл</t>
  </si>
  <si>
    <t>Deodorant LA FRESH Sport man, 150 ml</t>
  </si>
  <si>
    <t>ER-00012299</t>
  </si>
  <si>
    <t>Дезодорант LA FRESH Спорт мужской, 150 мл</t>
  </si>
  <si>
    <t>Дезодорант-антиперспирант для ног LA FRESH, 150 мл</t>
  </si>
  <si>
    <t>Deodorant-antiperspirant for feet LA FRESH, 150 ml</t>
  </si>
  <si>
    <t>SHOE AND CLOTHING CARE</t>
  </si>
  <si>
    <t>Shoe deodorant</t>
  </si>
  <si>
    <t>00-00006656</t>
  </si>
  <si>
    <t>Дезодорант LAF Exotic flowers женский, 150 мл</t>
  </si>
  <si>
    <t>Deodorant LAF Exotic flowers woman, 150 ml</t>
  </si>
  <si>
    <t>LAF</t>
  </si>
  <si>
    <t>00-00006657</t>
  </si>
  <si>
    <t>Дезодорант LAF Sweet Cherry женский, 150 мл</t>
  </si>
  <si>
    <t>Deodorant LAF Sweet Cherry woman, 150 ml</t>
  </si>
  <si>
    <t>00-00006654</t>
  </si>
  <si>
    <t>Дезодорант для мужчин "Sport"  товарного знака "LAF" , 150мл</t>
  </si>
  <si>
    <t>Deodorant LAF Sport man, 150 ml</t>
  </si>
  <si>
    <t>00-00006655</t>
  </si>
  <si>
    <t>Дезодорант для мужчин "Extreme"  товарного знака "LAF" , 150мл</t>
  </si>
  <si>
    <t>Deodorant LAF Extreme man, 150 ml</t>
  </si>
  <si>
    <t>Освежитель воздуха МОЯ ЦЕНА Гранат, 250 мл</t>
  </si>
  <si>
    <t>Air freshener MOYA TSENA Pomegranate, 250 ml</t>
  </si>
  <si>
    <t>MOYA TSENA</t>
  </si>
  <si>
    <t>Освежитель воздуха МОЯ ЦЕНА Тайфун, 250 мл</t>
  </si>
  <si>
    <t>Air freshener MOYA TSENA Typhoon, 250 ml</t>
  </si>
  <si>
    <t>ER-00011501</t>
  </si>
  <si>
    <t>Освежитель воздуха SALIX Морской, 300 мл</t>
  </si>
  <si>
    <t>Air freshener SALIX Marine, 300 ml</t>
  </si>
  <si>
    <t>SALIX</t>
  </si>
  <si>
    <t>ER-00013547</t>
  </si>
  <si>
    <t>Освежитель воздуха SALIX Морской, 300 мл, С</t>
  </si>
  <si>
    <t>ER-00012002</t>
  </si>
  <si>
    <t>Освежитель воздуха НУЖНЫЕ ВЕЩИ Нежная фрезия, 300 мл, С</t>
  </si>
  <si>
    <t>Air freshener NUZHNIE VESHI Delicate freesia, 300 ml</t>
  </si>
  <si>
    <t>00-00008644</t>
  </si>
  <si>
    <t>Освежитель воздуха НУЖНЫЕ ВЕЩИ Нежная фрезия, 300 мл</t>
  </si>
  <si>
    <t>00-00007745</t>
  </si>
  <si>
    <t>Освежитель воздуха «Нужные вещи» Имбирный пирог, 250 мл</t>
  </si>
  <si>
    <t>Air freshener NUZHNIE VESHI Ginger pie, 250 ml</t>
  </si>
  <si>
    <t>00-00007746</t>
  </si>
  <si>
    <t>Освежитель воздуха «Нужные вещи» Мандарин и хвоя, 250 мл</t>
  </si>
  <si>
    <t>Air freshener NUZHNIE VESHI Tangerine and needles, 250 ml</t>
  </si>
  <si>
    <t>00-00001013</t>
  </si>
  <si>
    <t>Дезодорант КАЖДЫЙ ДЕНЬ Sport Star Energy Фруктовый женский, 50 мл</t>
  </si>
  <si>
    <t>Deodorant EVERY DAY Sport Star Energy Fruit woman, 50 ml</t>
  </si>
  <si>
    <t>00-00001761</t>
  </si>
  <si>
    <t>Дезодорант-спрей для тела женский в аэрозольной упаковке"LUNE"серии"LA PAREIL"(Цветочный Каждый день</t>
  </si>
  <si>
    <t>Deodorant EVERY DAY La Pariel Lune Floral woman, 150 ml</t>
  </si>
  <si>
    <t>00-00010376</t>
  </si>
  <si>
    <t>Дезодорант КАЖДЫЙ ДЕНЬ La Pariel фруктовый женский, 150 мл, С</t>
  </si>
  <si>
    <t>Deodorant EVERY DAY La Pariel Chic Fruit woman, 150 ml, Sl</t>
  </si>
  <si>
    <t>00-00001014</t>
  </si>
  <si>
    <t>Дезодорант КАЖДЫЙ ДЕНЬ Sport Star Ultra мужской, 50 мл</t>
  </si>
  <si>
    <t>Deodorant EVERY DAY Sport Star Ultra man, 50 ml</t>
  </si>
  <si>
    <t>00-00001759</t>
  </si>
  <si>
    <t>Дезодорант КАЖДЫЙ ДЕНЬ Diving Club, Заряд Свежести мужской, 150 мл</t>
  </si>
  <si>
    <t>Deodorant EVERY DAY Diving Club Charge of Freshness man, 150 ml</t>
  </si>
  <si>
    <t>00-00001757</t>
  </si>
  <si>
    <t>Дезодорант мужской для тела "SPORT"в аэроз. уп-ке серии "Diving Club" ("Спорт" Каждый день) 150 мл</t>
  </si>
  <si>
    <t>Deodorant EVERY DAY Diving Club Sport man, 150 ml</t>
  </si>
  <si>
    <t>00-00001339</t>
  </si>
  <si>
    <t>Лак для волос Ашан OLIVIA с экстрактом зеленого чая, 50 мл</t>
  </si>
  <si>
    <t>Hairspray OLIVIA Green Tea Extract, 50 ml</t>
  </si>
  <si>
    <t>OLIVIA</t>
  </si>
  <si>
    <t>Hairspray</t>
  </si>
  <si>
    <t>ER-00012589</t>
  </si>
  <si>
    <t>Освежитель воздуха АШАН Красная птичка Имбирный пряник, 250 мл, С</t>
  </si>
  <si>
    <t>Air freshener KRASNAYA PTICHKA Gingerbread, 250 ml</t>
  </si>
  <si>
    <t>AUCHAN</t>
  </si>
  <si>
    <t>00-00010898</t>
  </si>
  <si>
    <t>Освежитель воздуха АШАН Красная птичка Имбирный пряник, 250 мл</t>
  </si>
  <si>
    <t>00-00010899</t>
  </si>
  <si>
    <t>Освежитель воздуха АШАН Красная птичка Свежий гранат, 250 мл</t>
  </si>
  <si>
    <t>Air freshener KRASNAYA PTICHKA Fresh Pomegranate, 250 ml</t>
  </si>
  <si>
    <t>ER-00012588</t>
  </si>
  <si>
    <t>Освежитель воздуха АШАН Красная птичка Свежий гранат, 250 мл, С</t>
  </si>
  <si>
    <t>ER-00011983</t>
  </si>
  <si>
    <t>Освежитель воздуха АШАН Красная птичка Пряный апельсин и клюква, 250 мл, С</t>
  </si>
  <si>
    <t>Air freshener KRASNAYA PTICHKA Spicy orange and cranberry, 250 ml</t>
  </si>
  <si>
    <t>ER-00012193</t>
  </si>
  <si>
    <t>Освежитель воздуха АШАН Красная птичка Ягодный коктейль, 250 мл, С</t>
  </si>
  <si>
    <t>Air freshener KRASNAYA PTICHKA Berry cocktail, 250 ml</t>
  </si>
  <si>
    <t>Освежитель воздуха АШАН Красная птичка Ягодный коктейль, 250 мл</t>
  </si>
  <si>
    <t>Освежитель воздуха КАЖДЫЙ ДЕНЬ Лайм, 300 мл</t>
  </si>
  <si>
    <t>Air freshener EVERY DAY Lime, 300 ml</t>
  </si>
  <si>
    <t>Освежитель воздуха КАЖДЫЙ ДЕНЬ Сирень, 300 мл</t>
  </si>
  <si>
    <t>Air freshener EVERY DAY Lilac, 300 ml</t>
  </si>
  <si>
    <t>Освежитель воздуха КАЖДЫЙ ДЕНЬ Океан, 300 мл</t>
  </si>
  <si>
    <t>Air freshener EVERY DAY Ocean, 300 ml</t>
  </si>
  <si>
    <t>Освежитель воздуха АШАН Красная птичка Ароматная Кола, 300 мл</t>
  </si>
  <si>
    <t>Air freshener KRASNAYA PTICHKA Flavored Cola, 300 ml</t>
  </si>
  <si>
    <t>Освежитель воздуха АШАН Красная птичка Сицилийский мандарин и карамель, 300 мл</t>
  </si>
  <si>
    <t>Air freshener KRASNAYA PTICHKA Sicilian mandarin and caramel, 300 ml</t>
  </si>
  <si>
    <t>Освежитель воздуха АШАН Красная птичка Фруктовый мармелад, 300 мл</t>
  </si>
  <si>
    <t>Air freshener KRASNAYA PTICHKA Fruit jelly, 300 ml</t>
  </si>
  <si>
    <t>ER-00012116</t>
  </si>
  <si>
    <t>Освежитель воздуха АШАН Красная птичка Фруктовый мармелад, 300 мл, С</t>
  </si>
  <si>
    <t>ER-00013219</t>
  </si>
  <si>
    <t>Освежитель воздуха АШАН Красная птичка Сочное яблоко и корица , 300 мл, С</t>
  </si>
  <si>
    <t>Air freshener KRASNAYA PTICHKA Juicy apple and cinnamon, 300 ml</t>
  </si>
  <si>
    <t>Освежитель воздуха АШАН Красная птичка Сочное яблоко и корица, 300 мл</t>
  </si>
  <si>
    <t>00-00000029</t>
  </si>
  <si>
    <t>Пена для бритья КАЖДЫЙ ДЕНЬ для чувствительной кожи, 200 мл</t>
  </si>
  <si>
    <t>Shaving foam EVERY DAY for sensitive skin, 200 ml</t>
  </si>
  <si>
    <t>Shaving foam</t>
  </si>
  <si>
    <t>00-00010872</t>
  </si>
  <si>
    <t>Пена для бритья АШАН Красная птичка с ментолом для всех типов кожи, 200 мл</t>
  </si>
  <si>
    <t>Shaving foam KRASNAYA PTICHKA with menthol for all skin types, 200 ml</t>
  </si>
  <si>
    <t>00-00000269</t>
  </si>
  <si>
    <t>Антистатик в аэрозольной упаковке: "Velon" розовый, 250мл ЛИТОГРАФИЯ</t>
  </si>
  <si>
    <t>Antistatic VELON pink, 250 ml</t>
  </si>
  <si>
    <t>ER-00012988</t>
  </si>
  <si>
    <t>Антистатик VELON Pro, 200 мл, C</t>
  </si>
  <si>
    <t>Antistatic VELON Pro, 200 ml</t>
  </si>
  <si>
    <t>VELON</t>
  </si>
  <si>
    <t>ANISTATIC</t>
  </si>
  <si>
    <t>Antistatic</t>
  </si>
  <si>
    <t>ER-00012992</t>
  </si>
  <si>
    <t>Антистатик VELON Pro,1, 200 мл</t>
  </si>
  <si>
    <t>00-00010636</t>
  </si>
  <si>
    <t>Антистатик VELON Pro, 200 мл</t>
  </si>
  <si>
    <t>00-00001877</t>
  </si>
  <si>
    <t xml:space="preserve">Водоотталкивающая пропитка для кожи, замши и нубука Stop Mousture ,260мл </t>
  </si>
  <si>
    <t>Water-repellent treatment STOP MOISTURE for leather, suede and nubuck, 260 ml, Sl</t>
  </si>
  <si>
    <t>STOP MOISTURE</t>
  </si>
  <si>
    <t>Shoe water repellent</t>
  </si>
  <si>
    <t>00-00001878</t>
  </si>
  <si>
    <t>Водоотталкивающая пропитка для защиты обуви "АНТИ-СОЛЬ" Stop Moisture 150 мл</t>
  </si>
  <si>
    <t>Water-repellent treatment STOP MOISTURE anti-salt for shoe protection, 150 ml</t>
  </si>
  <si>
    <t>00-00001058</t>
  </si>
  <si>
    <t>Дезодорант для обуви Big D/Биг Ди Stop Malodor антибактериальный с ароматом мяты, 150мл</t>
  </si>
  <si>
    <t>Deodorant for shoes STOP MALODOR antibacterial with mint scent, 150 ml</t>
  </si>
  <si>
    <t>STOP MALODOR</t>
  </si>
  <si>
    <t>00-00001060</t>
  </si>
  <si>
    <t>Дезодорант для обуви Big D/БигДи Stop Malodor  с ароматом цитруса ароматизирующий, 150мл</t>
  </si>
  <si>
    <t>Deodorant for shoes STOP MALODOR aromatizing with citrus scent, 150 ml</t>
  </si>
  <si>
    <t>00-00010628</t>
  </si>
  <si>
    <t>Дезодорант EDISON Mercury мужской, 150 мл</t>
  </si>
  <si>
    <t>Deodorant EDISON Mercury man, 150 ml</t>
  </si>
  <si>
    <t>EDISON</t>
  </si>
  <si>
    <t>00-00010629</t>
  </si>
  <si>
    <t>Дезодорант EDISON Neptune мужской, 150 мл</t>
  </si>
  <si>
    <t>Deodorant EDISON Neptune man, 150 ml</t>
  </si>
  <si>
    <t>00-00010630</t>
  </si>
  <si>
    <t>Дезодорант EDISON Pluto мужской, 150 мл</t>
  </si>
  <si>
    <t>Deodorant EDISON Pluto man, 150 ml</t>
  </si>
  <si>
    <t>Пена для бритья EDISON для всех типов кожи c алоэ вера, 300 мл</t>
  </si>
  <si>
    <t>Shaving foam EDISON all skin types with aloe vera, 300 ml</t>
  </si>
  <si>
    <t>00-00009212</t>
  </si>
  <si>
    <t>Пена для бритья DIVING CLUB для всех типов кожи, 300 мл</t>
  </si>
  <si>
    <t>DIVING CLUB</t>
  </si>
  <si>
    <t>Пена для бритья EDISON для чувствительной кожи с витаминами, 300 мл</t>
  </si>
  <si>
    <t>Shaving foam EDISON for sensitive skin with vitamins, 300 ml</t>
  </si>
  <si>
    <t>00-00010632</t>
  </si>
  <si>
    <t>Дезодорант GALVANI Verde мужской, 150 мл</t>
  </si>
  <si>
    <t>Deodorant GALVANI Verde man, 150 ml</t>
  </si>
  <si>
    <t>GALVANI</t>
  </si>
  <si>
    <t>00-00010633</t>
  </si>
  <si>
    <t>Дезодорант GALVANI Azzzuro мужской, 150 мл</t>
  </si>
  <si>
    <t>Deodorant GALVANI Azzzuro man, 150 ml</t>
  </si>
  <si>
    <t>00-00010634</t>
  </si>
  <si>
    <t>Дезодорант GALVANI Rosso мужской, 150 мл</t>
  </si>
  <si>
    <t>Deodorant GALVANI Rosso man, 150 ml</t>
  </si>
  <si>
    <t>00-00010911</t>
  </si>
  <si>
    <t>Дезодорант GALVANI Amore женский, 150 мл</t>
  </si>
  <si>
    <t>Deodorant GALVANI Amore woman, 150 ml</t>
  </si>
  <si>
    <t>00-00010913</t>
  </si>
  <si>
    <t>Дезодорант GALVANI Senso женский, 150 мл</t>
  </si>
  <si>
    <t>Deodorant GALVANI Senso woman, 150 ml</t>
  </si>
  <si>
    <t>00-00010914</t>
  </si>
  <si>
    <t>Дезодорант GALVANI Bella женский, 150 мл</t>
  </si>
  <si>
    <t>Deodorant GALVANI Bella woman, 150 ml</t>
  </si>
  <si>
    <t>ER-00011310</t>
  </si>
  <si>
    <t>Дезодорант GALVANI Euforia женский, 150 мл</t>
  </si>
  <si>
    <t>Deodorant GALVANI Euforia woman, 150 ml</t>
  </si>
  <si>
    <t>ER-00011311</t>
  </si>
  <si>
    <t>Дезодорант GALVANI Misterio женский, 150 мл</t>
  </si>
  <si>
    <t>Deodorant GALVANI Misterio woman, 150 ml</t>
  </si>
  <si>
    <t>ER-00011312</t>
  </si>
  <si>
    <t>Дезодорант GALVANI Passione женский, 150 мл</t>
  </si>
  <si>
    <t>Deodorant GALVANI Passione woman, 150 ml</t>
  </si>
  <si>
    <t>ER-00011555</t>
  </si>
  <si>
    <t>Лак для волос GALVANI Прикорневой объем сильная фиксация 4, 300 мл</t>
  </si>
  <si>
    <t>Hairspray GALVANI Root volume strong hold 4, 300 ml</t>
  </si>
  <si>
    <t>ER-00011556</t>
  </si>
  <si>
    <t>Лак для волос GALVANI С коллагеном мегафиксация 5, 300 мл</t>
  </si>
  <si>
    <t>Hairspray GALVANI With collagen mega hold 5, 300 ml</t>
  </si>
  <si>
    <t>00-00008981</t>
  </si>
  <si>
    <t>Лак для волос PROFESSIONAL CHOICE сильная фиксация, 360 мл</t>
  </si>
  <si>
    <t>Hairspray PROFESSIONAL CHOICE strong hold, 360 ml</t>
  </si>
  <si>
    <t>00-00008982</t>
  </si>
  <si>
    <t>Лак для волос PROFESSIONAL CHOICE экстрасильная фиксация, 360 мл</t>
  </si>
  <si>
    <t>Hairspray PROFESSIONAL CHOICE exstrastrong hold, 360 ml</t>
  </si>
  <si>
    <t>00-00008956</t>
  </si>
  <si>
    <t>Cухой шампунь PROFESSIONAL CHOICE для светлых волос, 200 мл</t>
  </si>
  <si>
    <t>Dry Shampoo PROFESSIONAL CHOICE for blond hair, 200 ml</t>
  </si>
  <si>
    <t>Shampoo</t>
  </si>
  <si>
    <t>00-00008957</t>
  </si>
  <si>
    <t>Cухой шампунь PROFESSIONAL CHOICE для темных волос, 200 мл</t>
  </si>
  <si>
    <t>Dry Shampoo PROFESSIONAL CHOICE for dark hair, 200 ml</t>
  </si>
  <si>
    <t>Лак для волос PROFESSIONAL LOOK FANFARE Уход и фиксация, 300 мл</t>
  </si>
  <si>
    <t>Hairspray PROFESSIONAL LOOK FANFARE Stroke and fixation, 300 ml</t>
  </si>
  <si>
    <t>PROFESSIONAL LOOK FANFARE</t>
  </si>
  <si>
    <t>Лак для волос PROFESSIONAL LOOK FANFARE экстрасильная фиксация, 300 мл</t>
  </si>
  <si>
    <t>Hairspray PROFESSIONAL LOOK FANFARE exstrastrong hold, 300 ml</t>
  </si>
  <si>
    <t>00-00001159</t>
  </si>
  <si>
    <t>Лак для волос в аэрозольной упаковке Professional look Fanfare суперсильная фиксация, День 360 мл</t>
  </si>
  <si>
    <t>Hairspray PROFESSIONAL LOOK FANFARE superstrong hold Day, 360 ml</t>
  </si>
  <si>
    <t>00-00001160</t>
  </si>
  <si>
    <t>Лак для волос в аэрозольной упаковке Professional look Fanfare экстрасильная фиксация, Ночь 360 мл</t>
  </si>
  <si>
    <t>Hairspray PROFESSIONAL LOOK FANFARE exstrastrong hold Night, 360 ml</t>
  </si>
  <si>
    <t>00-00001161</t>
  </si>
  <si>
    <t>Лак для волос в аэрозольной упаковке Professional look Fanfare Уход и фиксация, 360 мл</t>
  </si>
  <si>
    <t>Hairspray PROFESSIONAL LOOK FANFARE Stroke and fixation, 360 ml</t>
  </si>
  <si>
    <t>Освежитель воздуха VERTI Лайм, 350 мл</t>
  </si>
  <si>
    <t>Air freshener VERTI Lime, 350 ml</t>
  </si>
  <si>
    <t>VERTI</t>
  </si>
  <si>
    <t>Освежитель воздуха VERTI Морские минералы Блокатор запаха, 350 мл</t>
  </si>
  <si>
    <t>Air freshener VERTI Morse minerals Odor blocker, 350 ml</t>
  </si>
  <si>
    <t>Освежитель воздуха VERTI Антитабак, 350 мл</t>
  </si>
  <si>
    <t>Air freshener VERTI Antitabacco, 350 ml</t>
  </si>
  <si>
    <t>00-00001668</t>
  </si>
  <si>
    <t>Освежитель воздуха AIR PURE После дождя, 250 мл</t>
  </si>
  <si>
    <t>Air freshener AIR PURE After the rain, 250 ml</t>
  </si>
  <si>
    <t>00-00001669</t>
  </si>
  <si>
    <t>Освежитель воздуха AIR PURE Кашемир, 250 мл</t>
  </si>
  <si>
    <t>Air freshener AIR PURE Cashmere, 250 ml</t>
  </si>
  <si>
    <t>00-00001670</t>
  </si>
  <si>
    <t>Освежитель воздуха AIR PURE Цветочная вуаль, 250 мл</t>
  </si>
  <si>
    <t>Air freshener AIR PURE Floral veil, 250 ml</t>
  </si>
  <si>
    <t>00-00001673</t>
  </si>
  <si>
    <t>Освежитель воздуха Air Pure серии Verti "Праздничное ассорти" с ароматом Апельсина и Клюквы, 250мл</t>
  </si>
  <si>
    <t>Air freshener AIR PURE Festive platter Orange and Cranberry, 250 ml</t>
  </si>
  <si>
    <t>00-00001674</t>
  </si>
  <si>
    <t>Освежитель воздуха Air Pure серии Verti "Праздничное ассорти" с ароматом Груши, 250мл</t>
  </si>
  <si>
    <t>Air freshener AIR PURE Festive platter Pear, 250 ml</t>
  </si>
  <si>
    <t>00-00001675</t>
  </si>
  <si>
    <t>Освежитель воздуха Air Pure серии Verti "Праздничное ассорти" с ароматом Мандарина и Хвои, 250мл</t>
  </si>
  <si>
    <t>Air freshener AIR PURE Festive platter Tangerine and needles, 250 ml</t>
  </si>
  <si>
    <t>00-00001676</t>
  </si>
  <si>
    <t>Освежитель воздуха Air Pure серии Verti "Праздничное ассорти" с ароматом Имбирного пряника, 250мл</t>
  </si>
  <si>
    <t>Air freshener AIR PURE Festive platter Gingerbread, 250 ml</t>
  </si>
  <si>
    <t>00-00001677</t>
  </si>
  <si>
    <t>Освежитель воздуха AIR PURE Энергия Тибета, 250 мл</t>
  </si>
  <si>
    <t>Air freshener AIR PURE Energy of Tibet, 250 ml</t>
  </si>
  <si>
    <t>00-00001678</t>
  </si>
  <si>
    <t>Освежитель воздуха AIR PURE Блокатор запаха табачного дыма, 250 мл</t>
  </si>
  <si>
    <t>Air freshener AIR PURE Odor blocker tobacco smoke, 250 ml</t>
  </si>
  <si>
    <t>00-00001679</t>
  </si>
  <si>
    <t>Освежитель воздуха AIR PURE Золотой оазис, 250 мл</t>
  </si>
  <si>
    <t>Air freshener AIR PURE Gold oasis, 250 ml</t>
  </si>
  <si>
    <t>00-00001680</t>
  </si>
  <si>
    <t>Освежитель воздуха AIR PURE Нежное прикосновение, 250 мл</t>
  </si>
  <si>
    <t>Air freshener AIR PURE Gentle touch, 250 ml</t>
  </si>
  <si>
    <t>00-00001681</t>
  </si>
  <si>
    <t>Освежитель воздуха AIR PURE Магический кристалл, 250 мл</t>
  </si>
  <si>
    <t>Air freshener AIR PURE Magic crystal, 250 ml</t>
  </si>
  <si>
    <t>00-00009203</t>
  </si>
  <si>
    <t>Освежитель воздуха AIR PURE Праздничное ассорти орехи и цукаты, 250 мл</t>
  </si>
  <si>
    <t>Air freshener AIR PURE Festive platter nuts and candied fruits, 250 ml</t>
  </si>
  <si>
    <t>00-00009204</t>
  </si>
  <si>
    <t>Освежитель воздуха AIR PURE Праздничное ассорти мандарин и маршмеллоу, 250 мл</t>
  </si>
  <si>
    <t>Air freshener AIR PURE Festive platter tangerine and marshmallow, 250 ml</t>
  </si>
  <si>
    <t>00-00009205</t>
  </si>
  <si>
    <t>Освежитель воздуха AIR PURE Праздничное ассорти имбирный бисквит, 250 мл</t>
  </si>
  <si>
    <t>Air freshener AIR PURE Festive platter ginger sponge cake, 250 ml</t>
  </si>
  <si>
    <t>00-00009206</t>
  </si>
  <si>
    <t>Освежитель воздуха AIR PURE Праздничное ассорти яблоко и пряности, 250 мл</t>
  </si>
  <si>
    <t>Air freshener AIR PURE Festive platter apple and spices, 250 ml</t>
  </si>
  <si>
    <t>00-00010843</t>
  </si>
  <si>
    <t>Освежитель воздуха AIR PURE После дождя, 230 мл</t>
  </si>
  <si>
    <t>Air freshener AIR PURE After the rain, 230 ml</t>
  </si>
  <si>
    <t>00-00010845</t>
  </si>
  <si>
    <t>Освежитель воздуха AIR PURE Кашемир, 230 мл</t>
  </si>
  <si>
    <t>Air freshener AIR PURE Cashmere, 230 ml</t>
  </si>
  <si>
    <t>00-00010847</t>
  </si>
  <si>
    <t>Освежитель воздуха AIR PURE Цветочная вуаль, 230 мл</t>
  </si>
  <si>
    <t>Air freshener AIR PURE Floral veil, 230 ml</t>
  </si>
  <si>
    <t>00-00010849</t>
  </si>
  <si>
    <t>Освежитель воздуха AIR PURE Блокатор запаха табачного дыма, 230 мл</t>
  </si>
  <si>
    <t>Air freshener AIR PURE Odor blocker tobacco smoke, 230 ml</t>
  </si>
  <si>
    <t>00-00010853</t>
  </si>
  <si>
    <t>Освежитель воздуха AIR PURE Золотой оазис, 230 мл</t>
  </si>
  <si>
    <t>Air freshener AIR PURE Gold oasis, 230 ml</t>
  </si>
  <si>
    <t>00-00010855</t>
  </si>
  <si>
    <t>Освежитель воздуха AIR PURE Нежное прикосновение, 230 мл</t>
  </si>
  <si>
    <t>Air freshener AIR PURE Gentle touch, 230 ml</t>
  </si>
  <si>
    <t>00-00010857</t>
  </si>
  <si>
    <t>Освежитель воздуха AIR PURE Магический кристалл, 230 мл</t>
  </si>
  <si>
    <t>Air freshener AIR PURE Magic crystal, 230 ml</t>
  </si>
  <si>
    <t>ER-00011428</t>
  </si>
  <si>
    <t>Освежитель воздуха AIR PURE Verti Магия аромата Заветное желание, 230 мл</t>
  </si>
  <si>
    <t>Air freshener AIR PURE Magic of fragrance Heart's desire, 230 ml</t>
  </si>
  <si>
    <t>ER-00011429</t>
  </si>
  <si>
    <t>Освежитель воздуха AIR PURE Verti Магия аромата Кусочек счастья, 230 мл</t>
  </si>
  <si>
    <t>Air freshener AIR PURE Magic of fragrance Piece of happiness, 230 ml</t>
  </si>
  <si>
    <t>ER-00011430</t>
  </si>
  <si>
    <t>Освежитель воздуха AIR PURE Verti Магия аромата Сказка там, где ты, 230 мл</t>
  </si>
  <si>
    <t>Air freshener AIR PURE Magic of fragrance Fairy tale is where you're, 230 ml</t>
  </si>
  <si>
    <t>ER-00011431</t>
  </si>
  <si>
    <t>Освежитель воздуха AIR PURE Verti Магия аромата Чудеса все ближе, 230 мл</t>
  </si>
  <si>
    <t>Air freshener AIR PURE Magic of fragrance Miracles are closer, 230 ml</t>
  </si>
  <si>
    <t>Освежитель воздуха AIR PURE HOME AROMA Verti Дыхание тайги, 230 мл</t>
  </si>
  <si>
    <t>Air freshener AIR PURE Home Aroma Breath of the taiga, 230 ml</t>
  </si>
  <si>
    <t>Освежитель воздуха AIR PURE HOME AROMA Verti Ананасовый пунш, 230 мл</t>
  </si>
  <si>
    <t>Air freshener AIR PURE Home Aroma Pineapple punch, 230 ml</t>
  </si>
  <si>
    <t>Освежитель воздуха AIR PURE HOME AROMA Verti Императорский сад, 230 мл</t>
  </si>
  <si>
    <t>Air freshener AIR PURE Home Aroma Imperial Garden, 230 ml</t>
  </si>
  <si>
    <t>ER-00011603</t>
  </si>
  <si>
    <t>Освежитель воздуха AIR PURE HOME AROMA Verti, Дары леса, 230 мл</t>
  </si>
  <si>
    <t>Air freshener AIR PURE Home Aroma, Gifts of the forest, 230 ml</t>
  </si>
  <si>
    <t>ER-00012059</t>
  </si>
  <si>
    <t>Освежитель воздуха AROMA VOYAGE Hello Aroma Verti, Тропический смузи, 250 мл, С</t>
  </si>
  <si>
    <t>Air freshener AROMA VOYAGE Hello Aroma Tropical smoothie, 250 ml</t>
  </si>
  <si>
    <t>ER-00012057</t>
  </si>
  <si>
    <t>Освежитель воздуха AROMA VOYAGE Hello Aroma Verti, Карельские ягоды, 250 мл, С</t>
  </si>
  <si>
    <t>Air freshener AROMA VOYAGE Hello Aroma Karelian berries, 250 ml</t>
  </si>
  <si>
    <t>ER-00012056</t>
  </si>
  <si>
    <t>Освежитель воздуха AROMA VOYAGE Hello Aroma Verti, Алтайская свежесть, 250 мл, С</t>
  </si>
  <si>
    <t>Air freshener AROMA VOYAGE Hello Aroma Altai freshness, 250 ml</t>
  </si>
  <si>
    <t>ER-00012058</t>
  </si>
  <si>
    <t>Освежитель воздуха AROMA VOYAGE Hello Aroma Verti, Китайская орхидея, 250 мл, С</t>
  </si>
  <si>
    <t>Air freshener AROMA VOYAGE Hello Aroma Chinese Orchid, 250 ml</t>
  </si>
  <si>
    <t>00-00010564</t>
  </si>
  <si>
    <t>Освежитель воздуха HOME AROMA Verti Мексиканская ваниль, 250 мл</t>
  </si>
  <si>
    <t>Air freshener HOME AROMA Mexican vanila, 250 ml</t>
  </si>
  <si>
    <t>00-00010566</t>
  </si>
  <si>
    <t>Освежитель воздуха HOME AROMA Verti Гавайский сандал, 250 мл</t>
  </si>
  <si>
    <t>Air freshener HOME AROMA Hawaiian sandalwood, 250 ml</t>
  </si>
  <si>
    <t>00-00010567</t>
  </si>
  <si>
    <t>Освежитель воздуха HOME AROMA Verti Турецкая хурма, 250 мл</t>
  </si>
  <si>
    <t>Air freshener HOME AROMA Turkish persimmon, 250 ml</t>
  </si>
  <si>
    <t>00-00010568</t>
  </si>
  <si>
    <t>Освежитель воздуха HOME AROMA Verti Ямайский имбирь, 250 мл</t>
  </si>
  <si>
    <t>Air freshener HOME AROMA Jamaican Ginger, 250 ml</t>
  </si>
  <si>
    <t>00-00010650</t>
  </si>
  <si>
    <t>Освежитель воздуха WILD AROMA Verti Нагретое дерево, 250 мл</t>
  </si>
  <si>
    <t>Air freshener WILD AROMA Heated wood, 250 ml</t>
  </si>
  <si>
    <t>00-00010651</t>
  </si>
  <si>
    <t>Освежитель воздуха WILD AROMA Verti Дикая вишня, 250 мл</t>
  </si>
  <si>
    <t>Air freshener WILD AROMA Wild cherry , 250 ml</t>
  </si>
  <si>
    <t>00-00010652</t>
  </si>
  <si>
    <t>Освежитель воздуха WILD AROMA Verti Сухой вереск, 250 мл</t>
  </si>
  <si>
    <t>Air freshener WILD AROMA Dry heather, 250 ml</t>
  </si>
  <si>
    <t>00-00010653</t>
  </si>
  <si>
    <t>Освежитель воздуха WILD AROMA Verti Соленый ветер, 250 мл</t>
  </si>
  <si>
    <t>Air freshener WILD AROMA Salted wind, 250 ml</t>
  </si>
  <si>
    <t>00-00009534</t>
  </si>
  <si>
    <t>Освежитель воздуха Air Fragrance Home Aroma by Verti ваниль и корица, 300мл</t>
  </si>
  <si>
    <t>Air freshener HOME AROMA  Verti vanila and cinnamon, 300 ml</t>
  </si>
  <si>
    <t>00-00009535</t>
  </si>
  <si>
    <t>Освежитель воздуха Air Fragrance Home Aroma by Verti мандарин и хвоя, 300мл</t>
  </si>
  <si>
    <t>Air freshener HOME AROMA  Verti Tangerine and needles, 300 ml</t>
  </si>
  <si>
    <t>00-00009070</t>
  </si>
  <si>
    <t>Дезодорант для автомобиля BIG D Черный лёд, 150 мл</t>
  </si>
  <si>
    <t>Deodorant for car BIG D Black ice, 150 ml</t>
  </si>
  <si>
    <t>Deodorant for interior</t>
  </si>
  <si>
    <t>00-00009073</t>
  </si>
  <si>
    <t>Дезодорант для салона автомобиля  серии "Big D/Биг Ди": "New car/Новая машина", 150мл</t>
  </si>
  <si>
    <t>Deodorant for car BIG D New car, 150 ml</t>
  </si>
  <si>
    <t>00-00009074</t>
  </si>
  <si>
    <t>Дезодорант для автомобиля BIG D Цитрус, 150 мл</t>
  </si>
  <si>
    <t>Deodorant for car BIG D Citrus, 150 ml</t>
  </si>
  <si>
    <t>00-00009075</t>
  </si>
  <si>
    <t>Дезодорант для салона автомобиля  серии "Big D/Биг Ди": "Vanilla/Ваниль", 150мл</t>
  </si>
  <si>
    <t>Deodorant for car BIG D Vanila, 150 ml</t>
  </si>
  <si>
    <t>00-00007741</t>
  </si>
  <si>
    <t>Дезодорант для автомобиля BIG D Черный лёд, 100 мл</t>
  </si>
  <si>
    <t>Deodorant for car BIG D Black ice, 100 ml</t>
  </si>
  <si>
    <t>00-00007742</t>
  </si>
  <si>
    <t>Дезодорант для автомобиля BIG D Новая машина, 100 мл</t>
  </si>
  <si>
    <t>Deodorant for car BIG D New car, 100 ml</t>
  </si>
  <si>
    <t>00-00007743</t>
  </si>
  <si>
    <t>Дезодорант для автомобиля BIG D Цитрус, 100 мл</t>
  </si>
  <si>
    <t>Deodorant for car BIG D Citrus, 100 ml</t>
  </si>
  <si>
    <t>00-00007744</t>
  </si>
  <si>
    <t>Дезодорант для автомобиля BIG D Ваниль, 100 мл</t>
  </si>
  <si>
    <t>Deodorant for car BIG D Vanila, 100 ml</t>
  </si>
  <si>
    <t>00-00007758</t>
  </si>
  <si>
    <t>Очиститель обивки салона BIG D Multipurpose foam cleaner, 500 мл</t>
  </si>
  <si>
    <t>Interior cleaner BIG D Mutipurpose foam cleaner, 500 ml</t>
  </si>
  <si>
    <t>ER-00011527</t>
  </si>
  <si>
    <t>Очиститель обивки салона BIG D Multipurpose foam cleaner, 500 мл, C</t>
  </si>
  <si>
    <t>00-00007749</t>
  </si>
  <si>
    <t>Очиститель стекол и зеркал BIG D Anti-Cloud, анти-запотевание, 500 мл</t>
  </si>
  <si>
    <t>Glass and mirror cleaner BIG D Anti-Cloud, anti-fog, 500 ml</t>
  </si>
  <si>
    <t>Cleaner for glass and mirror</t>
  </si>
  <si>
    <t>ER-00012682</t>
  </si>
  <si>
    <t>Очиститель стекол и зеркал BIG D Anti-Cloud, анти-запотевание, 500 мл, C</t>
  </si>
  <si>
    <t>ER-00011844</t>
  </si>
  <si>
    <t>Очиститель тормозов и механизмов сцепления и электрооборудования BIG D, 500 мл, С</t>
  </si>
  <si>
    <t>Brake, clutch and electrical cleaner BIG D, 500 ml, Sl</t>
  </si>
  <si>
    <t xml:space="preserve">Cleaner for brake and clutch </t>
  </si>
  <si>
    <t>00-00007747</t>
  </si>
  <si>
    <t>Очиститель тормозов и механизмов сцепления и электрооборудования BIG D, 500 мл</t>
  </si>
  <si>
    <t>00-00001537</t>
  </si>
  <si>
    <t>Полироль BIG D Ваниль, 750 мл</t>
  </si>
  <si>
    <t>Polish BIG D Vanila, 750 ml</t>
  </si>
  <si>
    <t>Polisher for interior</t>
  </si>
  <si>
    <t>00-00001538</t>
  </si>
  <si>
    <t>Полироль BIG D Вишня, 750 мл</t>
  </si>
  <si>
    <t>Polish BIG D Cherry , 750 ml</t>
  </si>
  <si>
    <t>00-00001539</t>
  </si>
  <si>
    <t>Полироль BIG D Лимон, 750 мл</t>
  </si>
  <si>
    <t>Polish BIG D Lemon, 750 ml</t>
  </si>
  <si>
    <t>00-00001540</t>
  </si>
  <si>
    <t>Полироль BIG D Яблоко, 750 мл</t>
  </si>
  <si>
    <t>Polish BIG D Apple, 750 ml</t>
  </si>
  <si>
    <t>00-00009076</t>
  </si>
  <si>
    <t>Полироль для приборной панели серии "Big D/Биг ДИ" в аэрозольной упаковке: "ВАНИЛЬ", 150мл</t>
  </si>
  <si>
    <t>Polish BIG D Vanila, 150 ml</t>
  </si>
  <si>
    <t>00-00009077</t>
  </si>
  <si>
    <t>Полироль для приборной панели серии "Big D/Биг ДИ" в аэрозольной упаковке: "ВИШНЯ", 150мл</t>
  </si>
  <si>
    <t>Polish BIG D Cherry , 150 ml</t>
  </si>
  <si>
    <t>00-00009078</t>
  </si>
  <si>
    <t>Полироль для приборной панели серии "Big D/Биг ДИ" в аэрозольной упаковке: "ЛИМОН", 150мл</t>
  </si>
  <si>
    <t>Polish BIG D Lemon, 150 ml</t>
  </si>
  <si>
    <t>00-00009079</t>
  </si>
  <si>
    <t>Полироль для приборной панели серии "Big D/Биг ДИ" в аэрозольной упаковке: "ЯБЛОКО", 150мл</t>
  </si>
  <si>
    <t>Polish BIG D Apple, 150 ml</t>
  </si>
  <si>
    <t>00-00007751</t>
  </si>
  <si>
    <t>Размораживатель стекол и замков BIG D, 500 мл</t>
  </si>
  <si>
    <t>Defrost glass and locks BIG D, 500 ml</t>
  </si>
  <si>
    <t>Defroster for window and lock</t>
  </si>
  <si>
    <t>00-00008992</t>
  </si>
  <si>
    <t>Силиконовая смазка BIG D, 150 мл, С</t>
  </si>
  <si>
    <t>Silicone Grease BIG D, 150 ml, Sl</t>
  </si>
  <si>
    <t>Силиконовая смазка BIG D, 500 мл, С</t>
  </si>
  <si>
    <t>Silicone Grease BIG D, 500 ml, Sl</t>
  </si>
  <si>
    <t>00-00007748</t>
  </si>
  <si>
    <t>Чернитель шин BIG D, 500 мл</t>
  </si>
  <si>
    <t>Tire ink BIG D, 500 ml</t>
  </si>
  <si>
    <t>Tire shine</t>
  </si>
  <si>
    <t>00-00000279</t>
  </si>
  <si>
    <t>Очиститель стекол и зеркал серии Orange boom ANTI-CLOUD с эффектом антизапотевания 300мл</t>
  </si>
  <si>
    <t>Glass and mirror cleaner BIG D Orange boom, 300 ml</t>
  </si>
  <si>
    <t>ORANGE BOOM</t>
  </si>
  <si>
    <t>Glass cleaner</t>
  </si>
  <si>
    <t>00-00001764</t>
  </si>
  <si>
    <t>Растяжка для обуви из натуральной кожи,замши,велюра и нубука серии BIG D/БИГ ДИ ,100 мл</t>
  </si>
  <si>
    <t>Stretcher BIG D for shoes made of genuine leather, suede, velor and nubuck, 100 ml</t>
  </si>
  <si>
    <t>Shoe stretcher</t>
  </si>
  <si>
    <t>00-00001030</t>
  </si>
  <si>
    <t>Средство дезинфицирующее "Estellar"/Эстеллар "Супер защита",300мл ЛИТОГРАФИЯ</t>
  </si>
  <si>
    <t>Disinfectant ESTELLAR Super protection, 300 ml, Sl</t>
  </si>
  <si>
    <t>00-00000286</t>
  </si>
  <si>
    <t>Очиститель духовки серии "Orange boom", 300мл/220г</t>
  </si>
  <si>
    <t>Oven cleaner ANTI-CLOUD Orange boom, 300 ml</t>
  </si>
  <si>
    <t>Household appliance cleaner</t>
  </si>
  <si>
    <t>00-00001536</t>
  </si>
  <si>
    <t>Полироль ANTI-DUST Orange boom с антистатическим эффектом, 300 мл</t>
  </si>
  <si>
    <t>Polish ANTI-DUST Orange boom antistatic effect, 300 ml</t>
  </si>
  <si>
    <t>00-00010587</t>
  </si>
  <si>
    <t>Дезодорант MISTY Amethyst женский, 150 мл</t>
  </si>
  <si>
    <t>Deodorant MISTY Amethyst woman, 150 ml</t>
  </si>
  <si>
    <t>MISTY</t>
  </si>
  <si>
    <t>00-00010588</t>
  </si>
  <si>
    <t>Дезодорант MISTY Ruby женский, 150 мл</t>
  </si>
  <si>
    <t>Deodorant MISTY Ruby woman, 150 ml</t>
  </si>
  <si>
    <t>00-00010589</t>
  </si>
  <si>
    <t>Дезодорант MISTY Sapphire женский, 150 мл</t>
  </si>
  <si>
    <t>Deodorant MISTY Sapphire woman, 150 ml</t>
  </si>
  <si>
    <t>00-00001739</t>
  </si>
  <si>
    <t>Пена для бритья "Diving Club"  для чувствительной кожи, 200мл/160г.</t>
  </si>
  <si>
    <t>Shaving foam DIVING CLUB for sensitive skin, 200 ml</t>
  </si>
  <si>
    <t>00-00001740</t>
  </si>
  <si>
    <t>Пена для бритья "Diving Club"  для нормальной кожи, 200мл/160г</t>
  </si>
  <si>
    <t>Shaving foam DIVING CLUB for normal skin, 200 ml</t>
  </si>
  <si>
    <t>00-00009211</t>
  </si>
  <si>
    <t>Пена для бритья DIVING CLUB для чувствительной кожи, 300 мл</t>
  </si>
  <si>
    <t>Shaving foam DIVING CLUB for sensitive skin, 300 ml</t>
  </si>
  <si>
    <t>ER-00011934</t>
  </si>
  <si>
    <t>Пена для бритья DIVING CLUB для чувствительной кожи, 300 мл, ARM</t>
  </si>
  <si>
    <t>ER-00011935</t>
  </si>
  <si>
    <t>Пена для бритья DIVING CLUB для всех типов кожи, 300 мл, ARM</t>
  </si>
  <si>
    <t>Shaving foam DIVING CLUB all skin types, 300 ml</t>
  </si>
  <si>
    <t>00-00000059</t>
  </si>
  <si>
    <t>Освежитель воздуха в аэрозольной упаковке Glade® Automatic "Океанский оазис" 269мл.</t>
  </si>
  <si>
    <t>Air freshener GLADE Ocean oasis, 269 ml</t>
  </si>
  <si>
    <t>00-00000060</t>
  </si>
  <si>
    <t>Освежитель воздуха в аэрозольной упаковке Glade® Automatic "Свежесть утра" 269 мл.</t>
  </si>
  <si>
    <t>Air freshener GLADE Morning freshness, 269 ml</t>
  </si>
  <si>
    <t>00-00000061</t>
  </si>
  <si>
    <t>Освежитель воздуха GLADE Гавайский бриз, 269 мл</t>
  </si>
  <si>
    <t>Air freshener GLADE Hawaiian breeze, 269 ml</t>
  </si>
  <si>
    <t>GLADE</t>
  </si>
  <si>
    <t>00-00000062</t>
  </si>
  <si>
    <t>Освежитель воздуха Glade® Automatic "Лазурная волна и магнолия" 269мл(сменный баллон)</t>
  </si>
  <si>
    <t>Air freshener GLADE Azure wave and magnolia, 269 ml</t>
  </si>
  <si>
    <t>00-00000063</t>
  </si>
  <si>
    <t>Освежитель воздуха Glade® Automatic "Яблоко и корица" 269мл(сменный баллон)</t>
  </si>
  <si>
    <t>Air freshener GLADE apple and cinnamon, 269 ml</t>
  </si>
  <si>
    <t>00-00000064</t>
  </si>
  <si>
    <t>Освежитель воздуха Glade® Automatic "Нежность кашемира и сандал" 269мл(сменный баллон)</t>
  </si>
  <si>
    <t>Air freshener GLADE Cashmere tenderness and sandalwood, 269 ml</t>
  </si>
  <si>
    <t>00-00000065</t>
  </si>
  <si>
    <t>Освежитель воздуха GLADE Свежесть белья, 269 мл</t>
  </si>
  <si>
    <t>Air freshener GLADE Linen freshness, 269 ml</t>
  </si>
  <si>
    <t>00-00000066</t>
  </si>
  <si>
    <t>Освежитель воздуха GLADE Сицилийский лимонад и мята, 269 мл</t>
  </si>
  <si>
    <t>Air freshener GLADE Sicilian lemonade and mint, 269 ml</t>
  </si>
  <si>
    <t>00-00000067</t>
  </si>
  <si>
    <t>Освежитель воздуха Glade® Automatic "Японский сад" 269мл(сменный баллон)</t>
  </si>
  <si>
    <t>Air freshener GLADE Japanese garden, 269 ml</t>
  </si>
  <si>
    <t>00-00001157</t>
  </si>
  <si>
    <t>Лак для волос ORIGAMI Professional экстрасильная фиксация, 300 мл</t>
  </si>
  <si>
    <t>Hairspray ORIGAMI Professional exstrastrong hold, 300 ml</t>
  </si>
  <si>
    <t>ORIGAMI</t>
  </si>
  <si>
    <t>00-00001158</t>
  </si>
  <si>
    <t>Лак для волос ORIGAMI Professional look fanfare экстрасильной фиксации, 300 мл</t>
  </si>
  <si>
    <t>Hairspray ORIGAMI Professional look fanfare extra strong hold, 300 ml</t>
  </si>
  <si>
    <t>00-00008826</t>
  </si>
  <si>
    <t>Лак для волос ORIGAMI Professional look fanfare суперсильной фиксации, 300 мл</t>
  </si>
  <si>
    <t>Hairspray ORIGAMI Professional look fanfare super strong hold, 300 ml</t>
  </si>
  <si>
    <t>00-00001072</t>
  </si>
  <si>
    <t>Освежитель воздуха ORIGAMI Verti Царица ночи Блокатор запаха, 250 мл</t>
  </si>
  <si>
    <t>Air freshener ORIGAMI Verti Queen of the Night Odor blocker, 250 ml</t>
  </si>
  <si>
    <t>00-00001073</t>
  </si>
  <si>
    <t>Освежитель воздуха ORIGAMI Verti Ягодный сорбет Блокатор запаха, 250 мл</t>
  </si>
  <si>
    <t>Air freshener ORIGAMI Verti Berry sorbet Odor blocker, 250 ml</t>
  </si>
  <si>
    <t>00-00001074</t>
  </si>
  <si>
    <t>Освежитель воздуха ORIGAMI "Ванильные небеса. Блокатор запаха" серии Verti 250 мл</t>
  </si>
  <si>
    <t>Air freshener ORIGAMI Verti Vanila sky Odor blocker, 250 ml</t>
  </si>
  <si>
    <t>00-00001075</t>
  </si>
  <si>
    <t>Освежитель воздуха ORIGAMI Королевский десерт, 250 мл</t>
  </si>
  <si>
    <t>Air freshener ORIGAMI Royal dessert, 250 ml</t>
  </si>
  <si>
    <t>00-00001076</t>
  </si>
  <si>
    <t>Освежитель воздуха ORIGAMI серии«VERTI» «Морские минералы. Блокатор запаха», 250мл</t>
  </si>
  <si>
    <t>Air freshener ORIGAMI Verti Morse minerals Odor blocker, 250 ml</t>
  </si>
  <si>
    <t>00-00001077</t>
  </si>
  <si>
    <t>Освежитель воздуха ORIGAMI серии«VERTI» «Энергия Тибета», 250мл</t>
  </si>
  <si>
    <t>Air freshener ORIGAMI Verti Energy of Tibet, 250 ml</t>
  </si>
  <si>
    <t>00-00001078</t>
  </si>
  <si>
    <t>Освежитель воздуха ORIGAMI Verti Нежное прикосновение, 250 мл</t>
  </si>
  <si>
    <t>Air freshener ORIGAMI Verti Gentle touch, 250 ml</t>
  </si>
  <si>
    <t>00-00009415</t>
  </si>
  <si>
    <t>Продукция косметическая сухой шампунь Origami серии "Professional Look Fanfare", 200мл</t>
  </si>
  <si>
    <t>Dry Shampoo ORIGAMI Professional Look Fanfare, 200 ml</t>
  </si>
  <si>
    <t>Dry shampoo</t>
  </si>
  <si>
    <t>00-00002394</t>
  </si>
  <si>
    <t>Антистатик 1b.ru Big D, 200 мл</t>
  </si>
  <si>
    <t>Antistatic 1b.ru Big D, 200 ml</t>
  </si>
  <si>
    <t>1b.ru</t>
  </si>
  <si>
    <t>00-00001008</t>
  </si>
  <si>
    <t>Дезодорант U Elegant женский, 150 мл</t>
  </si>
  <si>
    <t>Deodorant U Elegant woman, 150 ml</t>
  </si>
  <si>
    <t>U</t>
  </si>
  <si>
    <t>00-00001009</t>
  </si>
  <si>
    <t>Дезодорант U Enjoy женский, 150 мл</t>
  </si>
  <si>
    <t>Deodorant U Enjoy woman, 150 ml</t>
  </si>
  <si>
    <t>00-00001010</t>
  </si>
  <si>
    <t>Дезодорант U Paradise женский, 150 мл</t>
  </si>
  <si>
    <t>Deodorant U Paradise woman, 150 ml</t>
  </si>
  <si>
    <t>00-00001005</t>
  </si>
  <si>
    <t>Дезодорант U Energy мужской, 150 мл</t>
  </si>
  <si>
    <t>Deodorant U Energy man, 150 ml</t>
  </si>
  <si>
    <t>00-00001006</t>
  </si>
  <si>
    <t>Дезодорант U Status мужской, 150 мл</t>
  </si>
  <si>
    <t>Deodorant U Status man, 150 ml</t>
  </si>
  <si>
    <t>00-00001007</t>
  </si>
  <si>
    <t>Дезодорант U Strong мужской, 150 мл</t>
  </si>
  <si>
    <t>Deodorant U Strong man, 150 ml</t>
  </si>
  <si>
    <t>00-00001254</t>
  </si>
  <si>
    <t>Лак для волос 1b.ru Professional Look Fanfare экстрасильная фиксация, 200 мл</t>
  </si>
  <si>
    <t>Hairspray 1b.ru Professional Look Fanfare exstrastrong hold, 200 ml</t>
  </si>
  <si>
    <t>00-00001255</t>
  </si>
  <si>
    <t>Лак для волос 1b.ru Professional Look Fanfare суперсильная фиксация, 200 мл</t>
  </si>
  <si>
    <t>Hairspray 1b.ru Professional Look Fanfare superstrong hold, 200 ml</t>
  </si>
  <si>
    <t>00-00002520</t>
  </si>
  <si>
    <t>Освежитель воздуха 1b.ru Alpen Фиалковое поле, 300 мл</t>
  </si>
  <si>
    <t>Air freshener 1b.ru Alpen Violet field, 300 ml</t>
  </si>
  <si>
    <t>00-00002521</t>
  </si>
  <si>
    <t>Освежитель воздуха 1b.ru Alpen Карибское море, 300 мл</t>
  </si>
  <si>
    <t>Air freshener 1b.ru Alpen Caribbean sea, 300 ml</t>
  </si>
  <si>
    <t>00-00002522</t>
  </si>
  <si>
    <t>Освежитель воздуха 1b.ru Alpen Лесные ягоды, 300 мл</t>
  </si>
  <si>
    <t>Air freshener 1b.ru Alpen Berries, 300 ml</t>
  </si>
  <si>
    <t>00-00002523</t>
  </si>
  <si>
    <t>Освежитель воздуха 1b.ru Alpen Утренняя роса, 300 мл</t>
  </si>
  <si>
    <t>Air freshener 1b.ru Alpen Morning dew, 300 ml</t>
  </si>
  <si>
    <t>00-00009567</t>
  </si>
  <si>
    <t>Освежитель воздуха 1b.ru Resto Aroma Verti Лайм и Корица, 300 мл</t>
  </si>
  <si>
    <t>Air freshener 1b.ru Resto Aroma by Verti Lime and cinnamon, 300 ml</t>
  </si>
  <si>
    <t>00-00009568</t>
  </si>
  <si>
    <t>Освежитель воздуха 1b.ru Resto Aroma Verti Фруктовый Мармелад, 300 мл</t>
  </si>
  <si>
    <t>Air freshener 1b.ru Resto Aroma by Verti Fruit jelly, 300 ml</t>
  </si>
  <si>
    <t>00-00010719</t>
  </si>
  <si>
    <t>Освежитель воздуха 1b.ru Resto Aroma Verti Имбирный чай, 300 мл</t>
  </si>
  <si>
    <t>Air freshener 1b.ru Resto Aroma by Verti Ginger tea, 300 ml</t>
  </si>
  <si>
    <t>00-00010724</t>
  </si>
  <si>
    <t>Освежитель воздуха 1b.ru Resto Aroma Verti Рождественский вечер, 300 мл</t>
  </si>
  <si>
    <t>Air freshener 1b.ru Resto Aroma by Verti Christmas evening, 300 ml</t>
  </si>
  <si>
    <t>00-00010725</t>
  </si>
  <si>
    <t>Освежитель воздуха 1b.ru Resto Aroma Verti Сакура, 300 мл</t>
  </si>
  <si>
    <t>Air freshener 1b.ru Resto Aroma by Verti Sakura, 300 ml</t>
  </si>
  <si>
    <t>00-00010726</t>
  </si>
  <si>
    <t>Освежитель воздуха 1b.ru Resto Aroma Verti Сирень, 300 мл</t>
  </si>
  <si>
    <t>Air freshener 1b.ru Resto Aroma by Verti Lilac, 300 ml</t>
  </si>
  <si>
    <t>00-00009570</t>
  </si>
  <si>
    <t>Освежитель воздуха 1b.ru Королевский десерт, 250 мл</t>
  </si>
  <si>
    <t>Air freshener 1b.ru Royal dessert, 250 ml</t>
  </si>
  <si>
    <t>00-00009571</t>
  </si>
  <si>
    <t>Освежитель воздуха 1b.ru Verti Горячий шоколад, 250 мл</t>
  </si>
  <si>
    <t>Air freshener 1b.ru Verti Hot chocolate, 250 ml</t>
  </si>
  <si>
    <t>00-00001069</t>
  </si>
  <si>
    <t>Пена для бритья 1b.ru Extreme man для чувствительной кожи, 200 мл</t>
  </si>
  <si>
    <t>Shaving foam 1b.ru Extreme man for sensitive skin, 200 ml</t>
  </si>
  <si>
    <t>00-00001070</t>
  </si>
  <si>
    <t>Пена для бритья 1b.ru Extreme man для нормальной кожи, 200 мл</t>
  </si>
  <si>
    <t>Shaving foam 1b.ru Extreme man for normal skin, 200 ml</t>
  </si>
  <si>
    <t>00-00010125</t>
  </si>
  <si>
    <t>Дезодорант DEAR MOLLY Пудровая роза, 150 мл</t>
  </si>
  <si>
    <t>Deodorant DEAR MOLLY Powder rose, 150 ml</t>
  </si>
  <si>
    <t>DEAR MOLLY</t>
  </si>
  <si>
    <t>00-00010126</t>
  </si>
  <si>
    <t>Дезодорант DEAR MOLLY Красные ягоды, 150 мл</t>
  </si>
  <si>
    <t>Deodorant DEAR MOLLY Red berries, 150 ml</t>
  </si>
  <si>
    <t>00-00010127</t>
  </si>
  <si>
    <t>Дезодорант DEAR MOLLY Белые цветы, 150 мл</t>
  </si>
  <si>
    <t>Deodorant DEAR MOLLY White flowers, 150 ml</t>
  </si>
  <si>
    <t>00-00010128</t>
  </si>
  <si>
    <t>Дезодорант DEAR MOLLY Цветущая сакура, 150 мл</t>
  </si>
  <si>
    <t>Deodorant DEAR MOLLY Cherry blossoms, 150 ml</t>
  </si>
  <si>
    <t>00-00010129</t>
  </si>
  <si>
    <t>Дезодорант DEAR MOLLY Французская ваниль, 150 мл</t>
  </si>
  <si>
    <t>Deodorant DEAR MOLLY French vanila, 150 ml</t>
  </si>
  <si>
    <t>00-00009477</t>
  </si>
  <si>
    <t>Освежитель воздуха DEAR MOLLY Кола и сочный лайм, 200 мл</t>
  </si>
  <si>
    <t>Air freshener DEAR MOLLY Cola and Juicy lime, 200 ml</t>
  </si>
  <si>
    <t>00-00009478</t>
  </si>
  <si>
    <t>Освежитель воздуха DEAR MOLLY Ваниль и сладкий абрикос, 200 мл</t>
  </si>
  <si>
    <t>Air freshener DEAR MOLLY Vanila and sweet apricot, 200 ml</t>
  </si>
  <si>
    <t>00-00009479</t>
  </si>
  <si>
    <t>Освежитель воздуха DEAR MOLLY Карамель и сицилийский мандарин, 200 мл</t>
  </si>
  <si>
    <t>Air freshener DEAR MOLLY Caramel and cicilian tangerine, 200 ml</t>
  </si>
  <si>
    <t>00-00010147</t>
  </si>
  <si>
    <t>Дезодорант SODA Леденцы, 150 мл</t>
  </si>
  <si>
    <t>Deodorant SODA Lollipops, 150 ml</t>
  </si>
  <si>
    <t xml:space="preserve">SODA </t>
  </si>
  <si>
    <t>00-00010148</t>
  </si>
  <si>
    <t>Дезодорант SODA Сакура, 150 мл</t>
  </si>
  <si>
    <t>Deodorant SODA Sakura, 150 ml</t>
  </si>
  <si>
    <t>00-00010081</t>
  </si>
  <si>
    <t>Дезодорант SOPHISTICATED Водяная лилия, 150 мл</t>
  </si>
  <si>
    <t>Deodorant SOPHISTICATED Water lily, 150 ml</t>
  </si>
  <si>
    <t>SOPHISTICATED</t>
  </si>
  <si>
    <t>00-00010082</t>
  </si>
  <si>
    <t>Дезодорант SOPHISTICATED Цветок бергамота, 150 мл</t>
  </si>
  <si>
    <t>Deodorant SOPHISTICATED Bergamot flower, 150 ml</t>
  </si>
  <si>
    <t>00-00010083</t>
  </si>
  <si>
    <t>Дезодорант SOPHISTICATED Тропический цветок, 150 мл</t>
  </si>
  <si>
    <t>Deodorant SOPHISTICATED Tropical flower, 150 ml</t>
  </si>
  <si>
    <t>00-00010084</t>
  </si>
  <si>
    <t>Дезодорант SOPHISTICATED Весенний букет, 150 мл</t>
  </si>
  <si>
    <t>Deodorant SOPHISTICATED Spring bouquet, 150 ml</t>
  </si>
  <si>
    <t>00-00010085</t>
  </si>
  <si>
    <t>Дезодорант SOPHISTICATED Дикие ягоды, 150 мл</t>
  </si>
  <si>
    <t>Deodorant SOPHISTICATED Wild Berries, 150 ml</t>
  </si>
  <si>
    <t>00-00010150</t>
  </si>
  <si>
    <t>Дезодорант UNICORNS APPROVE Бабл гам, 150 мл</t>
  </si>
  <si>
    <t>Deodorant UNICORNS APPROVE Bubble gum, 150 ml</t>
  </si>
  <si>
    <t>UNICORNS APPROVE</t>
  </si>
  <si>
    <t>00-00010151</t>
  </si>
  <si>
    <t>Дезодорант UNICORNS APPROVE Свежий букет, 150 мл</t>
  </si>
  <si>
    <t>Deodorant UNICORNS APPROVE Fresh bouquet, 150 ml</t>
  </si>
  <si>
    <t>00-00000284</t>
  </si>
  <si>
    <t>Дезодорант-антиперспирант ROYAL BARBER, 150 мл</t>
  </si>
  <si>
    <t>Deodorant-antiperspirant ROYAL BARBER, 150 ml</t>
  </si>
  <si>
    <t>ROYAL BARBER</t>
  </si>
  <si>
    <t>00-00000285</t>
  </si>
  <si>
    <t>Пена для бритья ROYAL BARBER c углём, 200 мл</t>
  </si>
  <si>
    <t>Shaving foam ROYAL BARBER with coal, 200 ml</t>
  </si>
  <si>
    <t>00-00001114</t>
  </si>
  <si>
    <t>Пена для бритья ROYAL BARBER, 200 мл</t>
  </si>
  <si>
    <t>Shaving foam ROYAL BARBER, 200 ml</t>
  </si>
  <si>
    <t>00-00001358</t>
  </si>
  <si>
    <t>Дезодорант-антиперспирант SOPHISTICATED Клубника, 150 мл</t>
  </si>
  <si>
    <t>Deodorant-antiperspirant SOPHISTICATED Strawberry, 150 ml</t>
  </si>
  <si>
    <t>00-00001359</t>
  </si>
  <si>
    <t>Дезодорант-антиперспирант SOPHISTICATED Банан, 150 мл</t>
  </si>
  <si>
    <t>Deodorant-antiperspirant SOPHISTICATED Banana, 150 ml</t>
  </si>
  <si>
    <t>00-00001360</t>
  </si>
  <si>
    <t>Дезодорант-антиперспирант SOPHISTICATED Яблоко, 150 мл</t>
  </si>
  <si>
    <t>Deodorant-antiperspirant SOPHISTICATED Apple, 150 ml</t>
  </si>
  <si>
    <t>00-00001361</t>
  </si>
  <si>
    <t>Дезодорант-антиперспирант SOPHISTICATED Малина, 150 мл</t>
  </si>
  <si>
    <t>Deodorant-antiperspirant SOPHISTICATED Raspberries, 150 ml</t>
  </si>
  <si>
    <t>00-00001362</t>
  </si>
  <si>
    <t>Дезодорант-антиперспирант SOPHISTICATED Орхидея, 150 мл</t>
  </si>
  <si>
    <t>Deodorant-antiperspirant SOPHISTICATED Orchid, 150 ml</t>
  </si>
  <si>
    <t>00-00001363</t>
  </si>
  <si>
    <t>Дезодорант-антиперспирант SOPHISTICATED Цветочный букет, 150 мл</t>
  </si>
  <si>
    <t>Deodorant-antiperspirant SOPHISTICATED Floral bouquet, 150 ml</t>
  </si>
  <si>
    <t>00-00001364</t>
  </si>
  <si>
    <t>Дезодорант-антиперспирант SOPHISTICATED Алиссум, 150 мл</t>
  </si>
  <si>
    <t>Deodorant-antiperspirant SOPHISTICATED Alyssum, 150 ml</t>
  </si>
  <si>
    <t>00-00001365</t>
  </si>
  <si>
    <t>Дезодорант-антиперспирант линии "SOPHISTICATED" ТЗ "Л'Этуаль" с ароматом "олива и масло ши"  150мл</t>
  </si>
  <si>
    <t>Deodorant-antiperspirant SOPHISTICATED Olive and shea butter, 150 ml</t>
  </si>
  <si>
    <t>00-00001366</t>
  </si>
  <si>
    <t>Дезодорант-антиперспирант SOPHISTICATED Для занятий спортом, 150 мл</t>
  </si>
  <si>
    <t>Deodorant-antiperspirant SOPHISTICATED For the sport, 150 ml</t>
  </si>
  <si>
    <t>00-00001367</t>
  </si>
  <si>
    <t>Дезодорант-антиперспирант SOPHISTICATED Хлопок, 150 мл</t>
  </si>
  <si>
    <t>Deodorant-antiperspirant SOPHISTICATED Cotton, 150 ml</t>
  </si>
  <si>
    <t>00-00001368</t>
  </si>
  <si>
    <t>Дезодорант-антиперспирант SOPHISTICATED Без следов на черном и белом, 150 мл</t>
  </si>
  <si>
    <t>Deodorant-antiperspirant SOPHISTICATED No traces on black and white, 150 ml</t>
  </si>
  <si>
    <t>00-00001347</t>
  </si>
  <si>
    <t>Дезодорант-антиперспирант SOPHISTICATED Клубника, 50 мл</t>
  </si>
  <si>
    <t>Deodorant-antiperspirant SOPHISTICATED Strawberry, 50 ml</t>
  </si>
  <si>
    <t>00-00001348</t>
  </si>
  <si>
    <t>Дезодорант-антиперспирант SOPHISTICATED Банан, 50 мл</t>
  </si>
  <si>
    <t>Deodorant-antiperspirant SOPHISTICATED Banana, 50 ml</t>
  </si>
  <si>
    <t>00-00001349</t>
  </si>
  <si>
    <t>Дезодорант-антиперспирант SOPHISTICATED Яблоко, 50 мл</t>
  </si>
  <si>
    <t>Deodorant-antiperspirant SOPHISTICATED Apple, 50 ml</t>
  </si>
  <si>
    <t>00-00001350</t>
  </si>
  <si>
    <t>Дезодорант-антиперспирант SOPHISTICATED Малина, 50 мл</t>
  </si>
  <si>
    <t>Deodorant-antiperspirant SOPHISTICATED Raspberries, 50 ml</t>
  </si>
  <si>
    <t>00-00001351</t>
  </si>
  <si>
    <t>Дезодорант-антиперспирант SOPHISTICATED Орхидея, 50 мл</t>
  </si>
  <si>
    <t>Deodorant-antiperspirant SOPHISTICATED Orchid, 50 ml</t>
  </si>
  <si>
    <t>00-00001352</t>
  </si>
  <si>
    <t>Дезодорант-антиперспирант SOPHISTICATED Цветочный букет, 50 мл</t>
  </si>
  <si>
    <t>Deodorant-antiperspirant SOPHISTICATED Floral bouquet, 50 ml</t>
  </si>
  <si>
    <t>00-00001353</t>
  </si>
  <si>
    <t>Дезодорант-антиперспирант SOPHISTICATED Алиссум, 50 мл</t>
  </si>
  <si>
    <t>Deodorant-antiperspirant SOPHISTICATED Alyssum, 50 ml</t>
  </si>
  <si>
    <t>00-00001354</t>
  </si>
  <si>
    <t>Дезодорант-антиперспирант линии "SOPHISTICATED" ТЗ "Л'Этуаль" с ароматом "олива и масло ши" 50мл</t>
  </si>
  <si>
    <t>Deodorant-antiperspirant SOPHISTICATED Olive and shea butter, 50 ml</t>
  </si>
  <si>
    <t>00-00001355</t>
  </si>
  <si>
    <t>Дезодорант-антиперспирант SOPHISTICATED Для занятий спортом, 50 мл</t>
  </si>
  <si>
    <t>Deodorant-antiperspirant SOPHISTICATED For the sport, 50 ml</t>
  </si>
  <si>
    <t>00-00001356</t>
  </si>
  <si>
    <t>Дезодорант-антиперспирант SOPHISTICATED Хлопок, 50 мл</t>
  </si>
  <si>
    <t>Deodorant-antiperspirant SOPHISTICATED Cotton, 50 ml</t>
  </si>
  <si>
    <t>00-00001357</t>
  </si>
  <si>
    <t>Дезодорант-антиперспирант SOPHISTICATED Без следов на черном и белом, 50 мл</t>
  </si>
  <si>
    <t>Deodorant-antiperspirant SOPHISTICATED No traces on black and white, 50 ml</t>
  </si>
  <si>
    <t>00-00008613</t>
  </si>
  <si>
    <t>Лак для волос JUST HAIR сверхсильная фиксация, 200 мл</t>
  </si>
  <si>
    <t>Hairspray JUST HAIR superstrong hold, 200 ml</t>
  </si>
  <si>
    <t>JUST HAIR</t>
  </si>
  <si>
    <t>00-00008641</t>
  </si>
  <si>
    <t>Лак для волос JUST HAIR сильная фиксация, 200 мл</t>
  </si>
  <si>
    <t>Hairspray JUST HAIR strong hold, 200 ml</t>
  </si>
  <si>
    <t>00-00008927</t>
  </si>
  <si>
    <t>Мусс для волос JUST HAIR средняя фиксация, 150 мл</t>
  </si>
  <si>
    <t>Hair mousse JUST HAIR medium hold, 150 ml</t>
  </si>
  <si>
    <t>Hair mousse</t>
  </si>
  <si>
    <t>00-00010776</t>
  </si>
  <si>
    <t>Лак для волос MORIKI DORIKI Fruity party детский, 75 мл</t>
  </si>
  <si>
    <t>Hairspray MORIKI DORIKI Fruity party kids, 75 ml</t>
  </si>
  <si>
    <t>MORIKI DORIKI</t>
  </si>
  <si>
    <t>00-00000280</t>
  </si>
  <si>
    <t>Мусс-пена MORIKI DORIKI Neki для детских забав, купания в ванной и мытья рук желтая, 150 мл</t>
  </si>
  <si>
    <t>Mousse Foam MORIKI DORIKI Neki for kids' fun, bathing and hand washing yellow, 150 ml</t>
  </si>
  <si>
    <t>00-00000281</t>
  </si>
  <si>
    <t>Мусс-пена MORIKI DORIKI Mimzu для детских забав, купания в ванной и мытья рук голубая, 150 мл</t>
  </si>
  <si>
    <t>Mousse Foam MORIKI DORIKI Mimzu for kids' fun, bathing and hand washing blue, 150 ml</t>
  </si>
  <si>
    <t>00-00000282</t>
  </si>
  <si>
    <t>Мусс-пена MORIKI DORIKI Spike для детских забав, купания в ванной и мытья рук розовая, 150 мл</t>
  </si>
  <si>
    <t>Mousse Foam MORIKI DORIKI Spike for kids' fun, bathing and hand washing pink, 150 ml</t>
  </si>
  <si>
    <t>00-00000283</t>
  </si>
  <si>
    <t>Мусс-пена MORIKI DORIKI Sushi для детских забав, купания в ванной и мытья рук зеленая, 150 мл</t>
  </si>
  <si>
    <t>Mousse Foam MORIKI DORIKI Sushi for kids' fun, bathing and hand washing green, 150 ml</t>
  </si>
  <si>
    <t>00-00010217</t>
  </si>
  <si>
    <t>Мусс для душа DOLCE MILK Ванила-манила, 200 мл</t>
  </si>
  <si>
    <t>Shower mousse DOLCE MILK Vanilla-manila, 200 ml</t>
  </si>
  <si>
    <t xml:space="preserve">DOLCE MILK </t>
  </si>
  <si>
    <t xml:space="preserve">Shower gel </t>
  </si>
  <si>
    <t>00-00010218</t>
  </si>
  <si>
    <t>Мусс для душа DOLCE MILK Клубничный компромис, 200 мл</t>
  </si>
  <si>
    <t>Shower mousse DOLCE MILK Strawberry compromise, 200 ml</t>
  </si>
  <si>
    <t>00-00010219</t>
  </si>
  <si>
    <t>Мусс для душа DOLCE MILK Ханна банана, 200 мл</t>
  </si>
  <si>
    <t>Shower mousse DOLCE MILK Hanna Bananа, 200 ml</t>
  </si>
  <si>
    <t>00-00011126</t>
  </si>
  <si>
    <t>Пена для бритья SATOMI Японский сад женская, 150 мл</t>
  </si>
  <si>
    <t>Shaving foam SATOMI Japanese garden women, 150 ml</t>
  </si>
  <si>
    <t>SATOMI</t>
  </si>
  <si>
    <t>00-00011127</t>
  </si>
  <si>
    <t>Пена для бритья SATOMI Фруктовый рай женская, 150 мл</t>
  </si>
  <si>
    <t>Shaving foam SATOMI Fruit paradise women, 150 ml</t>
  </si>
  <si>
    <t>00-00001163</t>
  </si>
  <si>
    <t>Лак для волос То что надо! серии "Use IT" "Гибкость бамбука" эластичная фиксация 200 мл</t>
  </si>
  <si>
    <t>Hairspray TO CHTO NADO Use it elastic hold, 200 ml</t>
  </si>
  <si>
    <t>TO CHTO NADO</t>
  </si>
  <si>
    <t>00-00001682</t>
  </si>
  <si>
    <t>Освежитель воздуха AIR WICK Мальдивские мечты Тропические цветы и Пачули, 290 мл</t>
  </si>
  <si>
    <t>Air freshener AIR WICK Maldivian Dreams Tropical flowers and Patchouli, 290 ml</t>
  </si>
  <si>
    <t>AIR WICK</t>
  </si>
  <si>
    <t>00-00001683</t>
  </si>
  <si>
    <t>Освежитель воздуха AIR WICK Японская весна Цветущая сакура и Бергамот, 290 мл</t>
  </si>
  <si>
    <t>Air freshener AIR WICK Japanese Spring Cherry blossoms and Bergamot, 290 ml</t>
  </si>
  <si>
    <t>00-00001684</t>
  </si>
  <si>
    <t>Освежитель воздуха AIR WICK Алтайские луга Ромашка и сочная зелень, 290 мл</t>
  </si>
  <si>
    <t>Air freshener AIR WICK Altai meadows Chamomile and lush greenery, 290 ml</t>
  </si>
  <si>
    <t>00-00001685</t>
  </si>
  <si>
    <t>Освежитель воздуха AIR WICK Французская Ривьера Морская волна и Легкий бриз, 290 мл</t>
  </si>
  <si>
    <t>Air freshener AIR WICK French Riviera Sea wave and Light breeze, 290 ml</t>
  </si>
  <si>
    <t>00-00001686</t>
  </si>
  <si>
    <t>Освежитель воздуха AIR WICK Швейцарские Альпы Утренная роса и Зеленый лес, 290 мл</t>
  </si>
  <si>
    <t>Air freshener AIR WICK Swiss Alps Morning Dew and Green Forest, 290 ml</t>
  </si>
  <si>
    <t>00-00001687</t>
  </si>
  <si>
    <t>Освежитель воздуха AIR WICK Гавайский Ритм Киви и Яблоко, 290 мл</t>
  </si>
  <si>
    <t>Air freshener AIR WICK Hawaiian Rhythm Kiwi and apple, 290 ml</t>
  </si>
  <si>
    <t>00-00001688</t>
  </si>
  <si>
    <t>Освежитель воздуха AIR WICK Сибирская сказка Травяной чай и Зимний лес, 290 мл</t>
  </si>
  <si>
    <t>Air freshener AIR WICK Siberian tale Herbal tea and Winter forest, 290 ml</t>
  </si>
  <si>
    <t>00-00001689</t>
  </si>
  <si>
    <t>Освежитель воздуха Air Wick "Байкальская свежесть (Свежий воздух и Нежный ландыш), 290мл</t>
  </si>
  <si>
    <t>Air freshener AIR WICK Baikal freshness Fresh air and Delicate lily of the valley, 290 ml</t>
  </si>
  <si>
    <t>00-00001690</t>
  </si>
  <si>
    <t>Освежитель воздуха AIR WICK Испанские каникулы Грейпфрут и Цветущий лайм, 290 мл</t>
  </si>
  <si>
    <t>Air freshener AIR WICK Spanish holidays Grapefruit and Blooming lime, 290 ml</t>
  </si>
  <si>
    <t>00-00001691</t>
  </si>
  <si>
    <t>Освежитель воздуха AIR WICK Марокканское утро Листочки мяты и Зелёный чай, 290 мл</t>
  </si>
  <si>
    <t>Air freshener AIR WICK Moroccan morning Mint leaves and Green tea, 290 ml</t>
  </si>
  <si>
    <t>00-00008124</t>
  </si>
  <si>
    <t>Освежитель воздуха Air Wick "Английский сад" (Роза и цветущий персик, 290 мл</t>
  </si>
  <si>
    <t>Air freshener AIR WICK English garden Rose and blossoming peach, 290 ml</t>
  </si>
  <si>
    <t>00-00008909</t>
  </si>
  <si>
    <t>3212385 AWICK, RU, MIX CASE</t>
  </si>
  <si>
    <t>Air fresheners waterbase RB</t>
  </si>
  <si>
    <t>ER-00012889</t>
  </si>
  <si>
    <t>3212385 AWICK, RU, MIX CASE, NB, SPRING 2025</t>
  </si>
  <si>
    <t>00-00009117</t>
  </si>
  <si>
    <t xml:space="preserve">Освежитель воздуха AIR WICK Сибирская сказка Зимняя серия, 290 мл, 3198283 </t>
  </si>
  <si>
    <t xml:space="preserve">Air freshener AIR WICK Siberian fairy tale Winter series, 290 ml, 3198283 </t>
  </si>
  <si>
    <t>00-00009202</t>
  </si>
  <si>
    <t>Освежитель воздуха Air Wick "Мадагаскарский рассвет" (Иланг-иланг и Свежая зелень), 290мл</t>
  </si>
  <si>
    <t>Air freshener AIR WICK Madagascar Sunrise Ylang-Ylang and Fresh Herbs, 290 ml</t>
  </si>
  <si>
    <t>00-00010444</t>
  </si>
  <si>
    <t>Освежитель воздуха AIR WICK Швейцарские Альпы Зимняя серия, 290 мл, 3233154</t>
  </si>
  <si>
    <t>Air freshener AIR WICK Swiss Alps Winter Series, 290 ml, 3233154</t>
  </si>
  <si>
    <t>Освежитель воздуха AIR WICK Мальдивские мечты, Тропические цветы и Пачули, 290 мл, NB, SPRING</t>
  </si>
  <si>
    <t>Air freshener AIR WICK Maldivian Dreams Tropical flowers and Patchouli, 290 ml, new</t>
  </si>
  <si>
    <t>Освежитель воздуха AIR WICK Мальдивские мечты, Тропические цветы и Пачули, 290 мл, SRP box</t>
  </si>
  <si>
    <t>ER-00013076</t>
  </si>
  <si>
    <t>Освежитель воздуха AIR WICK Мальдивские мечты, Тропические цветы и Пачули, 290 мл, SPRING, SRP box</t>
  </si>
  <si>
    <t>ER-00012434</t>
  </si>
  <si>
    <t>Освежитель воздуха AIR WICK Мальдивские мечты, Тропические цветы и Пачули, 290 мл, NB</t>
  </si>
  <si>
    <t>00-00011260</t>
  </si>
  <si>
    <t>Освежитель воздуха AIR WICK Мальдивские мечты Тропические цветы и Пачули, 290 мл, N</t>
  </si>
  <si>
    <t>00-00011269</t>
  </si>
  <si>
    <t>Освежитель воздуха AIR WICK Японская весна Цветущая сакура и Бергамот, 290 мл, N</t>
  </si>
  <si>
    <t>Air freshener AIR WICK Japanese Spring Cherry blossoms and Bergamot, 290 ml, new</t>
  </si>
  <si>
    <t>Освежитель воздуха AIR WICK Японская весна, Цветущая сакура и Бергамот, 290 мл, NB</t>
  </si>
  <si>
    <t>Освежитель воздуха AIR WICK Алтайские луга, Ромашка и сочная зелень, 290 мл, NB</t>
  </si>
  <si>
    <t>Air freshener AIR WICK Altai meadows Chamomile and lush greenery, 290 ml, new</t>
  </si>
  <si>
    <t>00-00011270</t>
  </si>
  <si>
    <t>Освежитель воздуха AIR WICK Алтайские луга Ромашка и сочная зелень, 290 мл, N</t>
  </si>
  <si>
    <t>00-00011271</t>
  </si>
  <si>
    <t>Освежитель воздуха AIR WICK Французская Ривьера Морская волна и Легкий бриз, 290 мл, N</t>
  </si>
  <si>
    <t>Air freshener AIR WICK French Riviera Sea wave and Light breeze, 290 ml, new</t>
  </si>
  <si>
    <t>Освежитель воздуха AIR WICK Французская Ривьера, Морская волна и Легкий бриз, 290 мл, NB</t>
  </si>
  <si>
    <t>Освежитель воздуха AIR WICK Швейцарские Альпы, Утренняя роса и Зеленый лес, 290 мл, NB</t>
  </si>
  <si>
    <t>Air freshener AIR WICK Swiss Alps Morning Dew and Green Forest, 290 ml, new</t>
  </si>
  <si>
    <t>00-00011272</t>
  </si>
  <si>
    <t>Освежитель воздуха AIR WICK Швейцарские Альпы Утренная роса и Зеленый лес, 290 мл, N</t>
  </si>
  <si>
    <t>00-00011273</t>
  </si>
  <si>
    <t>Освежитель воздуха AIR WICK Гавайский Ритм Киви и Яблоко, 290 мл, N</t>
  </si>
  <si>
    <t>Air freshener AIR WICK Hawaiian Rhythm Kiwi and apple, 290 ml, new</t>
  </si>
  <si>
    <t>Освежитель воздуха AIR WICK Гавайский Ритм, Киви и Яблоко, 290 мл, NB</t>
  </si>
  <si>
    <t>ER-00012433</t>
  </si>
  <si>
    <t>Освежитель воздуха AIR WICK Сибирская сказка, Травяной чай и Зимний лес, 290 мл, NB</t>
  </si>
  <si>
    <t>Air freshener AIR WICK Siberian tale Herbal tea and Winter forest, 290 ml, new</t>
  </si>
  <si>
    <t>ER-00012253</t>
  </si>
  <si>
    <t>Освежитель воздуха AIR WICK Сибирская сказка, Травяной чай и Зимний лес, 290 мл, WINTER 24/25</t>
  </si>
  <si>
    <t>00-00011274</t>
  </si>
  <si>
    <t>Освежитель воздуха AIR WICK Сибирская сказка Травяной чай и Зимний лес, 290 мл, N</t>
  </si>
  <si>
    <t>00-00011275</t>
  </si>
  <si>
    <t>Освежитель воздуха AIR WICK Испанские каникулы Грейпфрут и Цветущий лайм, 290 мл, N</t>
  </si>
  <si>
    <t>Air freshener AIR WICK Spanish holidays Grapefruit and Blooming lime, 290 ml, new</t>
  </si>
  <si>
    <t>Освежитель воздуха AIR WICK Испанские каникулы, Грейпфрут и Цветущий лайм, 290 мл, NB</t>
  </si>
  <si>
    <t>ER-00011332</t>
  </si>
  <si>
    <t>Освежитель воздуха AIR WICK Швейцарские Альпы Утренная роса и Зеленый лес LE, 290 мл</t>
  </si>
  <si>
    <t>Air freshener AIR WICK Swiss Alps Morning Dew and Green Forest LE, 290 ml</t>
  </si>
  <si>
    <t>Освежитель воздуха AIR WICK Марокканское утро Листочки мяты и Зелёный чай, 290 мл, N</t>
  </si>
  <si>
    <t>Air freshener AIR WICK Moroccan morning Mint leaves and Green tea, 290 ml, new</t>
  </si>
  <si>
    <t>ER-00012441</t>
  </si>
  <si>
    <t>Освежитель воздуха AIR WICK Марокканское утро, Листочки мяты и Зелёный чай, 290 мл, NB</t>
  </si>
  <si>
    <t>Освежитель воздуха AIR WICK Байкальская свежесть, Свежий воздух и Нежный ландыш, 290 мл, NB</t>
  </si>
  <si>
    <t>Air freshener AIR WICK Baikal freshness Fresh air and Delicate lily of the valley, 290 ml, new</t>
  </si>
  <si>
    <t>ER-00011336</t>
  </si>
  <si>
    <t>Освежитель воздуха AIR WICK Байкальская свежесть Свежий воздух и Нежный ландыш, 290 мл, N</t>
  </si>
  <si>
    <t>00-00001388</t>
  </si>
  <si>
    <t>Пена для игры и купания в ванной  "Baffy" "Купайся весело!": голубая 75мл</t>
  </si>
  <si>
    <t>Foam BAFFY Bath fun for play and bath time blue, 75 ml</t>
  </si>
  <si>
    <t>00-00001389</t>
  </si>
  <si>
    <t>Пена для игры и купания в ванной "Baffy" "Купайся весело!": зеленая 75мл</t>
  </si>
  <si>
    <t>Foam BAFFY Bath fun for play and bath time green, 75 ml</t>
  </si>
  <si>
    <t>00-00001390</t>
  </si>
  <si>
    <t>Пена для игры и купания в ванной "Baffy" "Купайся весело!": розовая 75мл</t>
  </si>
  <si>
    <t>Foam BAFFY Bath fun for play and bath time pink, 75 ml</t>
  </si>
  <si>
    <t>00-00009847</t>
  </si>
  <si>
    <t>Дезодорант для тела в аэрозольной упаковке ЛДПР освежает, 170 мл</t>
  </si>
  <si>
    <t>Deodorant LDPR refreshes, 170 ml</t>
  </si>
  <si>
    <t>LDPR</t>
  </si>
  <si>
    <t>00-00002393</t>
  </si>
  <si>
    <t>Пена для бритья Zollider Pro Sensitive,  для чувствительной кожи, 200мл</t>
  </si>
  <si>
    <t>Shaving foam ZOLLIDER Pro Sensitive for sensitive skin, 200 ml</t>
  </si>
  <si>
    <t>ZOLLIDER</t>
  </si>
  <si>
    <t>00-00001162</t>
  </si>
  <si>
    <t>Лак для волос РОМАШКИН ЛУГ Use IT эластичная фиксация, 200 мл</t>
  </si>
  <si>
    <t>Hairspray ROMASHKIN LUG Use IT elastic hold, 200 ml</t>
  </si>
  <si>
    <t>ROMASHKIN LUG</t>
  </si>
  <si>
    <t>00-00001130</t>
  </si>
  <si>
    <t>Освежитель воздуха GLOBUS Королевский десерт, 250 мл</t>
  </si>
  <si>
    <t>Air freshener GLOBUS Verti Royal dessert, 250 ml</t>
  </si>
  <si>
    <t>GLOBUS</t>
  </si>
  <si>
    <t>00-00001131</t>
  </si>
  <si>
    <t>Освежитель воздуха GLOBUS Verti Белая роза, 250 мл</t>
  </si>
  <si>
    <t>Air freshener GLOBUS Verti White rose, 250 ml</t>
  </si>
  <si>
    <t>00-00001132</t>
  </si>
  <si>
    <t>Освежитель воздуха GLOBUS Verti Кашемир, 250 мл</t>
  </si>
  <si>
    <t>Air freshener GLOBUS Verti Cashmere, 250 ml</t>
  </si>
  <si>
    <t>00-00001133</t>
  </si>
  <si>
    <t>Освежитель воздуха GLOBUS Verti Лесная ягода, 250 мл</t>
  </si>
  <si>
    <t>Air freshener GLOBUS Verti Wild berry, 250 ml</t>
  </si>
  <si>
    <t>00-00001134</t>
  </si>
  <si>
    <t>Освежитель воздуха GLOBUS Verti Пряный апельсин и клюква. Блокатор запаха, 250 мл</t>
  </si>
  <si>
    <t>Air freshener GLOBUS Verti Spicy orange and cranberry. Odor blocker, 250 ml</t>
  </si>
  <si>
    <t>00-00001135</t>
  </si>
  <si>
    <t>Освежитель воздуха GLOBUS Verti Ягодный сорбет. Блокатор запаха, 250 мл</t>
  </si>
  <si>
    <t>Air freshener GLOBUS Verti Berry sorbet. Odor blocker, 250 ml</t>
  </si>
  <si>
    <t>00-00001136</t>
  </si>
  <si>
    <t>Освежитель воздуха GLOBUS Verti Царица ночи. Блокатор запаха, 250 мл</t>
  </si>
  <si>
    <t>Air freshener GLOBUS Verti Queen of the Night. Odor blocker, 250 ml</t>
  </si>
  <si>
    <t>00-00001126</t>
  </si>
  <si>
    <t>Пена для бритья ВАШ ВЫБОР Diving club для чувствительной кожи, 200 мл</t>
  </si>
  <si>
    <t>Shaving foam VASH VYBOR Diving club for sensitive skin, 200 ml</t>
  </si>
  <si>
    <t>VASH VYBOR</t>
  </si>
  <si>
    <t>00-00001129</t>
  </si>
  <si>
    <t>Пена для бритья ВАШ ВЫБОР Diving club для всех типов кожи, 200 мл</t>
  </si>
  <si>
    <t>Shaving foam VASH VYBOR Diving club all skin types, 200 ml</t>
  </si>
  <si>
    <t>00-00009275</t>
  </si>
  <si>
    <t>Водоотталкивающая пропитка для кожи, замши и нубука Stop Moisture "365 ДНЕЙ", 150мл</t>
  </si>
  <si>
    <t>Water-repellent treatment 365 DNEY Stop Moisture for leather, suede and nubuck, 150 ml</t>
  </si>
  <si>
    <t>365 DNEY</t>
  </si>
  <si>
    <t>00-00009278</t>
  </si>
  <si>
    <t>Водоотталкивающая пропитка ЛЕНТА Stop Moisture для кожи, замши и нубука, 250 мл</t>
  </si>
  <si>
    <t>Water-repellent treatment LENTA Stop Moisture for leather, suede and nubuck, 250 ml</t>
  </si>
  <si>
    <t>00-00009273</t>
  </si>
  <si>
    <t>Дезодорант для обуви 365 ДНЕЙ Stop Malodor, 150 мл</t>
  </si>
  <si>
    <t>Deodorant for shoes 365 DNEY Stop Malodor, 150 ml</t>
  </si>
  <si>
    <t>00-00001063</t>
  </si>
  <si>
    <t>Дезодорант 365 ДНЕЙ женский, 150 мл</t>
  </si>
  <si>
    <t>Deodorant 365 DNEY woman, 150 ml</t>
  </si>
  <si>
    <t>00-00001068</t>
  </si>
  <si>
    <t>!!!АРХИВ!!Дезодорант 365 ДНЕЙ мужской, 150 мл</t>
  </si>
  <si>
    <t>Deodorant 365 DNEY man, 150 ml</t>
  </si>
  <si>
    <t>ER-00011858</t>
  </si>
  <si>
    <t>Дезодорант 365 ДНЕЙ мужской, 150 мл</t>
  </si>
  <si>
    <t>00-00001391</t>
  </si>
  <si>
    <t>Мусс-пена для детских забав, купания в ванне и для мытья рук, РОЗОВАЯ серии "Disney"  "Лента"</t>
  </si>
  <si>
    <t>Mousse Foam LENTA Disney for kids' fun, bathing and hand washing pink, 150 ml</t>
  </si>
  <si>
    <t>00-00001392</t>
  </si>
  <si>
    <t>Мусс-пена для детских забав, купания в ванне и для мытья рук, ЖЁЛТАЯ серии "Disney"  "Лента"</t>
  </si>
  <si>
    <t>Mousse Foam LENTA Disney for kids' fun, bathing and hand washing yellow, 150 ml</t>
  </si>
  <si>
    <t>00-00001692</t>
  </si>
  <si>
    <t>Освежитель воздуха ЛЕНТА Королевский десерт, 250 мл</t>
  </si>
  <si>
    <t>Air freshener LENTA Royal dessert, 250 ml</t>
  </si>
  <si>
    <t>00-00001693</t>
  </si>
  <si>
    <t>Освежитель воздуха ЛЕНТА Verti Цветочная вуаль, 250 мл</t>
  </si>
  <si>
    <t>Air freshener LENTA Verti Floral veil, 250 ml</t>
  </si>
  <si>
    <t>00-00001694</t>
  </si>
  <si>
    <t>Освежитель воздуха ЛЕНТА Verti Мокко, 250 мл</t>
  </si>
  <si>
    <t>Air freshener LENTA Verti Mocco, 250 ml</t>
  </si>
  <si>
    <t>00-00001695</t>
  </si>
  <si>
    <t>Освежитель воздуха ЛЕНТА Verti Лесная ягода, 250 мл</t>
  </si>
  <si>
    <t>Air freshener LENTA Verti Wild berry, 250 ml</t>
  </si>
  <si>
    <t>00-00001696</t>
  </si>
  <si>
    <t>Освежитель воздуха Лента "Морские минералы" Блокатор запаха, 250 мл</t>
  </si>
  <si>
    <t>Air freshener LENTA Verti Morse minerals Odor blocker, 250 ml</t>
  </si>
  <si>
    <t>00-00001697</t>
  </si>
  <si>
    <t>Освежитель воздуха Лента "Царица ночи. Блокатор запаха", 250 мл</t>
  </si>
  <si>
    <t>Air freshener LENTA Verti Queen of the Night Odor blocker, 250 ml</t>
  </si>
  <si>
    <t>00-00001698</t>
  </si>
  <si>
    <t>Освежитель воздуха Лента "После дождя" Блокатор запаха", 250 мл</t>
  </si>
  <si>
    <t>Air freshener LENTA Verti After the rain Odor blocker, 250 ml</t>
  </si>
  <si>
    <t>00-00001699</t>
  </si>
  <si>
    <t>Освежитель воздуха ЛЕНТА Verti Горячий шоколад Блокатор запаха, 250 мл</t>
  </si>
  <si>
    <t>Air freshener LENTA Verti Hot chocolate Odor blocker, 250 ml</t>
  </si>
  <si>
    <t>00-00001700</t>
  </si>
  <si>
    <t>Освежитель воздуха ЛЕНТА Verti Праздничное ассорти, 250 мл</t>
  </si>
  <si>
    <t>Air freshener LENTA Verti Festive platter, 250 ml</t>
  </si>
  <si>
    <t>00-00001702</t>
  </si>
  <si>
    <t>Освежитель воздуха ЛЕНТА Verti Магия аромата, 250 мл</t>
  </si>
  <si>
    <t>Air freshener LENTA Verti Magic of fragrance, 250 ml</t>
  </si>
  <si>
    <t>00-00010735</t>
  </si>
  <si>
    <t>Освежитель воздуха ЛЕНТА Hello Aroma Verti цитрус и вишня, 250 мл</t>
  </si>
  <si>
    <t>Air freshener LENTA Hello Aroma by Verti Citrus and cherry , 250 ml</t>
  </si>
  <si>
    <t>00-00010736</t>
  </si>
  <si>
    <t>Освежитель воздуха ЛЕНТА Hello Aroma Verti сочный гранат, 250 мл</t>
  </si>
  <si>
    <t>Air freshener LENTA Hello Aroma by Verti juicy Pomegranate, 250 ml</t>
  </si>
  <si>
    <t>00-00010737</t>
  </si>
  <si>
    <t>Освежитель воздуха ЛЕНТА Hello Aroma Verti бабл гам, 250 мл</t>
  </si>
  <si>
    <t>Air freshener LENTA Hello Aroma by Verti Bubble gum, 250 ml</t>
  </si>
  <si>
    <t>00-00010738</t>
  </si>
  <si>
    <t>Освежитель воздуха ЛЕНТА Hello Aroma Verti свежесть зимнего утра, 250 мл</t>
  </si>
  <si>
    <t>Air freshener LENTA Hello Aroma by Verti freshness of a winter morning, 250 ml</t>
  </si>
  <si>
    <t>00-00001071</t>
  </si>
  <si>
    <t>Пена для бритья 365 ДНЕЙ для чувствительной кожи, 200 мл</t>
  </si>
  <si>
    <t>Shaving foam 365 DNEY for sensitive skin, 200 ml</t>
  </si>
  <si>
    <t>00-00001737</t>
  </si>
  <si>
    <t>Пена- очиститель для замши, велюра, нубука "АНТИ-ГРЯЗЬ" 200мл</t>
  </si>
  <si>
    <t>Foam cleaner 365 DNEY Anti-dirt for suede, velor, nubuck, 200 ml</t>
  </si>
  <si>
    <t>Shoe cleaner</t>
  </si>
  <si>
    <t>00-00009277</t>
  </si>
  <si>
    <t>Пена-очиститель 365 ДНЕЙ Анти-грязь для замши, велюра, нубука, 150 мл</t>
  </si>
  <si>
    <t>Foam cleaner 365 DNEY Anti-dirt for suede, velor, nubuck, 150 ml</t>
  </si>
  <si>
    <t>00-00002551</t>
  </si>
  <si>
    <t>Полироль для мебели "ЛЕНТА" ANTI-DUST(анти-пыль) с антистатическим эффектом 300мл ЛИТОГРАФИЯ</t>
  </si>
  <si>
    <t>Polish for furniture LENTA Anti-dust antistatic effect, 300 ml, Sl</t>
  </si>
  <si>
    <t>00-00009276</t>
  </si>
  <si>
    <t>Растяжка для обуви 365 ДНЕЙ Big D из натуральной кожи, замши, велюра, нубука , 150 мл</t>
  </si>
  <si>
    <t>Stretcher for shoes 365 DNEY Big D made of genuine leather, suede, velor, nubuck, 150 ml</t>
  </si>
  <si>
    <t>00-00001056</t>
  </si>
  <si>
    <t>Сухой шампунь FRELIA для всех типов волос, 150 мл</t>
  </si>
  <si>
    <t>Dry Shampoo FRELIA for all hair types, 150 ml</t>
  </si>
  <si>
    <t>FRELIA</t>
  </si>
  <si>
    <t>00-00008450</t>
  </si>
  <si>
    <t>Полироль для мебели «ЛАЙМА» ANTI-DUST (анти-пыль) с антистатическим эффектом, 300 мл</t>
  </si>
  <si>
    <t>Polish for furniture LimeА Anti-dust antistatic effect, 300 ml</t>
  </si>
  <si>
    <t>00-00001032</t>
  </si>
  <si>
    <t>Средство дезинфицирующее " Estellar" /Эстеллар (WHITE) для всех типов поверхностей, 300 мл</t>
  </si>
  <si>
    <t>Disinfectant ESTELLAR, 300 ml</t>
  </si>
  <si>
    <t>00-00001034</t>
  </si>
  <si>
    <t>Средство дезинфицирующее ESTELLAR, 65 мл</t>
  </si>
  <si>
    <t>Disinfectant ESTELLAR, 65 ml</t>
  </si>
  <si>
    <t>00-00001035</t>
  </si>
  <si>
    <t>Средство дезинфицирующее ESTELLAR, 155 мл</t>
  </si>
  <si>
    <t>Disinfectant ESTELLAR, 155 ml</t>
  </si>
  <si>
    <t>00-00010572</t>
  </si>
  <si>
    <t>Водоотталкивающая пропитка STOP MOISTURE Aqua Stop для кожи, замши и нубука, 250 мл</t>
  </si>
  <si>
    <t>Water-repellent treatment STOP MOISTURE Aqua Stop for leather, suede and nubuck, 250 ml</t>
  </si>
  <si>
    <t>00-00001384</t>
  </si>
  <si>
    <t>Мусс-пена детская для игры в ванной, купания и мытья рук "BAMBOLINA" розовая. 150мл</t>
  </si>
  <si>
    <t>Mousse Foam BAMBOLINA for playing in the bath, bathing and washing hands pink, 150 ml</t>
  </si>
  <si>
    <t>BAMBOLINA</t>
  </si>
  <si>
    <t>00-00001385</t>
  </si>
  <si>
    <t>Мусс-пена детская для игры в ванной, купания и мытья рук "BAMBOLINA" голубая. 150мл</t>
  </si>
  <si>
    <t>Mousse Foam BAMBOLINA for playing in the bath, bathing and washing hands blue, 150 ml</t>
  </si>
  <si>
    <t>00-00001386</t>
  </si>
  <si>
    <t>Мусс-пена детская для игры в ванной, купания и мытья рук "BAMBOLINA" желтая. 150мл</t>
  </si>
  <si>
    <t>Mousse Foam BAMBOLINA for playing in the bath, bathing and washing hands yellow, 150 ml</t>
  </si>
  <si>
    <t>00-00001387</t>
  </si>
  <si>
    <t>Мусс-пена детская для игры в ванной, купания и мытья рук "BAMBOLINA" зеленая. 150мл</t>
  </si>
  <si>
    <t>Mousse Foam BAMBOLINA for playing in the bath, bathing and washing hands green, 150 ml</t>
  </si>
  <si>
    <t>00-00001120</t>
  </si>
  <si>
    <t>Мусс-пена для бритья "Silk Touch" ТИРАМИСУ by Carelax 200мл/180г</t>
  </si>
  <si>
    <t>Shaving foam mousse SILK TOUCH Carelax Tiramisu, 200 ml</t>
  </si>
  <si>
    <t>SILK TOUCH</t>
  </si>
  <si>
    <t>00-00001121</t>
  </si>
  <si>
    <t>Мусс-пена для бритья "Silk Touch" ЛИМОННЫЙ СОРБЕТ by Carelax 200мл</t>
  </si>
  <si>
    <t>Shaving foam mousse SILK TOUCH Carelax Lemon sorbet , 200 ml</t>
  </si>
  <si>
    <t>00-00001370</t>
  </si>
  <si>
    <t>Освежитель воздуха MAGIC BOOM Лесные ягоды, 250 мл</t>
  </si>
  <si>
    <t>Air freshener MAGIC BOOM Berries, 250 ml</t>
  </si>
  <si>
    <t>00-00009218</t>
  </si>
  <si>
    <t>Освежитель воздуха MAGIC BOOM Лимонный взрыв, 250 мл</t>
  </si>
  <si>
    <t>Air freshener MAGIC BOOM Lemon explosion, 250 ml</t>
  </si>
  <si>
    <t>00-00001373</t>
  </si>
  <si>
    <t>Освежитель воздуха MAGIC BOOM Морской бриз, 250 мл</t>
  </si>
  <si>
    <t>Air freshener MAGIC BOOM Marine breeze, 250 ml</t>
  </si>
  <si>
    <t>00-00009216</t>
  </si>
  <si>
    <t>Освежитель воздуха MAGIC BOOM Весенняя фантазия, 250 мл</t>
  </si>
  <si>
    <t>Air freshener MAGIC BOOM Spring fantasy, 250 ml</t>
  </si>
  <si>
    <t>00-00001375</t>
  </si>
  <si>
    <t>Освежитель воздуха MAGIC BOOM Сирень, 250 мл</t>
  </si>
  <si>
    <t>Air freshener MAGIC BOOM Lilac, 250 ml</t>
  </si>
  <si>
    <t>00-00001371</t>
  </si>
  <si>
    <t>Освежитель воздуха MAGIC BOOM Июньское утро, 250 мл СЛИВЕР</t>
  </si>
  <si>
    <t xml:space="preserve">Air freshener MAGIC BOOM June morning, 250 ml </t>
  </si>
  <si>
    <t>00-00000509</t>
  </si>
  <si>
    <t>Освежитель воздуха ARMETO Черничный сон, 300 мл</t>
  </si>
  <si>
    <t>Air freshener ARMETO Blueberry dream, 300 ml</t>
  </si>
  <si>
    <t>ARMETO</t>
  </si>
  <si>
    <t>Air fresheners dry</t>
  </si>
  <si>
    <t>00-00001369</t>
  </si>
  <si>
    <t>Освежитель воздуха ARMETO Лимонный взрыв, 300 мл</t>
  </si>
  <si>
    <t>Air freshener ARMETO Lemon explosion, 300 ml</t>
  </si>
  <si>
    <t>00-00001542</t>
  </si>
  <si>
    <t>Освежитель воздуха ARMETO После дождя, 300 мл</t>
  </si>
  <si>
    <t>Air freshener ARMETO After the rain, 300 ml</t>
  </si>
  <si>
    <t>00-00001663</t>
  </si>
  <si>
    <t>Освежитель воздуха ARMETO Цветущая роза и абрикос, 300 мл</t>
  </si>
  <si>
    <t>Air freshener ARMETO Blooming rose and apricot, 300 ml</t>
  </si>
  <si>
    <t>00-00000237</t>
  </si>
  <si>
    <t>Освежитель воздуха ARMETO Арома СПА, 250 мл</t>
  </si>
  <si>
    <t>Air freshener ARMETO Aroma SPA, 250 ml</t>
  </si>
  <si>
    <t>00-00000239</t>
  </si>
  <si>
    <t>Освежитель воздуха ARMETO Шоколад и мята, 250 мл</t>
  </si>
  <si>
    <t>Air freshener ARMETO Chocolate and mint, 250 ml</t>
  </si>
  <si>
    <t>00-00000244</t>
  </si>
  <si>
    <t>Освежитель воздуха ARMETO На краю света, 250 мл</t>
  </si>
  <si>
    <t>Air freshener ARMETO On the edge of the world, 250 ml</t>
  </si>
  <si>
    <t>00-00000245</t>
  </si>
  <si>
    <t>Освежитель воздуха ARMETO Лаванда и грейпфрут, 250 мл</t>
  </si>
  <si>
    <t>Air freshener ARMETO Lavender and grapefruit, 250 ml</t>
  </si>
  <si>
    <t>00-00000247</t>
  </si>
  <si>
    <t>Освежитель воздуха ARMETO Таинственный лес, 250 мл</t>
  </si>
  <si>
    <t>Air freshener ARMETO Mysterious forest, 250 ml</t>
  </si>
  <si>
    <t>00-00001083</t>
  </si>
  <si>
    <t>Пена для бритья "Classic soft" для нормальной кожи товарного знака "Carelax", 200мл</t>
  </si>
  <si>
    <t>Shaving foam CARELAX Classic soft for normal skin, 200 ml</t>
  </si>
  <si>
    <t>CARELAX</t>
  </si>
  <si>
    <t>00-00001084</t>
  </si>
  <si>
    <t>Пена для бритья "Extra sensitive" для чувствительной кожи товарного знака "Carelax" , 200мл/190г</t>
  </si>
  <si>
    <t>Shaving foam CARELAX Extra sensitive for sensitive skin, 200 ml</t>
  </si>
  <si>
    <t>00-00001085</t>
  </si>
  <si>
    <t>Пена для бритья "Extra sensitive" для чувствительной кожи товарного знака "Carelax" 400мл</t>
  </si>
  <si>
    <t>Shaving foam CARELAX Extra sensitive for sensitive skin, 400 ml</t>
  </si>
  <si>
    <t>00-00001086</t>
  </si>
  <si>
    <t>Пена для бритья "Classic soft" для нормальной кожи товарного знака "Carelax" 400мл</t>
  </si>
  <si>
    <t>Shaving foam CARELAX Classic soft for normal skin, 400 ml</t>
  </si>
  <si>
    <t>00-00001082</t>
  </si>
  <si>
    <t>Пена для бритья ВЫГОДА! для чувствительной кожи 200 мл</t>
  </si>
  <si>
    <t>Shaving foam ВЫГОДА! for sensitive skin, 200 ml</t>
  </si>
  <si>
    <t>VYGODA!</t>
  </si>
  <si>
    <t>00-00011033</t>
  </si>
  <si>
    <t>Пена для бритья X-CLICKS Ultra power для всех типов кожи, 200 мл</t>
  </si>
  <si>
    <t>Shaving foam X-CLICKS Ultra power all skin types, 200 ml</t>
  </si>
  <si>
    <t>X-CLICKS</t>
  </si>
  <si>
    <t>00-00011036</t>
  </si>
  <si>
    <t>Лак для волос X-CLICKS Professional look Fanfare экстрасильной фиксации, 200 мл</t>
  </si>
  <si>
    <t>Hairspray X-CLICKS Professional look Fanfare extra strong hold, 200 ml</t>
  </si>
  <si>
    <t>00-00011241</t>
  </si>
  <si>
    <t>Песочный набор LALABABY Play with Me Busy Animals ведерко, сито, совочек, грабельки, 4 шт</t>
  </si>
  <si>
    <t>Sand set LALABABY Play with Me Busy Animals bucket, sieve, scoop, rake, 4 шт</t>
  </si>
  <si>
    <t>LALABABY</t>
  </si>
  <si>
    <t>PLASTIC PRODUCTS</t>
  </si>
  <si>
    <t>Sand sets</t>
  </si>
  <si>
    <t>00-00011242</t>
  </si>
  <si>
    <t>Песочный набор LALABABY Play with Me Busy Animals ведерко, сито, совочек, грабельки, 4 шт, ПЛ</t>
  </si>
  <si>
    <t>Sand set LALABABY Play with Me Busy Animals bucket, sieve, scoop, rake, 4 шт, PL</t>
  </si>
  <si>
    <t>00-00011243</t>
  </si>
  <si>
    <t>Песочный набор LALABABY Follow Me Изумрудный город ведерко, сито, совочек, грабельки, 4 шт</t>
  </si>
  <si>
    <t>Sand set LALABABY Follow Me Изумрудный город bucket, sieve, scoop, rake, 4 шт</t>
  </si>
  <si>
    <t>00-00011244</t>
  </si>
  <si>
    <t>Песочный набор LALABABY Follow Me Изумрудный город ведерко, сито, совочек, грабельки, 4 шт, ПЛ</t>
  </si>
  <si>
    <t>Sand set LALABABY Follow Me Изумрудный город bucket, sieve, scoop, rake, 4 шт, PL</t>
  </si>
  <si>
    <t>00-00011170</t>
  </si>
  <si>
    <t>Прибор для смешивания салата Sugar&amp;Spice Honey шампань</t>
  </si>
  <si>
    <t>Salad mixing device Sugar&amp;Spice Honey champagne</t>
  </si>
  <si>
    <t>SUGAR&amp;SPICE</t>
  </si>
  <si>
    <t>Household items</t>
  </si>
  <si>
    <t>00-00009802</t>
  </si>
  <si>
    <t>Освежитель воздуха серии "Air Pure by Nature" "Созвездие ароматов" Цветущий миндаль, 250мл</t>
  </si>
  <si>
    <t>Air freshener AIR PURE BY NATURE Constellation of flavors Fruit party, 250 ml</t>
  </si>
  <si>
    <t>00-00002395</t>
  </si>
  <si>
    <t>Антистатик в аэрозольной упаковке BIG D/БИГ ДИ 300мл,170г нетто (Украина)</t>
  </si>
  <si>
    <t>Antistatic BIG D, 300 ml, UKR</t>
  </si>
  <si>
    <t>00-00001164</t>
  </si>
  <si>
    <t>Лак для волос IT PROFESSIONAL STYLING Pro VitaminB5 Green tea сильной фиксации, 265 мл</t>
  </si>
  <si>
    <t>Hairspray IT PROFESSIONAL STYLING Pro VitaminB5 Green tea strong hold, 265 ml</t>
  </si>
  <si>
    <t>IT PROFESSIONAL STYLING</t>
  </si>
  <si>
    <t>00-00001165</t>
  </si>
  <si>
    <t>Лак для волос IT PROFESSIONAL STYLING Pro VitaminB5 White tea Jojoba сильной фиксации, 265 мл</t>
  </si>
  <si>
    <t>Hairspray IT PROFESSIONAL STYLING Pro VitaminB5 White tea Jojoba strong hold, 265 ml</t>
  </si>
  <si>
    <t>00-00001166</t>
  </si>
  <si>
    <t>Лак для волос IT PROFESSIONAL STYLING Spesial Edition экстрасильной фиксации, 265 мл</t>
  </si>
  <si>
    <t>Hairspray IT PROFESSIONAL STYLING Spesial Edition extra strong hold, 265 ml</t>
  </si>
  <si>
    <t>00-00001103</t>
  </si>
  <si>
    <t>Освежитель воздуха FLOWER SHOP Антитабак, 300 мл, UKR</t>
  </si>
  <si>
    <t>Air freshener FLOWER SHOP Antitabacco, 300 ml, UKR</t>
  </si>
  <si>
    <t>FLOWER SHOP</t>
  </si>
  <si>
    <t>00-00001104</t>
  </si>
  <si>
    <t>Освежитель воздуха FLOWER SHOP Лайм и мята, 300 мл, UKR</t>
  </si>
  <si>
    <t>Air freshener FLOWER SHOP Lime and mint, 300 ml, UKR</t>
  </si>
  <si>
    <t>00-00001105</t>
  </si>
  <si>
    <t>Освежитель воздуха FLOWER SHOP Морские минералы, 300 мл, UKR</t>
  </si>
  <si>
    <t>Air freshener FLOWER SHOP Morse minerals, 300 ml, UKR</t>
  </si>
  <si>
    <t>00-00001106</t>
  </si>
  <si>
    <t>Освежитель воздуха FLOWER SHOP Яблоко и жасмин 300 мл, UKR</t>
  </si>
  <si>
    <t>Air freshener FLOWER SHOP apple and jasmine 300 ml, UKR</t>
  </si>
  <si>
    <t>00-00001107</t>
  </si>
  <si>
    <t>Освежитель воздуха FLOWER SHOP Арктика, 300 мл, UKR</t>
  </si>
  <si>
    <t>Air freshener FLOWER SHOP Arctic, 300 ml, UKR</t>
  </si>
  <si>
    <t>00-00001108</t>
  </si>
  <si>
    <t>Освежитель воздуха FLOWER SHOP Цветущий луг 300 мл, UKR</t>
  </si>
  <si>
    <t>Air freshener FLOWER SHOP Blooming meadow 300 ml, UKR</t>
  </si>
  <si>
    <t>00-00001109</t>
  </si>
  <si>
    <t>Освежитель воздуха FLOWER SHOP Сакура 300 мл, UKR</t>
  </si>
  <si>
    <t>Air freshener FLOWER SHOP Sakura 300 ml, UKR</t>
  </si>
  <si>
    <t>00-00001110</t>
  </si>
  <si>
    <t>Освежитель воздуха FLOWER SHOP Карибские цветы, 300 мл, UKR</t>
  </si>
  <si>
    <t>Air freshener FLOWER SHOP Caribbean flowers, 300 ml, UKR</t>
  </si>
  <si>
    <t>00-00001111</t>
  </si>
  <si>
    <t>Освежитель воздуха серии  "Flower shop" "После дождя" 300мл Украина</t>
  </si>
  <si>
    <t>Air freshener FLOWER SHOP After the rain 300 ml, UKR</t>
  </si>
  <si>
    <t>00-00001119</t>
  </si>
  <si>
    <t>Пена для бритья SPORT STAR для чувствительной кожи женская, 200 мл, UKR</t>
  </si>
  <si>
    <t>Shaving foam SPORT STAR for sensitive skin women, 200 ml, UKR</t>
  </si>
  <si>
    <t>SPORT STAR</t>
  </si>
  <si>
    <t>00-00001729</t>
  </si>
  <si>
    <t>Освежитель воздуха AROMA COLLECTION BY PROVENCE Бархат, 250 мл</t>
  </si>
  <si>
    <t>Air freshener AROMA COLLECTION BY PROVENCE Velvet, 250 ml</t>
  </si>
  <si>
    <t>AROMA COLLECTION BY PROVENCE</t>
  </si>
  <si>
    <t>00-00001730</t>
  </si>
  <si>
    <t>Освежитель воздуха "Aroma collection by Provence": "Роза",250мл</t>
  </si>
  <si>
    <t>Air freshener AROMA COLLECTION BY PROVENCE Rose, 250 ml</t>
  </si>
  <si>
    <t>00-00001731</t>
  </si>
  <si>
    <t>Освежитель воздуха "Aroma collection by Provence": "Шоколад",250мл</t>
  </si>
  <si>
    <t>Air freshener AROMA COLLECTION BY PROVENCE Chocolate, 250 ml</t>
  </si>
  <si>
    <t>00-00002396</t>
  </si>
  <si>
    <t>Антистатик BIG D, 300 мл</t>
  </si>
  <si>
    <t>Antistatic BIG D, 300 ml</t>
  </si>
  <si>
    <t>00-00009006</t>
  </si>
  <si>
    <t>Антистатик BIG D, 150 мл, С</t>
  </si>
  <si>
    <t>Antistatic BIG D, 150 ml, Sl</t>
  </si>
  <si>
    <t>00-00001873</t>
  </si>
  <si>
    <t>Водоотталкивающая пропитка для кожи, замши, нубука "BIG D" 250мл ЛИТОГРАФИЯ</t>
  </si>
  <si>
    <t>Water-repellent treatment BIG D for leather, suede, nubuck, 250 ml, Sl</t>
  </si>
  <si>
    <t>Дезодорант BIG D для обуви, 150 мл</t>
  </si>
  <si>
    <t>Deodorant for shoes BIG D, 150 ml</t>
  </si>
  <si>
    <t>Дезодорант BIG D для обуви с ароматом мяты антибактериальный, 150 мл</t>
  </si>
  <si>
    <t>00-00009840</t>
  </si>
  <si>
    <t>Дезодорант для обуви BIG D, 150 мл, С</t>
  </si>
  <si>
    <t>Deodorant for shoes BIG D, 150 ml, Sl</t>
  </si>
  <si>
    <t>00-00010603</t>
  </si>
  <si>
    <t>Дезодорант для обуви BIG D антибактериальный, 150 мл, С</t>
  </si>
  <si>
    <t>Deodorant for shoes BIG D antibacterial, 150 ml, Sl</t>
  </si>
  <si>
    <t>00-00008221</t>
  </si>
  <si>
    <t>Дезодорант OLIVIA Energy женский, 150 мл</t>
  </si>
  <si>
    <t>Deodorant OLIVIA Energy woman, 150 ml</t>
  </si>
  <si>
    <t>00-00008222</t>
  </si>
  <si>
    <t>Дезодорант OLIVIA  Active женский, 150 мл</t>
  </si>
  <si>
    <t>Deodorant OLIVIA Active woman, 150 ml</t>
  </si>
  <si>
    <t>00-00008223</t>
  </si>
  <si>
    <t>Дезодорант OLIVIA Balance женский, 150 мл</t>
  </si>
  <si>
    <t>Deodorant OLIVIA Balance woman, 150 ml</t>
  </si>
  <si>
    <t>00-00001746</t>
  </si>
  <si>
    <t>Дезодорант SPORT STAR Allude мужской, 150 мл</t>
  </si>
  <si>
    <t>Deodorant SPORT STAR Allude man, 150 ml</t>
  </si>
  <si>
    <t>00-00001752</t>
  </si>
  <si>
    <t>Дезодорант SPORT STAR Outpace мужской, 175 мл</t>
  </si>
  <si>
    <t>Deodorant SPORT STAR Outpace man, 175 ml</t>
  </si>
  <si>
    <t>Дезодорант SPORT STAR Ice blue мужской, 175 мл</t>
  </si>
  <si>
    <t>Deodorant SPORT STAR Ice blue man, 175 ml</t>
  </si>
  <si>
    <t>Дезодорант SPORT STAR Ice blue мужской, 175 мл, С</t>
  </si>
  <si>
    <t>00-00001754</t>
  </si>
  <si>
    <t>Дезодорант SPORT STAR Ultra мужской, 175 мл</t>
  </si>
  <si>
    <t>Deodorant SPORT STAR Ultra man, 175 ml</t>
  </si>
  <si>
    <t>00-00001747</t>
  </si>
  <si>
    <t>Дезодорант SPORT STAR Active женский, 150 мл, С</t>
  </si>
  <si>
    <t>Deodorant SPORT STAR Active woman, 150 ml, Sl</t>
  </si>
  <si>
    <t>00-00001748</t>
  </si>
  <si>
    <t>Дезодорант SPORT STAR Balance женский, 150 мл, С</t>
  </si>
  <si>
    <t>Deodorant SPORT STAR Balance woman, 150 ml, Sl</t>
  </si>
  <si>
    <t>00-00001749</t>
  </si>
  <si>
    <t>Дезодорант SPORT STAR Energy женский, 150 мл, С</t>
  </si>
  <si>
    <t>Deodorant SPORT STAR Energy woman, 150 ml, Sl</t>
  </si>
  <si>
    <t>00-00010508</t>
  </si>
  <si>
    <t>Дезодорант SPORT STAR Ice мужской, 150 мл</t>
  </si>
  <si>
    <t>Deodorant SPORT STAR Ice man, 150 ml</t>
  </si>
  <si>
    <t>00-00010509</t>
  </si>
  <si>
    <t>Дезодорант SPORT STAR Fire мужской, 150 мл</t>
  </si>
  <si>
    <t>Deodorant SPORT STAR Fire man, 150 ml</t>
  </si>
  <si>
    <t>00-00010512</t>
  </si>
  <si>
    <t>Дезодорант PROFESSIONAL TOUCH Breeze женский, 150 мл</t>
  </si>
  <si>
    <t>Deodorant PROFESSIONAL TOUCH Breeze woman, 150 ml</t>
  </si>
  <si>
    <t>00-00010513</t>
  </si>
  <si>
    <t>Дезодорант PROFESSIONAL TOUCH Shine женский, 150 мл</t>
  </si>
  <si>
    <t>Deodorant PROFESSIONAL TOUCH Shine woman, 150 ml</t>
  </si>
  <si>
    <t>00-00002535</t>
  </si>
  <si>
    <t>Мусс-пена KIDMETICS для детских забав, купания в ванной и мытья рук(желтая), 200мл</t>
  </si>
  <si>
    <t>Mousse Foam KIDMETICS for kids' fun, bathing and hand washing yellow, 200 ml, Sl</t>
  </si>
  <si>
    <t>KIDMETICS</t>
  </si>
  <si>
    <t>00-00002536</t>
  </si>
  <si>
    <t>Мусс-пена KIDMETICS для детских забав, купания в ванной и мытья рук(голубая), 200мл</t>
  </si>
  <si>
    <t>Mousse Foam KIDMETICS for kids' fun, bathing and hand washing blue, 200 ml, Sl</t>
  </si>
  <si>
    <t>00-00002537</t>
  </si>
  <si>
    <t>Мусс-пена KIDMETICS для детских забав, купания в ванной и мытья рук(розовая), 200мл</t>
  </si>
  <si>
    <t>Mousse Foam KIDMETICS for kids' fun, bathing and hand washing pink, 200 ml, Sl</t>
  </si>
  <si>
    <t>00-00001411</t>
  </si>
  <si>
    <t>Лак для волос OLIVIA С экстрактом ромашки, 250 мл</t>
  </si>
  <si>
    <t>Hairspray OLIVIA chamomile extract, 250 ml</t>
  </si>
  <si>
    <t>00-00001412</t>
  </si>
  <si>
    <t>Лак для волос OLIVIA с экстрактом жожоба, 250 мл</t>
  </si>
  <si>
    <t>Hairspray OLIVIA jojoba extract, 250 ml</t>
  </si>
  <si>
    <t>00-00001413</t>
  </si>
  <si>
    <t>Лак для волос OLIVIA с экстрактом родиолы розовой, 250 мл</t>
  </si>
  <si>
    <t>Hairspray OLIVIA Rhodiola rosea extract, 250 ml</t>
  </si>
  <si>
    <t>00-00001414</t>
  </si>
  <si>
    <t>Лак для волос OLIVIA с экстрактом зеленого чая, 250 мл</t>
  </si>
  <si>
    <t>Hairspray OLIVIA Green Tea Extract, 250 ml</t>
  </si>
  <si>
    <t>ER-00011387</t>
  </si>
  <si>
    <t>Лак для волос OLIVIA Expert Pro Care&amp;shine сверхсильная фиксация, 300 мл</t>
  </si>
  <si>
    <t>Hairspray OLIVIA Expert Pro Care&amp;shine superstrong hold, 300 ml</t>
  </si>
  <si>
    <t>ER-00011388</t>
  </si>
  <si>
    <t>Лак для волос OLIVIA Expert Pro Flex&amp;control сверхсильная фиксация, 300 мл</t>
  </si>
  <si>
    <t>Hairspray OLIVIA Expert Pro Flex&amp;control superstrong hold, 300 ml</t>
  </si>
  <si>
    <t>ER-00011389</t>
  </si>
  <si>
    <t>Лак для волос OLIVIA Expert Pro Volume&amp;power экстрасильная фиксация, 300 мл</t>
  </si>
  <si>
    <t>Hairspray OLIVIA Expert Pro Volume&amp;power exstrastrong hold, 300 ml</t>
  </si>
  <si>
    <t>00-00001653</t>
  </si>
  <si>
    <t>Лак для волос PROFESSIONAL TOUCH Pro vitamin B5 Hydro Complex сильной фиксации, 265 мл</t>
  </si>
  <si>
    <t>Hairspray PROFESSIONAL TOUCH Pro vitamin B5 Hydro Complex strong hold, 265 ml</t>
  </si>
  <si>
    <t>Лак для волос PROFESSIONAL TOUCH Pro vitamin B5 Silk Protein экстрасильной фиксации, 265 мл</t>
  </si>
  <si>
    <t>Hairspray PROFESSIONAL TOUCH Pro vitamin B5 Silk Protein extra strong hold, 265 ml</t>
  </si>
  <si>
    <t>00-00010307</t>
  </si>
  <si>
    <t>Лак для волос PROFESSIONAL TOUCH Pro vitamin B5 Hydro Complex сильной фиксации, 265 мл, С</t>
  </si>
  <si>
    <t>Hairspray PROFESSIONAL TOUCH Pro vitamin B5 Hydro Complex strong hold, 265 ml, Sl</t>
  </si>
  <si>
    <t>00-00010306</t>
  </si>
  <si>
    <t>Лак для волос PROFESSIONAL TOUCH Pro vitamin B5 Silk Protein экстрасильной фиксации, 265 мл, С</t>
  </si>
  <si>
    <t>Hairspray PROFESSIONAL TOUCH Pro vitamin B5 Silk Protein extra strong hold, 265 ml, Sl</t>
  </si>
  <si>
    <t>00-00010305</t>
  </si>
  <si>
    <t>Лак для волос PROFESSIONAL TOUCH Pro vitamin B5 Multi Vitamins экстрасильной фиксации, 265 мл, С</t>
  </si>
  <si>
    <t>Hairspray PROFESSIONAL TOUCH Pro vitamin B5 Multi Vitamins extra strong hold, 265 ml, Sl</t>
  </si>
  <si>
    <t>Лак для волос PROFESSIONAL TOUCH Pro vitamin B5 Multi Vitamins экстрасильной фиксации, 265 мл</t>
  </si>
  <si>
    <t>Hairspray PROFESSIONAL TOUCH Pro vitamin B5 Multi Vitamins extra strong hold, 265 ml</t>
  </si>
  <si>
    <t>Мусс для волос OLIVIA Expert PRO Flex&amp;Control, 150 мл</t>
  </si>
  <si>
    <t>Hair mousse OLIVIA Expert Pro Flex and Control, 150 ml</t>
  </si>
  <si>
    <t>Мусс для волос OLIVIA Expert PRO Volume&amp;power, 150 мл</t>
  </si>
  <si>
    <t>Hair mousse OLIVIA Expert Pro Volume and power, 150 ml</t>
  </si>
  <si>
    <t>Мусс для волос PROFESSIONAL TOUCH Pro-vitamin B5 Silk Protein экстрасильной фиксации, 150 мл</t>
  </si>
  <si>
    <t>Hair mousse PROFESSIONAL TOUCH Pro-vitamin B5 Silk Protein extra strong hold, 150 ml</t>
  </si>
  <si>
    <t>00-00001664</t>
  </si>
  <si>
    <t>Освежитель воздуха AIR PURE ALPEN FRESH Морской бриз, 250 мл</t>
  </si>
  <si>
    <t>Air freshener ALPEN FRESH Marine breeze, 250 ml</t>
  </si>
  <si>
    <t>ALPEN</t>
  </si>
  <si>
    <t>00-00001665</t>
  </si>
  <si>
    <t>Освежитель воздуха AIR PURE ALPEN FRESH Цветочный джем, 250мл</t>
  </si>
  <si>
    <t>Air freshener ALPEN FRESH Floral jam, 250мл</t>
  </si>
  <si>
    <t>00-00001666</t>
  </si>
  <si>
    <t>Освежитель воздуха AIR PURE ALPEN FRESH Ароматный вернисаж,250 мл</t>
  </si>
  <si>
    <t>Air freshener ALPEN FRESH Fragrant vernissage,250мл, Sl</t>
  </si>
  <si>
    <t>00-00001667</t>
  </si>
  <si>
    <t>Освежитель воздуха AIR PURE ALPEN FRESH Антитабак, 250 мл</t>
  </si>
  <si>
    <t>Air freshener ALPEN FRESH Antitabacco, 250мл</t>
  </si>
  <si>
    <t>ER-00012756</t>
  </si>
  <si>
    <t>Освежитель воздуха AIR PURE ALPEN FRESH Антитабак, 250 мл, С</t>
  </si>
  <si>
    <t>Освежитель воздуха AIR PURE ALPEN Антитабак, 300 мл</t>
  </si>
  <si>
    <t>Air freshener ALPEN Antitabacco, 300 ml</t>
  </si>
  <si>
    <t>Освежитель воздуха AIR PURE ALPEN Карибское море, 300 мл</t>
  </si>
  <si>
    <t>Air freshener ALPEN Forest breeze, 300 ml</t>
  </si>
  <si>
    <t>00-00000192</t>
  </si>
  <si>
    <t>Освежитель воздуха AIR PURE ALPEN Лесной бриз, 300 мл</t>
  </si>
  <si>
    <t>00-00000194</t>
  </si>
  <si>
    <t>Освежитель воздуха ALPEN Фиалковое поле, 300 мл</t>
  </si>
  <si>
    <t>Air freshener ALPEN Violet field, 300 ml</t>
  </si>
  <si>
    <t>Освежитель воздуха AIR PURE ALPEN Фиалковое поле, 300 мл</t>
  </si>
  <si>
    <t>Освежитель воздуха AIR PURE ALPEN Лесные ягоды, 300 мл</t>
  </si>
  <si>
    <t>Air freshener ALPEN Berries, 300 ml</t>
  </si>
  <si>
    <t>ER-00012213</t>
  </si>
  <si>
    <t>Освежитель воздуха AIR PURE ALPEN Лесные ягоды, 300 мл, С</t>
  </si>
  <si>
    <t>00-00000198</t>
  </si>
  <si>
    <t>Освежитель воздуха ALPEN Лесные ягоды, 300 мл</t>
  </si>
  <si>
    <t>00-00000200</t>
  </si>
  <si>
    <t>Освежитель воздуха ALPEN Солнечный апельсин, 300 мл</t>
  </si>
  <si>
    <t>Air freshener ALPEN Sunny Orange, 300 ml</t>
  </si>
  <si>
    <t>Освежитель воздуха AIR PURE ALPEN Солнечный апельсин, 300 мл</t>
  </si>
  <si>
    <t>Освежитель воздуха AIR PURE ALPEN Цветущая яблоня, 300 мл</t>
  </si>
  <si>
    <t>Air freshener ALPEN Blooming apple tree, 300 ml</t>
  </si>
  <si>
    <t>ER-00012212</t>
  </si>
  <si>
    <t>Освежитель воздуха AIR PURE ALPEN Цветущая яблоня, 300 мл, С</t>
  </si>
  <si>
    <t>00-00000202</t>
  </si>
  <si>
    <t>Освежитель воздуха ALPEN Цветущая яблоня, 300 мл</t>
  </si>
  <si>
    <t>00-00000206</t>
  </si>
  <si>
    <t>Освежитель воздуха ALPEN Цитрусовая свежесть, 300 мл</t>
  </si>
  <si>
    <t>Air freshener ALPEN Citrus freshness, 300 ml</t>
  </si>
  <si>
    <t>ER-00012211</t>
  </si>
  <si>
    <t>Освежитель воздуха AIR PURE ALPEN Цитрусовая свежесть, 300 мл, С</t>
  </si>
  <si>
    <t>Освежитель воздуха AIR PURE ALPEN Цитрусовая свежесть, 300 мл</t>
  </si>
  <si>
    <t>ER-00013779</t>
  </si>
  <si>
    <t>Освежитель воздуха AIR PURE ALPEN Антитабак, 300 мл, N, С</t>
  </si>
  <si>
    <t>Air freshener ALPEN Antitabacco, 300 ml, Sl</t>
  </si>
  <si>
    <t>00-00009025</t>
  </si>
  <si>
    <t>Освежитель воздуха AIR PURE ALPEN Антитабак, 300 мл, С</t>
  </si>
  <si>
    <t>00-00000196</t>
  </si>
  <si>
    <t>Освежитель воздуха ALPEN Карибское море, 300 мл</t>
  </si>
  <si>
    <t>Air freshener ALPEN Caribbean sea, 300 ml</t>
  </si>
  <si>
    <t>00-00009023</t>
  </si>
  <si>
    <t>Освежитель воздуха AIR PURE ALPEN Карибское море, 300 мл, С</t>
  </si>
  <si>
    <t>Air freshener ALPEN Caribbean sea, 300 ml, Sl</t>
  </si>
  <si>
    <t>00-00000204</t>
  </si>
  <si>
    <t>Освежитель воздуха ALPEN Утренняя роса, 300 мл</t>
  </si>
  <si>
    <t>Air freshener ALPEN Morning dew, 300 ml</t>
  </si>
  <si>
    <t>Освежитель воздуха AIR PURE ALPEN Утренняя роса, 300 мл</t>
  </si>
  <si>
    <t>ER-00013780</t>
  </si>
  <si>
    <t>Освежитель воздуха AIR PURE ALPEN Утренняя роса, 300 мл, N, С</t>
  </si>
  <si>
    <t>Air freshener ALPEN Morning dew, 300 ml, Sl</t>
  </si>
  <si>
    <t>00-00009015</t>
  </si>
  <si>
    <t>Освежитель воздуха AIR PURE ALPEN Утренняя роса, 300 мл, С</t>
  </si>
  <si>
    <t>00-00000208</t>
  </si>
  <si>
    <t>Освежитель воздуха ALPEN Цветок магнолии, 300 мл</t>
  </si>
  <si>
    <t>Air freshener ALPEN Magnolia flower, 300 ml</t>
  </si>
  <si>
    <t>Освежитель воздуха AIR PURE ALPEN Цветок магнолии, 300 мл</t>
  </si>
  <si>
    <t>ER-00013781</t>
  </si>
  <si>
    <t>Освежитель воздуха AIR PURE ALPEN Цветок магнолии, 300 мл, N, С</t>
  </si>
  <si>
    <t>Air freshener ALPEN Magnolia flower, 300 ml, Sl</t>
  </si>
  <si>
    <t>00-00009016</t>
  </si>
  <si>
    <t>Освежитель воздуха AIR PURE ALPEN Цветок магнолии, 300 мл, С</t>
  </si>
  <si>
    <t>00-00000218</t>
  </si>
  <si>
    <t>Освежитель воздуха ALPEN Горный водопад, 300 мл</t>
  </si>
  <si>
    <t>Air freshener ALPEN Mountain watefall, 300 ml</t>
  </si>
  <si>
    <t>Освежитель воздуха AIR PURE ALPEN Горный водопад, 300 мл</t>
  </si>
  <si>
    <t>00-00009021</t>
  </si>
  <si>
    <t>Освежитель воздуха AIR PURE ALPEN Горный водопад, 300 мл, С</t>
  </si>
  <si>
    <t>Air freshener ALPEN Mountain watefall, 300 ml, Sl</t>
  </si>
  <si>
    <t>00-00000210</t>
  </si>
  <si>
    <t>Освежитель воздуха AIR PURE ALPEN Ландыш душистый, 300 мл</t>
  </si>
  <si>
    <t>Air freshener ALPEN Lily of the valley, 300 ml</t>
  </si>
  <si>
    <t>00-00000212</t>
  </si>
  <si>
    <t>Освежитель воздуха AIR PURE ALPEN Нейтрализатор запахов, 300 мл</t>
  </si>
  <si>
    <t>Air freshener ALPEN Odor neutralizer, 300 ml</t>
  </si>
  <si>
    <t>00-00000214</t>
  </si>
  <si>
    <t>Освежитель воздуха AIR PURE ALPEN Ароматная ваниль, 300 мл</t>
  </si>
  <si>
    <t>Air freshener ALPEN Aroma vanila, 300 ml</t>
  </si>
  <si>
    <t>00-00000216</t>
  </si>
  <si>
    <t>Освежитель воздуха ALPEN Весенний сад, 300 мл</t>
  </si>
  <si>
    <t>Air freshener ALPEN Spring forest, 300 ml</t>
  </si>
  <si>
    <t>Освежитель воздуха AIR PURE ALPEN Весенний сад, 300 мл</t>
  </si>
  <si>
    <t>00-00000220</t>
  </si>
  <si>
    <t>Освежитель воздуха AIR PURE ALPEN Нежный букет, 300 мл</t>
  </si>
  <si>
    <t>Air freshener ALPEN Delicate bouquet, 300 ml</t>
  </si>
  <si>
    <t>00-00000222</t>
  </si>
  <si>
    <t>Освежитель воздуха ALPEN Цветы после дождя, 300 мл</t>
  </si>
  <si>
    <t>Air freshener ALPEN Flowers After the rain, 300 ml</t>
  </si>
  <si>
    <t>Освежитель воздуха AIR PURE ALPEN Цветы после дождя, 300 мл</t>
  </si>
  <si>
    <t>Освежитель воздуха FLOWER SHOP Апельсин и грейпфрут, 300 мл, N</t>
  </si>
  <si>
    <t>Air freshener FLOWER SHOP Orange and grapefruit, 300 ml</t>
  </si>
  <si>
    <t>00-00001093</t>
  </si>
  <si>
    <t>Освежитель воздуха FLOWER SHOP Апельсин и грейпфрут, 300 мл</t>
  </si>
  <si>
    <t>00-00001094</t>
  </si>
  <si>
    <t>Освежитель воздуха FLOWER SHOP Антитабак, 300 мл</t>
  </si>
  <si>
    <t>Air freshener FLOWER SHOP Antitabacco, 300 ml,</t>
  </si>
  <si>
    <t>ER-00012819</t>
  </si>
  <si>
    <t>Освежитель воздуха FLOWER SHOP Антитабак, 300 мл, N, С</t>
  </si>
  <si>
    <t>Освежитель воздуха FLOWER SHOP Лайм и мята, 300 мл, N</t>
  </si>
  <si>
    <t>Air freshener FLOWER SHOP Lime and mint, 300 ml,</t>
  </si>
  <si>
    <t>00-00001095</t>
  </si>
  <si>
    <t>Освежитель воздуха FLOWER SHOP Лайм и мята, 300 мл</t>
  </si>
  <si>
    <t>00-00001096</t>
  </si>
  <si>
    <t>Освежитель воздуха FLOWER SHOP Морские минералы, 300 мл</t>
  </si>
  <si>
    <t>Air freshener FLOWER SHOP Morse minerals, 300 ml,</t>
  </si>
  <si>
    <t>00-00001097</t>
  </si>
  <si>
    <t>Освежитель воздуха FLOWER SHOP Нейтрализатор запахов, 300 мл</t>
  </si>
  <si>
    <t>Air freshener FLOWER SHOP Odor neutralizer, 300 ml,</t>
  </si>
  <si>
    <t>00-00001098</t>
  </si>
  <si>
    <t>Освежитель воздуха FLOWER SHOP Яблоко и жасмин, 300 мл</t>
  </si>
  <si>
    <t>Air freshener FLOWER SHOP apple and jasmine, 300 ml,</t>
  </si>
  <si>
    <t>00-00001099</t>
  </si>
  <si>
    <t>Освежитель воздуха FLOWER SHOP Клубника и Орхидея, 300 мл</t>
  </si>
  <si>
    <t>Air freshener FLOWER SHOP Strawberry and Orchid, 300 ml,</t>
  </si>
  <si>
    <t>00-00001100</t>
  </si>
  <si>
    <t>Освежитель воздуха FLOWER SHOP Ландыш, 300 мл</t>
  </si>
  <si>
    <t>Air freshener FLOWER SHOP Lily of the valley, 300 ml,</t>
  </si>
  <si>
    <t>00-00001101</t>
  </si>
  <si>
    <t>Освежитель воздуха FLOWER SHOP После дождя, 300 мл,</t>
  </si>
  <si>
    <t>Air freshener FLOWER SHOP After the rain, 300 ml,</t>
  </si>
  <si>
    <t>Освежитель воздуха FLOWER SHOP После дождя, 300 мл, N</t>
  </si>
  <si>
    <t>ER-00012821</t>
  </si>
  <si>
    <t>Освежитель воздуха FLOWER SHOP После дождя, 300 мл, N, С</t>
  </si>
  <si>
    <t>00-00001102</t>
  </si>
  <si>
    <t>Освежитель воздуха серии  "Flower shop" "От запаха животных" 300мл</t>
  </si>
  <si>
    <t>Air freshener FLOWER SHOP From the smell of animals, 300 ml,</t>
  </si>
  <si>
    <t>00-00010284</t>
  </si>
  <si>
    <t>Освежитель воздуха FLOWER SHOP Виноград Розмарин, 300 мл, С</t>
  </si>
  <si>
    <t>Air freshener FLOWER SHOP Grapes Rosemary, 300 ml, Sl</t>
  </si>
  <si>
    <t>00-00001716</t>
  </si>
  <si>
    <t>Освежитель воздуха GREEN COLLECTION BY PROVENCE Восточная сказка, 250 мл</t>
  </si>
  <si>
    <t>Air freshener GREEN COLLECTION BY PROVENCE Eastern fairy tale, 250 ml, Sl</t>
  </si>
  <si>
    <t>Освежитель воздуха GREEN COLLECTION BY PROVENCE Королевская орхидея, 250 мл, N</t>
  </si>
  <si>
    <t>Air freshener GREEN COLLECTION BY PROVENCERoyal Orchid, 250 ml</t>
  </si>
  <si>
    <t>Освежитель воздуха GREEN COLLECTION BY PROVENCE Бодрящий лайм, 250 мл, N</t>
  </si>
  <si>
    <t>Air freshener GREEN COLLECTION BY PROVENCE Invigorating Lime, 250 ml</t>
  </si>
  <si>
    <t>Освежитель воздуха GREEN COLLECTION BY PROVENCE Цветущая вишня, 250 мл, N</t>
  </si>
  <si>
    <t>Air freshener GREEN COLLECTION BY PROVENCE Blooming cherry , 250 ml</t>
  </si>
  <si>
    <t>Освежитель воздуха GREEN COLLECTION BY PROVENCE Фруктовый десерт, 250 мл, N</t>
  </si>
  <si>
    <t>Air freshener GREEN COLLECTION BY PROVENCE Fruit dessert, 250 ml</t>
  </si>
  <si>
    <t>Освежитель воздуха GREEN COLLECTION BY PROVENCE Райское наслаждение, 250 мл, N</t>
  </si>
  <si>
    <t>Air freshener GREEN COLLECTION BY PROVENCEParadise pleasure, 250 ml</t>
  </si>
  <si>
    <t>00-00001724</t>
  </si>
  <si>
    <t>Освежитель воздуха GREEN COLLECTION BY PROVENCE С Праздником!, 250 мл</t>
  </si>
  <si>
    <t>Air freshener GREEN COLLECTION BY PROVENCE Happy Holidays!, 250 ml</t>
  </si>
  <si>
    <t>00-00001726</t>
  </si>
  <si>
    <t>Освежитель воздуха GREEN COLLECTION BY PROVENCE Морозное утро, 250 мл</t>
  </si>
  <si>
    <t>Air freshener GREEN COLLECTION BY PROVENCE Frosty morning, 250 ml</t>
  </si>
  <si>
    <t>00-00001728</t>
  </si>
  <si>
    <t>Освежитель воздуха GREEN COLLECTION BY PROVENCE Рождественский десерт, 250 мл</t>
  </si>
  <si>
    <t>Air freshener GREEN COLLECTION BY PROVENCE Christmas dessert, 250 ml</t>
  </si>
  <si>
    <t>00-00001732</t>
  </si>
  <si>
    <t>Освежитель воздуха «Green collection by Provence»:«Антитабак. Блокатор запахов" 250мл</t>
  </si>
  <si>
    <t>Air freshener GREEN COLLECTION BY PROVENCE Antitabacco. Odor blocker, 250 ml</t>
  </si>
  <si>
    <t>Освежитель воздуха GREEN COLLECTION BY PROVENCE Антитабак. Манго и ваниль. Блокатор запахов, 250 мл.</t>
  </si>
  <si>
    <t>Air freshener GREEN COLLECTION BY PROVENCE Antitabacco. Mango and vanila. Odor blocker, 250 ml</t>
  </si>
  <si>
    <t>ER-00011689</t>
  </si>
  <si>
    <t xml:space="preserve">Освежитель воздуха GREEN COLLECTION BY PROVENCE Антитабак.Манго и ваниль.Блокатор запахов, 250 мл,С </t>
  </si>
  <si>
    <t>00-00001734</t>
  </si>
  <si>
    <t>Освежитель воздуха GREEN COLLECTION BY PROVENCE Океанский бриз. Блокатор запахов, 250 мл</t>
  </si>
  <si>
    <t>Air freshener GREEN COLLECTION BY PROVENCE Ocean breeze. Odor blocker, 250 ml</t>
  </si>
  <si>
    <t>00-00001735</t>
  </si>
  <si>
    <t>Освежитель воздуха «Green collection by Provence»:«Кофейный восторг.Блокатор запахов" 250мл</t>
  </si>
  <si>
    <t>Air freshener GREEN COLLECTION BY PROVENCE Coffee delight. Odor blocker, 250 ml</t>
  </si>
  <si>
    <t>00-00006625</t>
  </si>
  <si>
    <t>Освежитель воздуха «Green collection by Provence» "Бахчисарай", 250мл</t>
  </si>
  <si>
    <t>Air freshener GREEN COLLECTION BY PROVENCE  Bakhchisaray, 250 ml</t>
  </si>
  <si>
    <t>00-00006626</t>
  </si>
  <si>
    <t>Освежитель воздуха «Green collection by Provence» "Звездный фрукт", 250мл</t>
  </si>
  <si>
    <t>Air freshener GREEN COLLECTION BY PROVENCE  Star Fruit, 250 ml</t>
  </si>
  <si>
    <t>00-00006627</t>
  </si>
  <si>
    <t>Освежитель воздуха GREEN COLLECTION BY PROVENCE Шафрановое чудо, 250 мл</t>
  </si>
  <si>
    <t>Air freshener GREEN COLLECTION BY PROVENCE  Saffron miracle, 250 ml</t>
  </si>
  <si>
    <t>Освежитель воздуха GREEN COLLECTION BY PROVENCE Бодрящий лайм, 250 мл, С, N</t>
  </si>
  <si>
    <t>Air freshener GREEN COLLECTION BY PROVENCE Invigorating Lime, 250 ml, Sl, N</t>
  </si>
  <si>
    <t>ER-00011640</t>
  </si>
  <si>
    <t>Освежитель воздуха GREEN COLLECTION BY PROVENCE Королевская орхидея, 250 мл, С, N</t>
  </si>
  <si>
    <t>Air freshener GREEN COLLECTION BY PROVENCE Royal Orchid, 250 ml, Sl, N</t>
  </si>
  <si>
    <t>ER-00011695</t>
  </si>
  <si>
    <t>Освежитель воздуха GREEN COLLECTION BY PROVENCE Райское наслаждение, 250 мл, С, N</t>
  </si>
  <si>
    <t>Air freshener GREEN COLLECTION BY PROVENCE Paradise pleasure, 250 ml, Sl, N</t>
  </si>
  <si>
    <t>ER-00011697</t>
  </si>
  <si>
    <t>Освежитель воздуха GREEN COLLECTION BY PROVENCE Фруктовый десерт, 250 мл, С, N</t>
  </si>
  <si>
    <t>Air freshener GREEN COLLECTION BY PROVENCE Fruit dessert, 250 ml, Sl, N</t>
  </si>
  <si>
    <t>Освежитель воздуха GREEN COLLECTION BY PROVENCE Гранатовый лимонад, 250 мл</t>
  </si>
  <si>
    <t>Air freshener GREEN COLLECTION BY PROVENCE Pomegranate Lemonade, 250 ml</t>
  </si>
  <si>
    <t>Освежитель воздуха GREEN COLLECTION BY PROVENCE Лазурные Альпы, 250 мл</t>
  </si>
  <si>
    <t>Air freshener GREEN COLLECTION BY PROVENCE Azure Alps, 250 ml</t>
  </si>
  <si>
    <t>Освежитель воздуха GREEN COLLECTION BY PROVENCE Морская ривьера, 250 мл</t>
  </si>
  <si>
    <t>Air freshener GREEN COLLECTION BY PROVENCE Maritime Riviera, 250 ml</t>
  </si>
  <si>
    <t>Освежитель воздуха GREEN COLLECTION BY PROVENCE Цветущий прованс, 250 мл</t>
  </si>
  <si>
    <t>Air freshener GREEN COLLECTION BY PROVENCE Blooming Provence, 250 ml</t>
  </si>
  <si>
    <t>Освежитель воздуха GREEN COLLECTION BY PROVENCE Ягодное наслаждение, 250 мл</t>
  </si>
  <si>
    <t>Air freshener GREEN COLLECTION BY PROVENCE Berry Delight, 250 ml</t>
  </si>
  <si>
    <t>00-00001736</t>
  </si>
  <si>
    <t>Сменный блок Green Collection by Provence в аэрозольной упаковке, 250мл в ассортименте (№1)</t>
  </si>
  <si>
    <t>Air freshener GREEN COLLECTION by Provence, 250 ml, №1</t>
  </si>
  <si>
    <t>ER-00011699</t>
  </si>
  <si>
    <t>Освежитель воздуха GREEN COLLECTION BY PROVENCE Цветущая вишня, 250 мл, С, N</t>
  </si>
  <si>
    <t>Air freshener GREEN COLLECTION BY PROVENCE  Blooming cherry , 250 ml, Sl, N</t>
  </si>
  <si>
    <t>Освежитель воздуха GREEN COLLECTION BY PROVENCE После дождя, 300 мл</t>
  </si>
  <si>
    <t>Air freshener GREEN COLLECTION BY PROVENCE After the rain, 300 ml</t>
  </si>
  <si>
    <t>00-00001630</t>
  </si>
  <si>
    <t>Освежитель воздуха PROVENCE Антитабак, 300 мл</t>
  </si>
  <si>
    <t>Air freshener GREEN COLLECTION BY PROVENCE Antitabacco, 300 ml</t>
  </si>
  <si>
    <t>00-00001632</t>
  </si>
  <si>
    <t>Освежитель воздуха GREEN COLLECTION BY PROVENCE Морской бриз, 300 мл</t>
  </si>
  <si>
    <t>Air freshener GREEN COLLECTION BY PROVENCE Marine breeze, 300 ml</t>
  </si>
  <si>
    <t>00-00001634</t>
  </si>
  <si>
    <t>Освежитель воздуха GREEN COLLECTION BY PROVENCE Сирень, 300 мл</t>
  </si>
  <si>
    <t>Air freshener GREEN COLLECTION BY PROVENCE Lilac, 300 ml</t>
  </si>
  <si>
    <t>00-00001635</t>
  </si>
  <si>
    <t>Освежитель воздуха GREEN COLLECTION BY PROVENCE Нейтрализатор запахов, 300 мл</t>
  </si>
  <si>
    <t>Air freshener GREEN COLLECTION BY PROVENCE Odor neutralizer, 300 ml</t>
  </si>
  <si>
    <t>00-00001638</t>
  </si>
  <si>
    <t>Освежитель воздуха PROVENCE Солнечный Апельсин, 300 мл</t>
  </si>
  <si>
    <t>Air freshener GREEN COLLECTION BY PROVENCE Sunny Orange, 300 ml</t>
  </si>
  <si>
    <t>00-00001639</t>
  </si>
  <si>
    <t>Освежитель воздуха GREEN COLLECTION BY PROVENCE Бразильский карнавал, 300 мл</t>
  </si>
  <si>
    <t>Air freshener GREEN COLLECTION BY PROVENCE Brazilian Carnival, 300 ml</t>
  </si>
  <si>
    <t>00-00001640</t>
  </si>
  <si>
    <t>Освежитель воздуха BY PROVENCE Крымские каникулы, 300 мл</t>
  </si>
  <si>
    <t>Air freshener GREEN COLLECTION BY PROVENCE Crimean holidays, 300 ml</t>
  </si>
  <si>
    <t>00-00010322</t>
  </si>
  <si>
    <t>Освежитель воздуха GREEN COLLECTION BY PROVENCE Ягодное наслаждение, 300 мл</t>
  </si>
  <si>
    <t>Air freshener GREEN COLLECTION BY PROVENCE Berry Delight, 300 ml, n</t>
  </si>
  <si>
    <t>00-00001642</t>
  </si>
  <si>
    <t>Освежитель воздуха GREEN COLLECTION BY PROVENCE Фруктовый мармелад, 300 мл</t>
  </si>
  <si>
    <t>Air freshener GREEN COLLECTION BY PROVENCE Fruit jelly, 300 ml</t>
  </si>
  <si>
    <t>00-00001643</t>
  </si>
  <si>
    <t>Освежитель воздуха GREEN COLLECTION BY PROVENCE Имбирь и ваниль, 300 мл</t>
  </si>
  <si>
    <t>Air freshener GREEN COLLECTION BY PROVENCE Ginger and vanila, 300 ml</t>
  </si>
  <si>
    <t>00-00001644</t>
  </si>
  <si>
    <t>Освежитель воздуха GREEN COLLECTION BY PROVENCE Цитрусовый смузи, 300 мл</t>
  </si>
  <si>
    <t>Air freshener GREEN COLLECTION BY PROVENCE Citrus smoothie, 300 ml</t>
  </si>
  <si>
    <t>ER-00013911</t>
  </si>
  <si>
    <t>Освежитель воздуха GREEN COLLECTION BY PROVENCE Бодрящий лайм, 300 мл, GG, n</t>
  </si>
  <si>
    <t>Air freshener GREEN COLLECTION BY PROVENCE Invigorating Lime, 300 ml</t>
  </si>
  <si>
    <t>Освежитель воздуха GREEN COLLECTION BY PROVENCE Бодрящий лайм, 300 мл, GG</t>
  </si>
  <si>
    <t>Освежитель воздуха GREEN COLLECTION BY PROVENCE Бодрящий лайм, 300 мл</t>
  </si>
  <si>
    <t>Освежитель воздуха GREEN COLLECTION BY PROVENCE Гранатовый лимонад, 300 мл</t>
  </si>
  <si>
    <t>Air freshener GREEN COLLECTION BY PROVENCE Pomegranate Lemonade, 300 ml</t>
  </si>
  <si>
    <t>Освежитель воздуха GREEN COLLECTION BY PROVENCE Гранатовый лимонад, 300 мл, GG</t>
  </si>
  <si>
    <t>ER-00013909</t>
  </si>
  <si>
    <t>Освежитель воздуха GREEN COLLECTION BY PROVENCE Гранатовый лимонад, 300 мл, GG, n</t>
  </si>
  <si>
    <t>ER-00013939</t>
  </si>
  <si>
    <t>Освежитель воздуха GREEN COLLECTION BY PROVENCE Лазурные Альпы, 300 мл, GG, n</t>
  </si>
  <si>
    <t>Air freshener GREEN COLLECTION BY PROVENCE Azure Alps, 300 ml</t>
  </si>
  <si>
    <t>Освежитель воздуха GREEN COLLECTION BY PROVENCE Лазурные Альпы, 300 мл, GG</t>
  </si>
  <si>
    <t>Освежитель воздуха GREEN COLLECTION BY PROVENCE Лазурные Альпы, 300 мл</t>
  </si>
  <si>
    <t>Освежитель воздуха GREEN COLLECTION BY PROVENCE Морская ривьера, 300 мл</t>
  </si>
  <si>
    <t>Air freshener GREEN COLLECTION BY PROVENCE Maritime Riviera, 300 ml</t>
  </si>
  <si>
    <t>Освежитель воздуха GREEN COLLECTION BY PROVENCE Нежный пион, 300 мл</t>
  </si>
  <si>
    <t>Air freshener GREEN COLLECTION BY PROVENCE Delicate peony, 300 ml</t>
  </si>
  <si>
    <t>Освежитель воздуха GREEN COLLECTION BY PROVENCE Сирень и лаванда, 300 мл</t>
  </si>
  <si>
    <t>Air freshener GREEN COLLECTION BY PROVENCE Lilac and lavender, 300 ml</t>
  </si>
  <si>
    <t>ER-00012285</t>
  </si>
  <si>
    <t>Освежитель воздуха GREEN COLLECTION BY PROVENCE Сирень и лаванда, 300 мл, C</t>
  </si>
  <si>
    <t>ER-00012592</t>
  </si>
  <si>
    <t>Освежитель воздуха GREEN COLLECTION BY PROVENCE Фруктовый десерт, 300 мл, С</t>
  </si>
  <si>
    <t>Air freshener GREEN COLLECTION BY PROVENCE Fruit dessert, 300 ml</t>
  </si>
  <si>
    <t>ER-00011713</t>
  </si>
  <si>
    <t>Освежитель воздуха GREEN COLLECTION BY PROVENCE Фруктовый десерт, 300 мл</t>
  </si>
  <si>
    <t>Освежитель воздуха GREEN COLLECTION BY PROVENCE Цветущий прованс, 300 мл</t>
  </si>
  <si>
    <t>Air freshener GREEN COLLECTION BY PROVENCE Blooming Provence, 300 ml</t>
  </si>
  <si>
    <t>00-00010327</t>
  </si>
  <si>
    <t>Освежитель воздуха GREEN COLLECTION BY PROVENCE Карибский лайм, 300 мл, С</t>
  </si>
  <si>
    <t>Air freshener GREEN COLLECTION BY PROVENCE Caribbean Lime, 300 ml, Sl</t>
  </si>
  <si>
    <t>ER-00012570</t>
  </si>
  <si>
    <t>Освежитель воздуха GREEN COLLECTION BY PROVENCE Антитабак, 300 мл, N, С</t>
  </si>
  <si>
    <t>Air freshener GREEN COLLECTION BY PROVENCE Antitabacco, 300 ml, N</t>
  </si>
  <si>
    <t>ER-00013363</t>
  </si>
  <si>
    <t>Освежитель воздуха GREEN COLLECTION BY PROVENCE Антитабак, 300 мл, N, С, GG</t>
  </si>
  <si>
    <t>Освежитель воздуха GREEN COLLECTION BY PROVENCE Антитабак, 300 мл, N, GG</t>
  </si>
  <si>
    <t>ER-00013935</t>
  </si>
  <si>
    <t>Освежитель воздуха GREEN COLLECTION BY PROVENCE Антитабак, 300 мл, N, GG, n</t>
  </si>
  <si>
    <t>ER-00013936</t>
  </si>
  <si>
    <t>Освежитель воздуха GREEN COLLECTION BY PROVENCE Антитабак, 300 мл, N, С, GG, n</t>
  </si>
  <si>
    <t>Освежитель воздуха GREEN COLLECTION BY PROVENCE Антитабак, 300 мл</t>
  </si>
  <si>
    <t>Освежитель воздуха GREEN COLLECTION BY PROVENCE Крымские каникулы, 300 мл</t>
  </si>
  <si>
    <t>Air freshener GREEN COLLECTION BY PROVENCE Crimean holidays, 300 ml, N</t>
  </si>
  <si>
    <t>ER-00013912</t>
  </si>
  <si>
    <t>Освежитель воздуха GREEN COLLECTION BY PROVENCE Крымские каникулы, 300 мл, N, GG, n</t>
  </si>
  <si>
    <t>ER-00013942</t>
  </si>
  <si>
    <t>Освежитель воздуха GREEN COLLECTION BY PROVENCE Крымские каникулы, 300 мл, N, С, GG, n</t>
  </si>
  <si>
    <t>ER-00013369</t>
  </si>
  <si>
    <t>Освежитель воздуха GREEN COLLECTION BY PROVENCE Крымские каникулы, 300 мл, N, GG</t>
  </si>
  <si>
    <t>ER-00013370</t>
  </si>
  <si>
    <t>Освежитель воздуха GREEN COLLECTION BY PROVENCE Крымские каникулы, 300 мл, N, С, GG</t>
  </si>
  <si>
    <t>ER-00012591</t>
  </si>
  <si>
    <t>Освежитель воздуха GREEN COLLECTION BY PROVENCE Крымские каникулы, 300 мл, N, С</t>
  </si>
  <si>
    <t>ER-00012288</t>
  </si>
  <si>
    <t>Освежитель воздуха GREEN COLLECTION BY PROVENCE Солнечный апельсин, 300 мл, N, С</t>
  </si>
  <si>
    <t>Освежитель воздуха GREEN COLLECTION BY PROVENCE Солнечный апельсин, 300 мл</t>
  </si>
  <si>
    <t>Освежитель воздуха GREEN COLLECTION BY PROVENCE Ягодное наслаждение, 300 мл, N</t>
  </si>
  <si>
    <t>Air freshener GREEN COLLECTION BY PROVENCE Berry Delight, 300 ml, N</t>
  </si>
  <si>
    <t>ER-00012286</t>
  </si>
  <si>
    <t>Освежитель воздуха GREEN COLLECTION BY PROVENCE Ягодное наслаждение, 300 мл, N, С</t>
  </si>
  <si>
    <t>00-00001115</t>
  </si>
  <si>
    <t>Пена для бритья SPORT STAR Normal мужская, 200 мл</t>
  </si>
  <si>
    <t>Shaving foam SPORT STAR Normal for normal skin with multivitamins, 200 ml</t>
  </si>
  <si>
    <t>Пена для бритья SPORT STAR Sensitive мужская, 200 мл</t>
  </si>
  <si>
    <t>Shaving foam SPORT STAR Sensеtive for sensitive skin with menthol, 200 ml</t>
  </si>
  <si>
    <t>ER-00011881</t>
  </si>
  <si>
    <t>Пена для бритья SPORT STAR Regular мужская, 200 мл, С</t>
  </si>
  <si>
    <t>Shaving foam SPORT STAR Regular all skin types, 200 ml</t>
  </si>
  <si>
    <t>Пена для бритья SPORT STAR для чувствительной кожи женская, 200 мл</t>
  </si>
  <si>
    <t>Shaving foam SPORT STAR for sensitive skin women, 200 ml</t>
  </si>
  <si>
    <t>00-00009053</t>
  </si>
  <si>
    <t>Пенка для волос OLIVIA с экстрактом ромашки сильной фиксации, 150 мл, С</t>
  </si>
  <si>
    <t>Hair foam OLIVIA chamomile extract strong hold, 150 ml, Sl</t>
  </si>
  <si>
    <t>00-00001415</t>
  </si>
  <si>
    <t>Пенка для волос OLIVIA с экстрактом ромашки сильной фиксации, 150 мл</t>
  </si>
  <si>
    <t>00-00001027</t>
  </si>
  <si>
    <t>Средство дезинфицирующее BIG D Kidmetics, 150 мл, С</t>
  </si>
  <si>
    <t>Disinfectant BIG D Kidmetics, 150 ml, Sl</t>
  </si>
  <si>
    <t>00-00001028</t>
  </si>
  <si>
    <t>Средство дезинфицирующее BIG D, 150 мл</t>
  </si>
  <si>
    <t>Disinfectant BIG D, 150 ml</t>
  </si>
  <si>
    <t>00-00001029</t>
  </si>
  <si>
    <t>Средство дезинфицирующее BIG D, 300 мл</t>
  </si>
  <si>
    <t>Disinfectant BIG D, 300 ml</t>
  </si>
  <si>
    <t>00-00001031</t>
  </si>
  <si>
    <t>Средство дезинфицирующее Защита 99,9%  для всех типов поверхностей , 300мл</t>
  </si>
  <si>
    <t>Disinfectant  BIG D Protection 99,9%, 300 ml</t>
  </si>
  <si>
    <t>00-00001033</t>
  </si>
  <si>
    <t>Средство дезинфицирующее серии «BIG D/БИГ ДИ»  65 мл</t>
  </si>
  <si>
    <t>Disinfectant BIG D, 65 ml</t>
  </si>
  <si>
    <t>00-00008896</t>
  </si>
  <si>
    <t>Сухой шампунь OLIVIA Hot play, 200 мл</t>
  </si>
  <si>
    <t>Dry Shampoo OLIVIA Hot play, 200 ml</t>
  </si>
  <si>
    <t>00-00001874</t>
  </si>
  <si>
    <t>ВОДООТТАЛКИВАЮЩАЯ ПРОПИТКА ДЛЯ КОЖИ, ЗАМШИ, НУБУКА "КРУГЛЫЙ ГОД" СЕРИИ "BIG-D" 250 мл</t>
  </si>
  <si>
    <t>Water-repellent treatment KRUGLYI GOD Big D for leather, suede and nubuck, 250 ml</t>
  </si>
  <si>
    <t>KRUGLYI GOD</t>
  </si>
  <si>
    <t>00-00001025</t>
  </si>
  <si>
    <t>Дезодорант для обуви КРУГЛЫЙ ГОД СЕРИИ "BIG D" 150 мл</t>
  </si>
  <si>
    <t>Deodorant for shoes KRUGLYI GOD Big D, 150 ml</t>
  </si>
  <si>
    <t>Дезодорант КРАСНАЯ ЦЕНА Аква-цветочный женский, 150 мл</t>
  </si>
  <si>
    <t>Deodorant KRASNAYA TSENA Аква-Floral woman, 150 ml</t>
  </si>
  <si>
    <t>KRASNAYA TSENA</t>
  </si>
  <si>
    <t>00-00011027</t>
  </si>
  <si>
    <t>Дезодорант КРАСНАЯ ЦЕНА Древесно-цитрусовый мужской, 150 мл</t>
  </si>
  <si>
    <t>Deodorant KRASNAYA TSENA Woody-Citrus man, 150 ml</t>
  </si>
  <si>
    <t>Дезодорант КРАСНАЯ ЦЕНА Древесно-цитрусовый мужской, 150 мл, С</t>
  </si>
  <si>
    <t>Лак для волос DELIVEA сверхсильной фиксации, 300 мл</t>
  </si>
  <si>
    <t>Hairspray DELIVEA superstrong hold, 300 ml</t>
  </si>
  <si>
    <t>DELIVEA</t>
  </si>
  <si>
    <t>Лак для волос КРАСНАЯ ЦЕНА сверхсильной фиксации, 200 мл</t>
  </si>
  <si>
    <t>Hairspray KRASNAYA TSENA superstrong hold, 200 ml</t>
  </si>
  <si>
    <t>00-00010841</t>
  </si>
  <si>
    <t>Освежитель воздуха ECONTA Океан, 300 мл</t>
  </si>
  <si>
    <t>Air freshener ECONTA Ocean, 300 ml</t>
  </si>
  <si>
    <t>ECONTA</t>
  </si>
  <si>
    <t>00-00009428</t>
  </si>
  <si>
    <t>Освежитель воздуха в аэрозольной упаковке HOME STORY Лесная ягода, 250 мл</t>
  </si>
  <si>
    <t>Air freshener HOME STORY Verti Wild berry, 250 ml</t>
  </si>
  <si>
    <t>HOME STORY</t>
  </si>
  <si>
    <t>00-00009429</t>
  </si>
  <si>
    <t>Освежитель воздуха в аэрозольной упаковке HOME STORY Цветочная вуаль, 250 мл</t>
  </si>
  <si>
    <t>Air freshener HOME STORY Verti Floral veil, 250 ml</t>
  </si>
  <si>
    <t>Освежитель воздуха LIBERHAUS После дождя, 300 мл</t>
  </si>
  <si>
    <t>Air freshener LIBERHAUS After the rain, 300 ml, Sl</t>
  </si>
  <si>
    <t>LIBERHAUS</t>
  </si>
  <si>
    <t>ER-00011374</t>
  </si>
  <si>
    <t>Освежитель воздуха LIBERHAUS После дождя, 300 мл, С</t>
  </si>
  <si>
    <t>Освежитель воздуха LIBERHAUS Ягодный взрыв, 300 мл, С</t>
  </si>
  <si>
    <t>Air freshener LIBERHAUS Berry Explosion , 300 ml</t>
  </si>
  <si>
    <t>Освежитель воздуха LIBERHAUS Тропический остров, 250 мл</t>
  </si>
  <si>
    <t>Air freshener LIBERHAUS Tropical island, 250 ml</t>
  </si>
  <si>
    <t>ER-00011787</t>
  </si>
  <si>
    <t>Освежитель воздуха LIBERHAUS Тропический остров, 250 мл, С</t>
  </si>
  <si>
    <t>Air freshener LIBERHAUS Tropical island, 250 ml, Sl</t>
  </si>
  <si>
    <t>Освежитель воздуха LIBERHAUS Солнечное настроение, 250 мл</t>
  </si>
  <si>
    <t>Air freshener LIBERHAUS Sunny mood, 250 ml</t>
  </si>
  <si>
    <t>Пена для бритья ENDEAVOR Sensitive для чувствительной кожи, 200 мл</t>
  </si>
  <si>
    <t>Shaving foam ENDEAVOR Sensitive for sensitive skin, 200 ml</t>
  </si>
  <si>
    <t>ENDEAVOR</t>
  </si>
  <si>
    <t>00-00000005</t>
  </si>
  <si>
    <t>SALTON PROFESSIONAL Защита от воды изделий из гладкой кожи, замши, нубука,велюра и текстиля, 300 мл</t>
  </si>
  <si>
    <t>Repellent SALTON Professional from water for leather, suede, nubuck, velor, textiles, 300 ml</t>
  </si>
  <si>
    <t>SALTON</t>
  </si>
  <si>
    <t>00-00000016</t>
  </si>
  <si>
    <t>SALTON Expert средство для защиты обуви от реагентов и соли, 250 мл</t>
  </si>
  <si>
    <t>Repellent SALTON Expert from reagents and salt, 250 ml</t>
  </si>
  <si>
    <t>00-00000017</t>
  </si>
  <si>
    <t>SALTON Expert Защита от воды изделий из гладкой кожи, замши, нубука,велюра и текстиля, 250 мл</t>
  </si>
  <si>
    <t>Repellent SALTON Expert from water for leather, suede, nubuck, velor, textiles, 250 ml</t>
  </si>
  <si>
    <t>00-00000128</t>
  </si>
  <si>
    <t>SALTON PROFESSIONAL Защита от воды изделий из гладкой кожи, замши, нубука,велюра и текстиля, 250 мл</t>
  </si>
  <si>
    <t>Repellent SALTON Professional from water for leather, suede, nubuck, velor, textiles, 250 ml</t>
  </si>
  <si>
    <t>00-00000137</t>
  </si>
  <si>
    <t>SALTON Expert  Защита от воды изделий из гладкой кожи, замши, нубука,велюра и текстиля, 250 мл</t>
  </si>
  <si>
    <t>Repellent SALTON Expert from water for leather, suede, nubuck, velor, textiles, 250 ml, 12 шт</t>
  </si>
  <si>
    <t>00-00000149</t>
  </si>
  <si>
    <t>Антиперспирант для ног 2в1 "SALTON FEET ONLY LADY"  75мл</t>
  </si>
  <si>
    <t>Antiperspirant for feet SALTON Feet only lady 2in1, 75 ml</t>
  </si>
  <si>
    <t>00-00000015</t>
  </si>
  <si>
    <t>SALTON Средство для защиты от воды изделий из гладкой кожи, замши и нубука, 300 мл</t>
  </si>
  <si>
    <t>Repellent SALTON from water for leather, suede, nubuck, 300 ml</t>
  </si>
  <si>
    <t>00-00000018</t>
  </si>
  <si>
    <t>Пена SALTON Sport для белой обуви, подошв и рантов, 200 мл2</t>
  </si>
  <si>
    <t>Foam SALTON Sport for white shoes, soles and welts, 200 ml</t>
  </si>
  <si>
    <t>00-00011117</t>
  </si>
  <si>
    <t>Пена SALTON Sport для белой обуви, подошв и рантов, 200 мл</t>
  </si>
  <si>
    <t>00-00000116</t>
  </si>
  <si>
    <t>SALTON EXPERT Пена для очищения белой обуви, подошв и рантов, 200мл 12 ШТУК В КОРОБЕ</t>
  </si>
  <si>
    <t>Foam SALTON Sport for white shoes, soles and welts, 200 ml, 12 шт</t>
  </si>
  <si>
    <t>00-00000135</t>
  </si>
  <si>
    <t>Пена SALTON Sport для белой обуви, подошв и рантов, 200 мл, Custom</t>
  </si>
  <si>
    <t>Foam SALTON Sport for white shoes, soles and welts, 200 ml, Custom</t>
  </si>
  <si>
    <t>00-00009253</t>
  </si>
  <si>
    <t>Пена MAXIGUARD для белой обуви, подошв и рантов, 200 мл</t>
  </si>
  <si>
    <t>Foam MAXIGUARD for white shoes, soles and welts, 200 ml</t>
  </si>
  <si>
    <t>MAXIGUARD</t>
  </si>
  <si>
    <t>00-00011011</t>
  </si>
  <si>
    <t>Пена SALTON Sport для белой обуви, подошв и рантов, 200 мл, Custom, N</t>
  </si>
  <si>
    <t>Foam SALTON Sport for white shoes, soles and welts, 200 ml, Custom, N</t>
  </si>
  <si>
    <t>00-00000115</t>
  </si>
  <si>
    <t>SALTON CLEANTECH Гель для стирки универсальный против запаха пота и загрязнений на одежде, 500мл</t>
  </si>
  <si>
    <t>Gel for washing SALTON Cleantech universal against the smell of sweat and stains on clothes, 500 ml</t>
  </si>
  <si>
    <t>Detergent</t>
  </si>
  <si>
    <t>00-00000117</t>
  </si>
  <si>
    <t>Гель для стирки SALTON Cleantech для изделий из мембранных тканей, 250 мл</t>
  </si>
  <si>
    <t>Gel for washing SALTON Cleantech for products made from membrane fabrics, 250 ml</t>
  </si>
  <si>
    <t>00-00000118</t>
  </si>
  <si>
    <t>Гель для стирки SALTON Cleantech для изделий из пуха, 250 мл</t>
  </si>
  <si>
    <t>Gel for washing SALTON Cleantech for down products, 250 ml</t>
  </si>
  <si>
    <t>00-00000138</t>
  </si>
  <si>
    <t>Гель для стирки SALTON Cleantech для изделий из мембранных тканей, 250 мл, 6 шт</t>
  </si>
  <si>
    <t>Gel for washing SALTON Cleantech for products made from membrane fabrics, 250 ml, 6 шт</t>
  </si>
  <si>
    <t>00-00000139</t>
  </si>
  <si>
    <t>Гель для стирки SALTON Cleantech для изделий из пуха, 250 мл, 6 шт</t>
  </si>
  <si>
    <t>Gel for washing SALTON Cleantech for down products, 250 ml, 6 шт</t>
  </si>
  <si>
    <t>00-00001751</t>
  </si>
  <si>
    <t>Гель для стирки SALTON Cleantech для спортивных, повседневных и рабочих вещей, 500 мл</t>
  </si>
  <si>
    <t>Gel for washing SALTON Cleantech  for sporty, casual and work wear, 500 ml</t>
  </si>
  <si>
    <t>00-00009280</t>
  </si>
  <si>
    <t>Гель для стирки SALTON Cleantech для текстильной обуви и кроссовок, 500 мл</t>
  </si>
  <si>
    <t>Gel for washing SALTON Cleantech for textile shoes and sneakers, 500 ml</t>
  </si>
  <si>
    <t>00-00009836</t>
  </si>
  <si>
    <t>Гель для стирки SALTON Cleantech для изделий из пуха, 500 мл</t>
  </si>
  <si>
    <t>Gel for washing SALTON Cleantech for down products, 500 ml</t>
  </si>
  <si>
    <t>00-00009837</t>
  </si>
  <si>
    <t>Гель для стирки SALTON Cleantech для изделий из мембранных тканей, 500 мл</t>
  </si>
  <si>
    <t>Gel for washing SALTON Cleantech for products made from membrane fabrics, 500 ml</t>
  </si>
  <si>
    <t>00-00010443</t>
  </si>
  <si>
    <t>Гель для стирки SALTON Cleantech Sport универсальный против запаха пота и загрязнений на одежде, 500</t>
  </si>
  <si>
    <t>Gel for washing SALTON Cleantech Sport universal against the smell of sweat and stains on clothes, 500 ml, 6 шт</t>
  </si>
  <si>
    <t>00-00000001</t>
  </si>
  <si>
    <t>Средство репеллентное "Гардекс Экстрим" (Gardex Extreme) SUPER Аэрозоль-репеллент от комаров,80мл</t>
  </si>
  <si>
    <t>Repellent GARDEX Extreme Super from mosquitoes, 80 ml</t>
  </si>
  <si>
    <t>GARDEX</t>
  </si>
  <si>
    <t>Repellent</t>
  </si>
  <si>
    <t>00-00000002</t>
  </si>
  <si>
    <t>Средство репеллентное GARDEX Extreme от всех летающих кровососущих насекомых, 150 мл</t>
  </si>
  <si>
    <t>Repellent GARDEX Extreme from all flying blood-sucking insects, 150 ml</t>
  </si>
  <si>
    <t>00-00000003</t>
  </si>
  <si>
    <t>Средство репеллентное GARDEX Extreme от мошки и комаров, 100 мл</t>
  </si>
  <si>
    <t>Repellent GARDEX Extreme from midges and mosquitoes, 100 ml</t>
  </si>
  <si>
    <t>00-00000004</t>
  </si>
  <si>
    <t>Средство репеллентное Гардекс Бэби (Gardex Baby) Аэрозоль от комаров и мошки, 80 мл</t>
  </si>
  <si>
    <t>Repellent GARDEX Baby from midges and mosquitoes, 80 ml</t>
  </si>
  <si>
    <t>00-00000129</t>
  </si>
  <si>
    <t>Средство репеллентное Гардекс Экстрим (Gardex Extreme) от всех летающих кровососущих насекомых,150мл</t>
  </si>
  <si>
    <t>Repellent GARDEX Extreme from all flying blood-sucking insects, 150 ml, 6 шт</t>
  </si>
  <si>
    <t>00-00000131</t>
  </si>
  <si>
    <t>Средство репеллентное GARDEX Family от комаров, 150 мл</t>
  </si>
  <si>
    <t>Repellent GARDEX Family from mosquitoes, 150 ml, 6 шт</t>
  </si>
  <si>
    <t>00-00008914</t>
  </si>
  <si>
    <t>Полироль TURTLE WAX Яблоко, 500 мл</t>
  </si>
  <si>
    <t>Polish TURTLE WAX Apple, 500 ml</t>
  </si>
  <si>
    <t>TURTLE WAX</t>
  </si>
  <si>
    <t>00-00008916</t>
  </si>
  <si>
    <t>Полироль TURTLE WAX Вишня, 500 мл</t>
  </si>
  <si>
    <t>Polish TURTLE WAX Cherry , 500 ml</t>
  </si>
  <si>
    <t>Полироль TURTLE WAX Вишня, 500 мл, С</t>
  </si>
  <si>
    <t>Полироль TURTLE WAX Яблоко, 500 мл, С</t>
  </si>
  <si>
    <t>Polish TURTLE WAX Lemon, 500 ml</t>
  </si>
  <si>
    <t>ER-00012268</t>
  </si>
  <si>
    <t>Полироль TURTLE WAX Лимон, 500 мл, С</t>
  </si>
  <si>
    <t>00-00008917</t>
  </si>
  <si>
    <t>Полироль TURTLE WAX Лимон, 500 мл</t>
  </si>
  <si>
    <t>00-00008922</t>
  </si>
  <si>
    <t>Полироль TURTLE WAX Ваниль, 500 мл</t>
  </si>
  <si>
    <t>Polish TURTLE WAX Vanila, 500 ml</t>
  </si>
  <si>
    <t>00-00000031</t>
  </si>
  <si>
    <t>Освежитель воздуха OFFICE CLEAN Лимон, 300 мл</t>
  </si>
  <si>
    <t>Air freshener OFFICE CLEAN Lemon, 300 ml</t>
  </si>
  <si>
    <t>OFFICE CLEAN</t>
  </si>
  <si>
    <t>00-00000032</t>
  </si>
  <si>
    <t>Освежитель воздуха OFFICE CLEAN Морской бриз, 300 мл</t>
  </si>
  <si>
    <t>Air freshener OFFICE CLEAN Marine breeze, 300 ml</t>
  </si>
  <si>
    <t>00-00000033</t>
  </si>
  <si>
    <t>Освежитель воздуха OFFICE CLEAN После дождя, 300 мл</t>
  </si>
  <si>
    <t>Air freshener OFFICE CLEAN After the rain, 300 ml</t>
  </si>
  <si>
    <t>00-00000034</t>
  </si>
  <si>
    <t>Освежитель воздуха OFFICE CLEAN Ароматный букет, 300 мл</t>
  </si>
  <si>
    <t>Air freshener OFFICE CLEAN Aroma bouquet, 300 ml</t>
  </si>
  <si>
    <t>00-00000035</t>
  </si>
  <si>
    <t>Освежитель воздуха OFFICE CLEAN Горная свежесть, 300 мл</t>
  </si>
  <si>
    <t>Air freshener OFFICE CLEAN Mountain freshness, 300 ml</t>
  </si>
  <si>
    <t>00-00000036</t>
  </si>
  <si>
    <t>Освежитель воздуха OFFICE CLEAN Антитабак, 300 мл</t>
  </si>
  <si>
    <t>Air freshener OFFICE CLEAN Antitabacco, 300 ml</t>
  </si>
  <si>
    <t>00-00000037</t>
  </si>
  <si>
    <t>Освежитель воздуха OFFICE CLEAN Свежесть водопада, 300 мл</t>
  </si>
  <si>
    <t>Air freshener OFFICE CLEAN Waterfall freshness , 300 ml</t>
  </si>
  <si>
    <t>00-00000038</t>
  </si>
  <si>
    <t>Освежитель воздуха OFFICE CLEAN Цитрусовый, 300 мл</t>
  </si>
  <si>
    <t>Air freshener OFFICE CLEAN Citrus, 300 ml</t>
  </si>
  <si>
    <t>00-00000039</t>
  </si>
  <si>
    <t>Освежитель воздуха OFFICE CLEAN Зеленое яблоко 300 мл</t>
  </si>
  <si>
    <t>Air freshener OFFICE CLEAN Green apple 300 ml</t>
  </si>
  <si>
    <t>00-00000048</t>
  </si>
  <si>
    <t>Освежитель воздуха OFFICE CLEAN Нейтрализатор запахов, 300 мл</t>
  </si>
  <si>
    <t>Air freshener OFFICE CLEAN Odor neutralizer, 300 ml</t>
  </si>
  <si>
    <t>00-00000049</t>
  </si>
  <si>
    <t>Освежитель воздуха OFFICE CLEAN Свежесть утра, 300 мл</t>
  </si>
  <si>
    <t>Air freshener OFFICE CLEAN Morning freshness, 300 ml</t>
  </si>
  <si>
    <t>00-00000044</t>
  </si>
  <si>
    <t>Освежитель воздуха OFFICE CLEAN Весенняя сакура и сладкий миндаль, 250 мл</t>
  </si>
  <si>
    <t>Air freshener OFFICE CLEAN Spring sakura and Sweet almond, 250 ml</t>
  </si>
  <si>
    <t>00-00000045</t>
  </si>
  <si>
    <t>Освежитель воздуха OFFICE CLEAN Лазурный бриз, 250 мл</t>
  </si>
  <si>
    <t>Air freshener OFFICE CLEAN Azure breeze, 250 ml</t>
  </si>
  <si>
    <t>00-00000046</t>
  </si>
  <si>
    <t>Освежитель воздуха OFFICE CLEAN Солнечный цитрус, 250 мл</t>
  </si>
  <si>
    <t>Air freshener OFFICE CLEAN Sunny Citrus, 250 ml</t>
  </si>
  <si>
    <t>00-00000050</t>
  </si>
  <si>
    <t>Освежитель воздуха OFFICE CLEAN Нежность цветка лотоса, 250 мл</t>
  </si>
  <si>
    <t>Air freshener OFFICE CLEAN Lotus tenderness, 250 ml</t>
  </si>
  <si>
    <t>00-00000051</t>
  </si>
  <si>
    <t>Освежитель воздуха OFFICE CLEAN Свежесть океана, 250 мл</t>
  </si>
  <si>
    <t>Air freshener OFFICE CLEAN Ocean freshness, 250 ml</t>
  </si>
  <si>
    <t>Освежитель воздуха НУЖНЫЕ ВЕЩИ Лайм и корица, 300 мл, N</t>
  </si>
  <si>
    <t>Air freshener NUZHNIE VISHI Lime and cinnanmon, 300 ml, N</t>
  </si>
  <si>
    <t>ER-00012196</t>
  </si>
  <si>
    <t>Освежитель воздуха САМОКАТ цветы апельсина, персика и амбры, 250 мл, С</t>
  </si>
  <si>
    <t xml:space="preserve">Air freshener SAMOKAT orange, peach and amber flowers, 250 ml, S </t>
  </si>
  <si>
    <t>SAMOKAT</t>
  </si>
  <si>
    <t>ER-00012194</t>
  </si>
  <si>
    <t>Освежитель воздуха САМОКАТ лайм, бергамот и зелёный чай, антитабак, 300 мл</t>
  </si>
  <si>
    <t>Air freshener SAMOKAT lime, bergamot and green tea, anti-tobacco, 300 ml</t>
  </si>
  <si>
    <t>ER-00012195</t>
  </si>
  <si>
    <t>Освежитель воздуха САМОКАТ мандарин, ананас и личи, 300 мл</t>
  </si>
  <si>
    <t>Air freshener SAMOKAT tangerine, pineapple and lychee, 300 ml</t>
  </si>
  <si>
    <t>Мусс для волос OLIVIA Пышная грива 4 степень фиксации, 150 мл, trends</t>
  </si>
  <si>
    <t>Hair mousse OLIVIA Lush mane Lush mane trends line, 150 ml</t>
  </si>
  <si>
    <t>Мусс для волос OLIVIA Мега стойкость и Термо защита cверхсильная фиксация 6, 150 мл, fitocare</t>
  </si>
  <si>
    <t>Hair mousse OLIVIA Mega durability and thermal protection, super strong hold 6, 150 ml, fitocare line</t>
  </si>
  <si>
    <t>Мусс для волос OLIVIA Супер объем от корней мегафиксация 5, 150 мл, fitocare</t>
  </si>
  <si>
    <t>Hair mousse OLIVIA Super volume from roots mega fixation 5, 150 ml, fitocare line</t>
  </si>
  <si>
    <t>ER-00012292</t>
  </si>
  <si>
    <t>Дезодорант OLIVIA Свежесть джунглей женский, 150 мл</t>
  </si>
  <si>
    <t>Deodorant OLIVIA Jungle Fresh for women, 150 ml</t>
  </si>
  <si>
    <t>ER-00012293</t>
  </si>
  <si>
    <t>Дезодорант OLIVIA Сочность фруктов женский, 150 мл</t>
  </si>
  <si>
    <t>Deodorant OLIVIA Juiciness of fruits for women, 150 ml</t>
  </si>
  <si>
    <t>ER-00012294</t>
  </si>
  <si>
    <t>Дезодорант OLIVIA Сияние рассвета женский, 150 мл</t>
  </si>
  <si>
    <t>Deodorant OLIVIA Light of dawn for women, 150 ml</t>
  </si>
  <si>
    <t>ER-00012295</t>
  </si>
  <si>
    <t>Дезодорант OLIVIA Энергия острова женский, 150 мл</t>
  </si>
  <si>
    <t>Deodorant OLIVIA Island Energy for women, 150 ml</t>
  </si>
  <si>
    <t>Дезодорант-спрей МОЯ ЦЕНА женский, 150 мл</t>
  </si>
  <si>
    <t>Body deodorant My price for women, 150 ml</t>
  </si>
  <si>
    <t>Дезодорант-спрей МОЯ ЦЕНА мужской, 150 мл</t>
  </si>
  <si>
    <t>Body deodorant My price for men, 150 ml</t>
  </si>
  <si>
    <t>ER-00012563</t>
  </si>
  <si>
    <t>Дезодорант-спрей МОЯ ЦЕНА мужской, 150 мл, С</t>
  </si>
  <si>
    <t>ER-00012341</t>
  </si>
  <si>
    <t>Лак для волос OLIVIA Мощная хватка мегафиксация 6, 250 мл, trends</t>
  </si>
  <si>
    <t>Hairspray OLIVIA Powerful grip mega hold 6, 250 ml, trends</t>
  </si>
  <si>
    <t>ER-00012342</t>
  </si>
  <si>
    <t>Лак для волос OLIVIA Пышная грива 4 степень фиксации, 250 мл, trends</t>
  </si>
  <si>
    <t>Hairspray OLIVIA Lush mane 4 degree hold, 250 ml, trends</t>
  </si>
  <si>
    <t>ER-00012343</t>
  </si>
  <si>
    <t>Лак для волос OLIVIA Крутой локон 5 степень фиксации, 250 мл, trends</t>
  </si>
  <si>
    <t>Hairspray OLIVIA Cool curl 5 degree hold, 250 ml, trends</t>
  </si>
  <si>
    <t>Лак для волос OLIVIA Восстановление и Объем сильная фиксация 4, 250 мл, fitocare</t>
  </si>
  <si>
    <t>Hairspray OLIVIA Restoration and Volume strong hold 4, 250 ml, fitocare</t>
  </si>
  <si>
    <t>Лак для волос OLIVIA Супер объем от корней мегафиксация 5, 250 мл, fitocare</t>
  </si>
  <si>
    <t>Hairspray OLIVIA Super volume from roots mega fixation 5, 250 ml, fitocare</t>
  </si>
  <si>
    <t>Лак для волос OLIVIA Экстра блеск и Стойкость мегафиксация 5, 250 мл, fitocare</t>
  </si>
  <si>
    <t>Hairspray OLIVIA Extra shine and longevity megafix 5, 250 ml, fitocare</t>
  </si>
  <si>
    <t>Лак для волос OLIVIA Мега стойкость и Термо защита сверхсильная фиксация 6, 250 мл, fitocare</t>
  </si>
  <si>
    <t>Hairspray OLIVIA Mega durability and Thermo protection super strong hold 6, 250 ml, fitocare</t>
  </si>
  <si>
    <t>ER-00012328</t>
  </si>
  <si>
    <t>Сухой шампунь OLIVIA Свежесть и объем, аромат чистоты, 200 мл</t>
  </si>
  <si>
    <t>Dry shampoo OLIVIA Freshness and volume, aroma of purity, 200 ml</t>
  </si>
  <si>
    <t>ER-00012329</t>
  </si>
  <si>
    <t>Сухой шампунь OLIVIA Свежесть и объем, аромат черешни, 200 мл</t>
  </si>
  <si>
    <t>Dry shampoo OLIVIA Freshness and volume, cherry aroma, 200 ml</t>
  </si>
  <si>
    <t>ER-00012330</t>
  </si>
  <si>
    <t>Сухой шампунь OLIVIA Свежесть и объем, аромат свежести, 200 мл</t>
  </si>
  <si>
    <t>Dry shampoo OLIVIA Freshness and volume, fresh aroma, 200 ml</t>
  </si>
  <si>
    <t>ER-00012965</t>
  </si>
  <si>
    <t>Сухой шампунь PROFESSIONAL TOUCH Свежесть и объем, аромат свежести, 200 мл</t>
  </si>
  <si>
    <t>ER-00012331</t>
  </si>
  <si>
    <t>Сухой шампунь OLIVIA Свежесть и объем, аромат экзотики, 200 мл</t>
  </si>
  <si>
    <t>Dry shampoo OLIVIA Freshness and volume, exotic aroma, 200 ml</t>
  </si>
  <si>
    <t>Дезодорант EDISON Golden Amber мужской, 150 мл</t>
  </si>
  <si>
    <t>Deodorant EDISON Golden Amber for men, 150 ml</t>
  </si>
  <si>
    <t>Дезодорант EDISON Orange Bergamot мужской, 150 мл</t>
  </si>
  <si>
    <t>Deodorant EDISON Orange Bergamot for men, 150 ml</t>
  </si>
  <si>
    <t>Дезодорант EDISON Green Vetiver мужской, 150 мл</t>
  </si>
  <si>
    <t>Deodorant EDISON Green Vetiver for men, 150 ml</t>
  </si>
  <si>
    <t>Дезодорант EDISON Blue Aqua мужской, 150 мл</t>
  </si>
  <si>
    <t>Deodorant EDISON Blue Aqua for men, 150 ml</t>
  </si>
  <si>
    <t>ER-00011976</t>
  </si>
  <si>
    <t>Освежитель воздуха FLOWER SHOP Цветущее манго и кокос, 250 мл</t>
  </si>
  <si>
    <t>Air freshener FLOWER SHOP Blooming mango and coconut, 250 ml</t>
  </si>
  <si>
    <t>Освежитель воздуха FLOWER SHOP Цветущее манго и кокос, 250 мл, С</t>
  </si>
  <si>
    <t>Освежитель воздуха FLOWER SHOP Морские минералы, 250 мл, С</t>
  </si>
  <si>
    <t>Air freshener FLOWER SHOP Sea minerals, 250 ml</t>
  </si>
  <si>
    <t>ER-00011977</t>
  </si>
  <si>
    <t>Освежитель воздуха FLOWER SHOP Морские минералы, 250 мл</t>
  </si>
  <si>
    <t>ER-00011978</t>
  </si>
  <si>
    <t>Освежитель воздуха FLOWER SHOP Апельсин и грейпфрут, 250 мл</t>
  </si>
  <si>
    <t>Air freshener FLOWER SHOP Orange and grapefruit, 250 ml</t>
  </si>
  <si>
    <t>Освежитель воздуха FLOWER SHOP Апельсин и грейпфрут, 250 мл, С</t>
  </si>
  <si>
    <t>Освежитель воздуха FLOWER SHOP Цветок тиаре и гибискус, 250 мл, С</t>
  </si>
  <si>
    <t>Air freshener FLOWER SHOP Tiare flower and hibiscus, 250 ml</t>
  </si>
  <si>
    <t>ER-00011979</t>
  </si>
  <si>
    <t>Освежитель воздуха FLOWER SHOP Цветок тиаре и гибискус, 250 мл</t>
  </si>
  <si>
    <t>ER-00011971</t>
  </si>
  <si>
    <t>Освежитель воздуха FLOWER SHOP Кофе и ваниль, 300 мл</t>
  </si>
  <si>
    <t>Air freshener FLOWER SHOP Coffee and vanilla, 300 ml</t>
  </si>
  <si>
    <t>Освежитель воздуха FLOWER SHOP Цветущее манго и кокос, 300 мл</t>
  </si>
  <si>
    <t>Air freshener FLOWER SHOP Blooming mango and coconut, 300 ml</t>
  </si>
  <si>
    <t>Освежитель воздуха FLOWER SHOP Золотой лотос и роза, 300 мл</t>
  </si>
  <si>
    <t>Air freshener FLOWER SHOP Golden lotus and rose, 300 ml</t>
  </si>
  <si>
    <t>Освежитель воздуха FLOWER SHOP Нежная фрезия и персик, 300 мл</t>
  </si>
  <si>
    <t>Air freshener FLOWER SHOP Delicate freesia and peach, 300 ml</t>
  </si>
  <si>
    <t>Освежитель воздуха FLOWER SHOP Цветок тиаре и гибискус, 300 мл</t>
  </si>
  <si>
    <t>Air freshener FLOWER SHOP Tiare flower and hibiscus, 300 ml</t>
  </si>
  <si>
    <t>Освежитель воздуха AIR PURE ALPEN Нежность хлопка, 300 мл</t>
  </si>
  <si>
    <t>Air freshener AIR PURE BY ALPEN Cotton softness, 300 ml</t>
  </si>
  <si>
    <t>Освежитель воздуха AIR PURE ALPEN Ландыш и жасмин, 300 мл</t>
  </si>
  <si>
    <t>Air freshener AIR PURE BY ALPEN Lily of the valley and jasmine, 300 ml</t>
  </si>
  <si>
    <t>Освежитель воздуха AIR PURE ALPEN Альпийское утро, 300 мл</t>
  </si>
  <si>
    <t>Air freshener AIR PURE BY ALPEN Alpine morning, 300 ml</t>
  </si>
  <si>
    <t>Освежитель воздуха AIR PURE ALPEN Манго и гранат, 300 мл</t>
  </si>
  <si>
    <t>Air freshener AIR PURE BY ALPEN Mango and pomegranate, 300 ml</t>
  </si>
  <si>
    <t>Освежитель воздуха AIR PURE ALPEN Голубая лагуна, 300 мл</t>
  </si>
  <si>
    <t>Air freshener AIR PURE BY ALPEN Blue Lagoon, 300 ml</t>
  </si>
  <si>
    <t>Освежитель воздуха AIR PURE ALPEN FRESH Свежесть водопада, 250 мл</t>
  </si>
  <si>
    <t>Air freshener AIR PURE ALPEN FRESH Freshness of a waterfall, 250 ml</t>
  </si>
  <si>
    <t>Освежитель воздуха AIR PURE ALPEN FRESH Тропические цветы, 250 мл</t>
  </si>
  <si>
    <t>Air freshener AIR PURE ALPEN FRESH Tropical flowers, 250 ml</t>
  </si>
  <si>
    <t>Освежитель воздуха AIR PURE ALPEN FRESH Райские фрукты, 250 мл</t>
  </si>
  <si>
    <t>Air freshener AIR PURE ALPEN FRESH Paradise fruits, 250 ml</t>
  </si>
  <si>
    <t>ER-00012565</t>
  </si>
  <si>
    <t>Антистатик АШАН Красная птица, 200 мл</t>
  </si>
  <si>
    <t>Antistatic AUCHAN Red Bird, 200 ml</t>
  </si>
  <si>
    <t>ER-00012646</t>
  </si>
  <si>
    <t>Антистатик АШАН Красная птица, 200 мл, С</t>
  </si>
  <si>
    <t>ER-00011521</t>
  </si>
  <si>
    <t>Освежитель воздуха GREEN COLLECTION BY PROVENCE С Праздником, 250 мл, С</t>
  </si>
  <si>
    <t>Air freshener GREEN COLLECTION PROVENCE Happy Holidays, 250 ml</t>
  </si>
  <si>
    <t>ER-00011517</t>
  </si>
  <si>
    <t xml:space="preserve">Освежитель воздуха GREEN COLLECTION BY PROVENCE Морозное утро, 250 мл, С </t>
  </si>
  <si>
    <t>Air freshener GREEN COLLECTION PROVENCE Frosty morning, 250 ml</t>
  </si>
  <si>
    <t>Освежитель воздуха AIR WICK Freshmatic Нежный шелк и лилия, 250 мл</t>
  </si>
  <si>
    <t>Air freshener AIR WICK Freshmatic Delicate silk and lily, 250 ml</t>
  </si>
  <si>
    <t>Air fresheners refill RB</t>
  </si>
  <si>
    <t>ER-00012475</t>
  </si>
  <si>
    <t>Освежитель воздуха AIR WICK Freshmatic Life Scents Океанский бриз, 250 мл</t>
  </si>
  <si>
    <t>Air freshener AIR WICK Freshmatic Life Scents series Ocean breeze, 250 ml</t>
  </si>
  <si>
    <t>Освежитель воздуха AIR WICK Freshmatic Life Scents Райский десерт, 250 мл</t>
  </si>
  <si>
    <t>Air freshener AIR WICK Freshmatic Life Scents series Paradise dessert, 250 ml</t>
  </si>
  <si>
    <t>ER-00012476</t>
  </si>
  <si>
    <t>Освежитель воздуха AIR WICK Freshmatic Pure Цветущая сакура, 250 мл</t>
  </si>
  <si>
    <t>Air freshener AIR WICK Freshmatic Pure series Cherry blossom, 250 ml</t>
  </si>
  <si>
    <t>Освежитель воздуха AIR WICK Freshmatic Тропические фантазии Спелый манго, 250 мл</t>
  </si>
  <si>
    <t>Air freshener AIR WICK Freshmatic Tropical fantasies Ripe mango, 250 ml</t>
  </si>
  <si>
    <t xml:space="preserve">Освежитель воздуха AIR PURE ALPEN FRESH Ароматный вернисаж, 250 мл </t>
  </si>
  <si>
    <t>Air freshener AIR PURE ALPEN FRESH Aromatic vernissage, 250 ml</t>
  </si>
  <si>
    <t xml:space="preserve">Освежитель воздуха AIR PURE ALPEN FRESH Морской бриз,  250 мл </t>
  </si>
  <si>
    <t>Air freshener AIR PURE ALPEN FRESH Sea breeze, 250 ml</t>
  </si>
  <si>
    <t>ER-00012678</t>
  </si>
  <si>
    <t>Лак для волос YES´S сверхсильной фиксации, 200 мл</t>
  </si>
  <si>
    <t>Hairspray YES´S superstrong hold, 200 ml</t>
  </si>
  <si>
    <t>YES´S</t>
  </si>
  <si>
    <t>ER-00012671</t>
  </si>
  <si>
    <t>Лак для волос NATURA SIBERICA Ice сильная фиксация, 300 мл</t>
  </si>
  <si>
    <t>Hairspray ICE by Natura Siberica strong hold, 300 ml</t>
  </si>
  <si>
    <t>NATURA SIBERICA</t>
  </si>
  <si>
    <t>ER-00012672</t>
  </si>
  <si>
    <t>Лак для волос NATURA SIBERICA Ice экстрасильная фиксация, 300 мл</t>
  </si>
  <si>
    <t>Hairspray ICE by Natura Siberica extra strong hold, 300 ml</t>
  </si>
  <si>
    <t>ER-00012673</t>
  </si>
  <si>
    <t>Мусс для волос NATURA SIBERICA ICE, 200 мл</t>
  </si>
  <si>
    <t>Hair mousse ICE by Natura Siberica, 200 ml</t>
  </si>
  <si>
    <t>Dry shampoo ICE by Natura Siberica, 200 ml</t>
  </si>
  <si>
    <t>ER-00012739</t>
  </si>
  <si>
    <t>Освежитель воздуха NG NEW GALAXY Манго и ваниль, 250 мл</t>
  </si>
  <si>
    <t>Air freshener NG NEW GALAXY Mango and vanilla, 250 ml</t>
  </si>
  <si>
    <t xml:space="preserve">NEW GALAXY </t>
  </si>
  <si>
    <t>ER-00012737</t>
  </si>
  <si>
    <t>Освежитель воздуха NG NEW GALAXY Сирень, 300 мл</t>
  </si>
  <si>
    <t>Air freshener NG NEW GALAXY Lilac, 300 ml</t>
  </si>
  <si>
    <t>ER-00012743</t>
  </si>
  <si>
    <t>Освежитель воздуха NG NEW GALAXY Пряный апельсин и клюква, 250 мл</t>
  </si>
  <si>
    <t>Air freshener NG NEW GALAXY Spicy orange and cranberry, 250 ml</t>
  </si>
  <si>
    <t>Освежитель воздуха VERTI Черный перец и апельсиновый цвет, 250 мл</t>
  </si>
  <si>
    <t>Air freshener VERTI Black pepper and orange blossom, 250 ml</t>
  </si>
  <si>
    <t>Освежитель воздуха VERTI Магнолия и иланг-иланг, 250 мл</t>
  </si>
  <si>
    <t>Air freshener VERTI Magnolia, 250 ml</t>
  </si>
  <si>
    <t>Освежитель воздуха VERTI Ветивер и бамбук, 250 мл</t>
  </si>
  <si>
    <t>Air freshener VERTI Vetiver and bamboo, 250 ml</t>
  </si>
  <si>
    <t>Освежитель воздуха VERTI Морская соль и белое дерево, 250 мл</t>
  </si>
  <si>
    <t>Air freshener VERTI Sea salt and white tree, 250 ml</t>
  </si>
  <si>
    <t>ER-00012771</t>
  </si>
  <si>
    <t>Дезодорант USE IT Черное/белое женский, 150 мл</t>
  </si>
  <si>
    <t>Deodorant USE IT Black/white for women, 150 ml</t>
  </si>
  <si>
    <t>ER-00012772</t>
  </si>
  <si>
    <t>Дезодорант USE IT Цветочный женский, 150 мл</t>
  </si>
  <si>
    <t>Deodorant USE IT Floral for women, 150 ml</t>
  </si>
  <si>
    <t>ER-00012773</t>
  </si>
  <si>
    <t>Дезодорант USE IT Свежий женский, 150 мл</t>
  </si>
  <si>
    <t>Deodorant USE IT Fresh for women, 150 ml</t>
  </si>
  <si>
    <t>ER-00012777</t>
  </si>
  <si>
    <t>Дезодорант Е-MALE Red power мужской, 150 мл</t>
  </si>
  <si>
    <t>Deodorant E. MALE RED POWER for men, 150 ml</t>
  </si>
  <si>
    <t xml:space="preserve">Е. MALE </t>
  </si>
  <si>
    <t>ER-00012778</t>
  </si>
  <si>
    <t>Дезодорант Е-MALE White soul мужской, 150 мл</t>
  </si>
  <si>
    <t>Deodorant E. MALE WHITE SOUL for men, 150 ml</t>
  </si>
  <si>
    <t>ER-00012779</t>
  </si>
  <si>
    <t>Дезодорант Е-MALE Black energy мужской, 150 мл</t>
  </si>
  <si>
    <t>Deodorant E. MALE BLACK ENERGY for men, 150 ml</t>
  </si>
  <si>
    <t>Освежитель воздуха AIR PURE NATURE Тропический взрыв, 250 мл</t>
  </si>
  <si>
    <t>Air freshener AIR PURE NATURE Tropical explosion, 250 ml</t>
  </si>
  <si>
    <t>ER-00012825</t>
  </si>
  <si>
    <t>Дезодорант YES´S женский, 150 мл, C</t>
  </si>
  <si>
    <t>Deodorant spray YES'S for women, 150 ml, C</t>
  </si>
  <si>
    <t>ER-00012897</t>
  </si>
  <si>
    <t>Освежитель воздуха GREEN COLLECTION BY PROVENCE Гранатовый лимонад, 300 мл, С</t>
  </si>
  <si>
    <t>Air freshener GREEN COLLECTION BY PROVENCE Pomegranate Lemonade, 300 ml, Sl</t>
  </si>
  <si>
    <t>ER-00013367</t>
  </si>
  <si>
    <t>Освежитель воздуха GREEN COLLECTION BY PROVENCE Гранатовый лимонад, 300 мл, С,GG</t>
  </si>
  <si>
    <t>ER-00012898</t>
  </si>
  <si>
    <t>Освежитель воздуха GREEN COLLECTION BY PROVENCE Лазурные Альпы, 300 мл, С</t>
  </si>
  <si>
    <t>Air freshener GREEN COLLECTION BY PROVENCE Azure Alps, 300 ml, Sl</t>
  </si>
  <si>
    <t>ER-00012284</t>
  </si>
  <si>
    <t>Освежитель воздуха GREEN COLLECTION BY PROVENCE Морская ривьера, 300 мл, С</t>
  </si>
  <si>
    <t>Air freshener GREEN COLLECTION BY PROVENCE Maritime Riviera, 300 ml. Sl</t>
  </si>
  <si>
    <t>ER-00012899</t>
  </si>
  <si>
    <t>Освежитель воздуха GREEN COLLECTION BY PROVENCE Нежный пион, 300 мл, С</t>
  </si>
  <si>
    <t>Air freshener GREEN COLLECTION BY PROVENCE Delicate peony, 300 ml, Sl</t>
  </si>
  <si>
    <t>ER-00012900</t>
  </si>
  <si>
    <t>Освежитель воздуха GREEN COLLECTION BY PROVENCE Цветущий прованс, 300 мл, С</t>
  </si>
  <si>
    <t>Air freshener GREEN COLLECTION BY PROVENCE Blooming Provence, 300 ml, Sl</t>
  </si>
  <si>
    <t>ER-00012920</t>
  </si>
  <si>
    <t>Силиконовая смазка BIG D, 100 мл</t>
  </si>
  <si>
    <t>Silicone grease of the Big D series for car, motorcycle and bicycle maintenance</t>
  </si>
  <si>
    <t>00-00009258</t>
  </si>
  <si>
    <t>Освежитель воздуха AIR PURE Золотой оазис, 230 мл, N</t>
  </si>
  <si>
    <t>Air freshener AIR PURE Gold oasis, 230 ml, N</t>
  </si>
  <si>
    <t>00-00010646</t>
  </si>
  <si>
    <t>Освежитель воздуха VERTI После дождя, 350 мл</t>
  </si>
  <si>
    <t>Air freshener VERTI After the rain, 350 ml, Sl</t>
  </si>
  <si>
    <t>ER-00012026</t>
  </si>
  <si>
    <t>Освежитель воздуха VERTI После дождя, 350 мл, С</t>
  </si>
  <si>
    <t>00-00010851</t>
  </si>
  <si>
    <t>Освежитель воздуха AIR PURE Энергия Тибета, 230 мл</t>
  </si>
  <si>
    <t>Air freshener AIR PURE Enegry of Tibet, 230 ml</t>
  </si>
  <si>
    <t>Освежитель воздуха AROMA VOYAGE Hello Aroma Verti, Тропический смузи, 250 мл</t>
  </si>
  <si>
    <t>Air freshener AROMA VOYAGE Hello Aroma Verti , Tropical smoothie, 250 ml</t>
  </si>
  <si>
    <t>Освежитель воздуха AROMA VOYAGE Hello Aroma Verti, Карельские ягоды, 250 мл</t>
  </si>
  <si>
    <t>Air freshener AROMA VOYAGE Hello Aroma Verti , Karelian berries, 250 ml</t>
  </si>
  <si>
    <t>Освежитель воздуха AROMA VOYAGE Hello Aroma Verti, Алтайская свежесть, 250 мл</t>
  </si>
  <si>
    <t>Air freshener AROMA VOYAGE Hello Aroma Verti , Altai freshness, 250 ml</t>
  </si>
  <si>
    <t>Освежитель воздуха AROMA VOYAGE Hello Aroma Verti, Китайская орхидея, 250 мл</t>
  </si>
  <si>
    <t>Air freshener AROMA VOYAGE Hello Aroma Verti , Chinese orchid, 250 ml</t>
  </si>
  <si>
    <t>ER-00011963</t>
  </si>
  <si>
    <t>Освежитель воздуха AIR PURE После дождя, 230 мл, N</t>
  </si>
  <si>
    <t>Air freshener AIR PURE After the rain, 230 ml, N</t>
  </si>
  <si>
    <t>Освежитель воздуха AIR PURE Цветочная вуаль, 230 мл, N</t>
  </si>
  <si>
    <t>Air freshener AIR PURE Floral veil, 230 ml, N</t>
  </si>
  <si>
    <t>ER-00011965</t>
  </si>
  <si>
    <t>Освежитель воздуха AIR PURE Энергия Тибета, 230 мл, N</t>
  </si>
  <si>
    <t>Air freshener AIR PURE Enegry of Tibet, 230 ml, N</t>
  </si>
  <si>
    <t>Освежитель воздуха AIR PURE Малиновая панакота, 230 мл</t>
  </si>
  <si>
    <t>Air freshener AIR PURE Raspberry Panakota, 230 ml</t>
  </si>
  <si>
    <t>Освежитель воздуха AIR PURE Антитабак. Мохито, 230 мл</t>
  </si>
  <si>
    <t>Air freshener AIR PURE Odor blocker Mohito, 230 ml</t>
  </si>
  <si>
    <t>Освежитель воздуха AIR PURE Цветущие горы, 230 мл</t>
  </si>
  <si>
    <t>Air freshener AIR PURE Blooming mountains, 230 ml</t>
  </si>
  <si>
    <t>Освежитель воздуха AIR PURE Сиреневый день, 230 мл</t>
  </si>
  <si>
    <t>Air freshener AIR PURE Lilac Day, 230 ml</t>
  </si>
  <si>
    <t>ER-00012169</t>
  </si>
  <si>
    <t>Освежитель воздуха VERTI Лайм, 350 мл, С</t>
  </si>
  <si>
    <t>Air freshener VERTI Lime, 350 ml, Sl</t>
  </si>
  <si>
    <t>ER-00012180</t>
  </si>
  <si>
    <t>Освежитель воздуха VERTI Морские минералы. Блокатор запаха, 350 мл, С</t>
  </si>
  <si>
    <t>Air freshener VERTI Morse minerals Odor blocker, 350 ml, Sl</t>
  </si>
  <si>
    <t>ER-00012181</t>
  </si>
  <si>
    <t>Освежитель воздуха VERTI Антитабак, 350 мл, С</t>
  </si>
  <si>
    <t>Air freshener VERTI Antitabacco, 350 ml, Sl</t>
  </si>
  <si>
    <t>ER-00012456</t>
  </si>
  <si>
    <t>Освежитель воздуха AIR PURE Ягодный поцелуй, 230 мл</t>
  </si>
  <si>
    <t>Air freshener AIR PURE Berry kiss, 230 ml</t>
  </si>
  <si>
    <t>ER-00012466</t>
  </si>
  <si>
    <t>Освежитель воздуха AIR PURE Морозная ваниль, 230 мл</t>
  </si>
  <si>
    <t>Air freshener AIR PURE Frosty vanilla, 230 ml</t>
  </si>
  <si>
    <t>ER-00012467</t>
  </si>
  <si>
    <t>Освежитель воздуха AIR PURE Лесная сказка, 230 мл</t>
  </si>
  <si>
    <t>Air freshener AIR PURE Forest fairy tale, 230 ml</t>
  </si>
  <si>
    <t>00-00001117</t>
  </si>
  <si>
    <t>Пена для бритья SPORT STAR Regular мужская, 200 мл</t>
  </si>
  <si>
    <t>Shaving foam SPORT STAR Regular for all types of skin, 200 ml</t>
  </si>
  <si>
    <t>00-00009237</t>
  </si>
  <si>
    <t>Пенка для волос OLIVIA с экстрактом родиолы сильной фиксации, 150 мл, С</t>
  </si>
  <si>
    <t>Hair foam OLIVIA rhodiola extract strong hold, 150 ml, Sl</t>
  </si>
  <si>
    <t>00-00001416</t>
  </si>
  <si>
    <t>Пенка для волос OLIVIA с экстрактом родиолы сильной фиксации, 150 мл</t>
  </si>
  <si>
    <t>Освежитель воздуха AIR PURE NATURE Созвездие ароматов, 250 мл</t>
  </si>
  <si>
    <t>Air freshener AIR PURE NATURE Constellation of aromas, 250 ml</t>
  </si>
  <si>
    <t>00-00007763</t>
  </si>
  <si>
    <t>Освежитель воздуха FLOWER SHOP Виноград Розмарин, 300 мл</t>
  </si>
  <si>
    <t>Air freshener FLOWER SHOP Grapes Rosemary, 300 ml</t>
  </si>
  <si>
    <t>00-00008630</t>
  </si>
  <si>
    <t>Освежитель воздуха AIR PURE ALPEN FRESH Морской бриз, 250 мл, С</t>
  </si>
  <si>
    <t>Air freshener AIR PURE ALPEN FRESH Sea breeze, 250 ml, Sl</t>
  </si>
  <si>
    <t>00-00009051</t>
  </si>
  <si>
    <t>Мусс-пена KIDMETICS для детских забав, купания в ванной и мытья руr голубая, 200 мл, С</t>
  </si>
  <si>
    <t>Foam mousse KIDMETICS for children's fun, bathing and washing hands, blue, 200 ml, Sl</t>
  </si>
  <si>
    <t>00-00009441</t>
  </si>
  <si>
    <t>Мусс-пена KIDMETICS для детских забав, купания в ванной и мытья рук желтая, 200 мл, С</t>
  </si>
  <si>
    <t>Foam mousse KIDMETICS for children's fun, bathing and washing hands, yellow, 200 ml, Sl</t>
  </si>
  <si>
    <t>00-00009446</t>
  </si>
  <si>
    <t>Мусс-пена KIDMETICS для детских забав, купания в ванной и мытья рук розовая, 200 мл, С</t>
  </si>
  <si>
    <t>Foam mousse KIDMETICS for children's fun, bathing and washing hands, pink, 200 ml, Sl</t>
  </si>
  <si>
    <t>00-00010099</t>
  </si>
  <si>
    <t>Освежитель воздуха AIR PURE ALPEN FRESH Ароматный вернисаж,250мл, С</t>
  </si>
  <si>
    <t>Air freshener AIR PURE ALPEN FRESH Aroma vernissage, 250 ml, Sl</t>
  </si>
  <si>
    <t>00-00010278</t>
  </si>
  <si>
    <t>Освежитель воздуха FLOWER SHOP Апельсин и грейпфрут, 300 мл, С</t>
  </si>
  <si>
    <t>Air freshener FLOWER SHOP Orange and grapefruit, 300 ml, Sl</t>
  </si>
  <si>
    <t>00-00010279</t>
  </si>
  <si>
    <t>Освежитель воздуха FLOWER SHOP Лайм и мята, 300 мл, С</t>
  </si>
  <si>
    <t>Air freshener FLOWER SHOP Lime and mint, 300 ml, Sl</t>
  </si>
  <si>
    <t>00-00010280</t>
  </si>
  <si>
    <t>Освежитель воздуха FLOWER SHOP Морские минералы, 300 мл, С</t>
  </si>
  <si>
    <t>Air freshener FLOWER SHOP Morse minerals, 300 ml, Sl</t>
  </si>
  <si>
    <t>00-00010281</t>
  </si>
  <si>
    <t>Освежитель воздуха FLOWER SHOP Нейтрализатор запахов, 300 мл, С</t>
  </si>
  <si>
    <t>Air freshener FLOWER SHOP Odor neutralizer, 300 ml, Sl</t>
  </si>
  <si>
    <t>00-00010282</t>
  </si>
  <si>
    <t>Освежитель воздуха FLOWER SHOP Яблоко и жасмин, 300 мл, С</t>
  </si>
  <si>
    <t>Air freshener FLOWER SHOP Apple and jasmin, 300 ml, Sl</t>
  </si>
  <si>
    <t>00-00010283</t>
  </si>
  <si>
    <t>Освежитель воздуха FLOWER SHOP Клубника и Орхидея, 300 мл, С</t>
  </si>
  <si>
    <t>Air freshener FLOWER SHOP Strawberries and Orchids, 300 ml, Sl</t>
  </si>
  <si>
    <t>00-00010285</t>
  </si>
  <si>
    <t>Освежитель воздуха FLOWER SHOP Ландыш, 300 мл, С</t>
  </si>
  <si>
    <t>Air freshener FLOWER SHOP Lily, 300 ml, Sl</t>
  </si>
  <si>
    <t>00-00010286</t>
  </si>
  <si>
    <t>Освежитель воздуха FLOWER SHOP После дождя, 300 мл, C</t>
  </si>
  <si>
    <t>Air freshener FLOWER SHOP After the rain, 300 ml, Sl</t>
  </si>
  <si>
    <t>00-00010287</t>
  </si>
  <si>
    <t>Освежитель воздуха FLOWER SHOP Антитабак, 300 мл, С</t>
  </si>
  <si>
    <t>Air freshener FLOWER SHOP Antitobacco, 300 ml, Sl</t>
  </si>
  <si>
    <t>00-00010408</t>
  </si>
  <si>
    <t>Освежитель воздуха AIR PURE NATURE Созвездие ароматов, 250 мл, С</t>
  </si>
  <si>
    <t>Air freshener AIR PURE NATURE Constellation of aromas, 250 ml, Sl</t>
  </si>
  <si>
    <t>00-00010491</t>
  </si>
  <si>
    <t>Освежитель воздуха AIR PURE ALPEN FRESH Цветочный джем, 250мл, С</t>
  </si>
  <si>
    <t>Air freshener AIR PURE NATURE Flower jam, 250 ml, Sl</t>
  </si>
  <si>
    <t>00-00010617</t>
  </si>
  <si>
    <t>Освежитель воздуха GREEN COLLECTION BY PROVENCE Имбирь и ваниль, 300 мл, С</t>
  </si>
  <si>
    <t>Air freshener GREEN COLLECTION BY PROVENCE Ginger and vanila, 250 ml, Sl</t>
  </si>
  <si>
    <t>00-00010891</t>
  </si>
  <si>
    <t>Мусс для волос PROFESSIONAL TOUCH Pro-vitamin B5 Silk Protein экстрасильной фиксации, 150 мл, С</t>
  </si>
  <si>
    <t>Hair mousse PROFESSIONAL TOUCH Pro-vitamin B5 Silk Protein extra strong hold, 150 ml, Sl</t>
  </si>
  <si>
    <t>ER-00011528</t>
  </si>
  <si>
    <t>Полироль BIG D Ваниль, 750 мл, С</t>
  </si>
  <si>
    <t>Polish BIG D Vanila, 750 ml, Sl</t>
  </si>
  <si>
    <t>ER-00011537</t>
  </si>
  <si>
    <t>Полироль BIG D Вишня, 750 мл, С</t>
  </si>
  <si>
    <t>Polish BIG D Cherry , 750 ml, Sl</t>
  </si>
  <si>
    <t>ER-00011538</t>
  </si>
  <si>
    <t>Полироль BIG D Лимон, 750 мл, С</t>
  </si>
  <si>
    <t>Polish BIG D Lemon, 750 ml, Sl</t>
  </si>
  <si>
    <t>ER-00011539</t>
  </si>
  <si>
    <t>Полироль BIG D Яблоко, 750 мл, С</t>
  </si>
  <si>
    <t>Polish BIG D Apple, 750 ml, Sl</t>
  </si>
  <si>
    <t>ER-00011639</t>
  </si>
  <si>
    <t>Освежитель воздуха GREEN COLLECTION BY PROVENCE Гранатовый лимонад, 250 мл, С</t>
  </si>
  <si>
    <t>Air freshener GREEN COLLECTION BY PROVENCE Pomegranate Lemonade, 250 ml, Sl</t>
  </si>
  <si>
    <t>ER-00011684</t>
  </si>
  <si>
    <t>Освежитель воздуха GREEN COLLECTION BY PROVENCE Лазурные Альпы, 250 мл, С</t>
  </si>
  <si>
    <t>Air freshener GREEN COLLECTION BY PROVENCE Azure Alps, 250 ml, Sl</t>
  </si>
  <si>
    <t>ER-00011691</t>
  </si>
  <si>
    <t>Освежитель воздуха GREEN COLLECTION BY PROVENCE Морская ривьера, 250 мл, С</t>
  </si>
  <si>
    <t>Air freshener GREEN COLLECTION BY PROVENCE Maritime Riviera, 250 ml, Sl</t>
  </si>
  <si>
    <t>ER-00011692</t>
  </si>
  <si>
    <t>Освежитель воздуха GREEN COLLECTION BY PROVENCE Цветущий прованс, 250 мл, С</t>
  </si>
  <si>
    <t>Air freshener GREEN COLLECTION BY PROVENCE Blooming Provence, 250 ml, Sl</t>
  </si>
  <si>
    <t>ER-00011693</t>
  </si>
  <si>
    <t>Освежитель воздуха GREEN COLLECTION BY PROVENCE Ягодное наслаждение, 250 мл, С</t>
  </si>
  <si>
    <t>Air freshener GREEN COLLECTION BY PROVENCE Berry Delight, 250 ml, Sl</t>
  </si>
  <si>
    <t>ER-00011837</t>
  </si>
  <si>
    <t>Пена для бритья SPORT STAR Sensitive мужская, 200 мл, С</t>
  </si>
  <si>
    <t>Shaving foam SPORT STAR Sensitive man, 200 ml, Sl</t>
  </si>
  <si>
    <t>ER-00011838</t>
  </si>
  <si>
    <t>Пена для бритья SPORT STAR Normal мужская, 200 мл, С</t>
  </si>
  <si>
    <t>Shaving foam SPORT STAR Normal man, 200 ml, Sl</t>
  </si>
  <si>
    <t>ER-00011842</t>
  </si>
  <si>
    <t>Чернитель шин BIG D, 500 мл, С</t>
  </si>
  <si>
    <t>Tire ink BIG D, 500 ml, Sl</t>
  </si>
  <si>
    <t>ER-00011878</t>
  </si>
  <si>
    <t>Размораживатель стекол и замков BIG D, 500 мл, С</t>
  </si>
  <si>
    <t>Defrost glass and locks BIG D, 500 ml, Sl</t>
  </si>
  <si>
    <t>Лак для волос PROFESSIONAL TOUCH Pro-vitamin B5&amp;Keratin Complex экстрасильная фиксация, 265 мл</t>
  </si>
  <si>
    <t>Hairspray PROFESSIONAL TOUCH Pro vitamin B5 B5&amp;Keratin Complex extrastrong hold, 265 ml</t>
  </si>
  <si>
    <t>ER-00011899</t>
  </si>
  <si>
    <t>Лак для волос PROFESSIONAL TOUCH Pro-vitamin B5&amp;Collagen сильная фиксация, 265 мл</t>
  </si>
  <si>
    <t>Hairspray PROFESSIONAL TOUCH Pro vitamin B5B5&amp;Collagen strong hold, 265 ml</t>
  </si>
  <si>
    <t>Мусс для волос PROFESSIONAL TOUCH Pro-Vitamin B5&amp;Collagen сильная фиксация,150 мл</t>
  </si>
  <si>
    <t>Hair mousse PROFESSIONAL TOUCH Pro vitamin B5B5&amp;Collagen strong hold, 150 ml</t>
  </si>
  <si>
    <t>ER-00012216</t>
  </si>
  <si>
    <t>Антистатик BIG D Коричневый, 150 мл, С</t>
  </si>
  <si>
    <t>Antistatic BIG D brown, 150 ml, Sl</t>
  </si>
  <si>
    <t>ER-00012575</t>
  </si>
  <si>
    <t>Освежитель воздуха AIR PURE NATURE Тропический взрыв, 250 мл, С</t>
  </si>
  <si>
    <t>Air freshener AIR PURE NATURE Tropical explosion, 250 ml, Sl</t>
  </si>
  <si>
    <t>ER-00012021</t>
  </si>
  <si>
    <t>Освежитель воздуха AIR WICK Испанские каникулы Грейпфрут и Цветущий лайм, LE, 290 мл</t>
  </si>
  <si>
    <t>Air freshener AIR WICK Baikal freshness Grapefruit and Blooming lime LE, 290 ml, N</t>
  </si>
  <si>
    <t>ER-00012175</t>
  </si>
  <si>
    <t>3212385 AWICK, RU, MIX CASE, Испанские каникулы, LE</t>
  </si>
  <si>
    <t>3212385 AWICK, RU, MIX CASE, Spanish vacation, LE</t>
  </si>
  <si>
    <t>ER-00012594</t>
  </si>
  <si>
    <t>3212385 AWICK, RU, MIX CASE, NB</t>
  </si>
  <si>
    <t>3212385 AWICK, RU, MIX CASE, N</t>
  </si>
  <si>
    <t>ER-00013717</t>
  </si>
  <si>
    <t>3212385 AWICK, RU, MIX CASE, NB, 1</t>
  </si>
  <si>
    <t>Освежитель воздуха LIBERHAUS Ягодный взрыв, 300 мл</t>
  </si>
  <si>
    <t>Air freshener LIBERHAUS Berry explosion, 300 ml</t>
  </si>
  <si>
    <t>00-00008657</t>
  </si>
  <si>
    <t>Освежитель воздуха НУЖНЫЕ ВЕЩИ Сочный лайм, 250 мл</t>
  </si>
  <si>
    <t>Air freshener NUZHNIE VESHI Juicy lime, 250 ml</t>
  </si>
  <si>
    <t>00-00008661</t>
  </si>
  <si>
    <t>Освежитель воздуха НУЖНЫЕ ВЕЩИ Цветущая сакура, 250 мл</t>
  </si>
  <si>
    <t>Air freshener NUZHNIE VESHI Blooming sakura, 250 ml</t>
  </si>
  <si>
    <t>00-00008662</t>
  </si>
  <si>
    <t>Освежитель воздуха НУЖНЫЕ ВЕЩИ Тропическая орхидея, 250 мл</t>
  </si>
  <si>
    <t>Air freshener NUZHNIE VESHI Tropical orchid, 250 ml</t>
  </si>
  <si>
    <t>00-00009330</t>
  </si>
  <si>
    <t>Дезодорант LA FRESH Sweet cherry женский, 150 мл</t>
  </si>
  <si>
    <t>Deodorant LA FRESH Sweet cherry woman, 150 ml</t>
  </si>
  <si>
    <t>00-00009332</t>
  </si>
  <si>
    <t>Дезодорант LA FRESH Extreme мужской, 150 мл</t>
  </si>
  <si>
    <t>Deodorant LA FRESH Extreme man, 150 ml</t>
  </si>
  <si>
    <t>ER-00012298</t>
  </si>
  <si>
    <t>Дезодорант LA FRESH Экстрим мужской, 150 мл</t>
  </si>
  <si>
    <t>Освежитель воздуха НУЖНЫЕ ВЕЩИ Нежная фрезия, 300 мл, N</t>
  </si>
  <si>
    <t>Air freshener NUZHNIE VESHI Gentle freesia, 300 ml, N</t>
  </si>
  <si>
    <t>Освежитель воздуха НУЖНЫЕ ВЕЩИ Ванильный уют, 300 мл, N</t>
  </si>
  <si>
    <t>Air freshener NUZHNIE VESHI Vanilla comfort, 300 ml, N</t>
  </si>
  <si>
    <t>00-00008646</t>
  </si>
  <si>
    <t>Освежитель воздуха НУЖНЫЕ ВЕЩИ Ванильный уют, 300 мл</t>
  </si>
  <si>
    <t>00-00008648</t>
  </si>
  <si>
    <t>Освежитель воздуха НУЖНЫЕ ВЕЩИ Киви-Виноград. Антитабак, 300 мл</t>
  </si>
  <si>
    <t>Air freshener NUZHNIE VESHI Kiwi grapes. antitobacco, 300 ml, N</t>
  </si>
  <si>
    <t>Освежитель воздуха НУЖНЫЕ ВЕЩИ Киви-Виноград. Антитабак, 300 мл, N</t>
  </si>
  <si>
    <t>Освежитель воздуха НУЖНЫЕ ВЕЩИ Королева цветов, 300 мл, N</t>
  </si>
  <si>
    <t>Air freshener NUZHNIE VESHI Queen of flowers, 300 ml, N</t>
  </si>
  <si>
    <t>Освежитель воздуха НУЖНЫЕ ВЕЩИ Летний дождь, 300 мл, N</t>
  </si>
  <si>
    <t>Air freshener NUZHNIE VESHI Summer rain, 300 ml, N</t>
  </si>
  <si>
    <t>Освежитель воздуха НУЖНЫЕ ВЕЩИ Тропическая орхидея, 250 мл, N</t>
  </si>
  <si>
    <t>Air freshener NUZHNIE VESHI Tropical orchid, 250 ml, N</t>
  </si>
  <si>
    <t>Освежитель воздуха НУЖНЫЕ ВЕЩИ Цветущая сакура, 250 мл, N</t>
  </si>
  <si>
    <t>Air freshener NUZHNIE VESHI Blooming sakura, 250 ml, N</t>
  </si>
  <si>
    <t>Освежитель воздуха НУЖНЫЕ ВЕЩИ Сочный лайм, 250 мл, N</t>
  </si>
  <si>
    <t>Air freshener NUZHNIE VESHI Juicy lime, 250 ml, N</t>
  </si>
  <si>
    <t>Пена для бритья LA FRESH для чувствительной кожи, 200 мл</t>
  </si>
  <si>
    <t>Shaving foam LA FRESH for sensitive skin, 200 ml</t>
  </si>
  <si>
    <t>ER-00012003</t>
  </si>
  <si>
    <t>Освежитель воздуха НУЖНЫЕ ВЕЩИ Киви-Виноград. Антитабак, 300 мл, С</t>
  </si>
  <si>
    <t>Air freshener NUZHNIE VESHI Kiwi grapes. antitobacco, 300 ml, Sl</t>
  </si>
  <si>
    <t>ER-00012004</t>
  </si>
  <si>
    <t>Освежитель воздуха НУЖНЫЕ ВЕЩИ Ванильный уют, 300 мл, С</t>
  </si>
  <si>
    <t>Air freshener NUZHNIE VESHI Vanilla comfort, 300 ml, Sl</t>
  </si>
  <si>
    <t>ER-00012005</t>
  </si>
  <si>
    <t>Освежитель воздуха НУЖНЫЕ ВЕЩИ Королева цветов, 300 мл, С</t>
  </si>
  <si>
    <t>Air freshener NUZHNIE VESHI Queen of Flowers, 300 ml, Sl</t>
  </si>
  <si>
    <t>ER-00012006</t>
  </si>
  <si>
    <t>Освежитель воздуха НУЖНЫЕ ВЕЩИ Летний дождь, 300 мл, С</t>
  </si>
  <si>
    <t>Air freshener NUZHNIE VESHI Summer rain, 300 ml, Sl</t>
  </si>
  <si>
    <t>ER-00012007</t>
  </si>
  <si>
    <t>Освежитель воздуха НУЖНЫЕ ВЕЩИ Лайм и корица, 300 мл, С</t>
  </si>
  <si>
    <t>Air freshener NUZHNIE VESHI Lime and cinnanmon, 300 ml, Sl</t>
  </si>
  <si>
    <t>ER-00012243</t>
  </si>
  <si>
    <t>Освежитель воздуха НУЖНЫЕ ВЕЩИ Тропическая орхидея, 250 мл, С</t>
  </si>
  <si>
    <t>Air freshener NUZHNIE VESHI Tropical orchid, 250 ml, Sl</t>
  </si>
  <si>
    <t>ER-00012244</t>
  </si>
  <si>
    <t>Освежитель воздуха НУЖНЫЕ ВЕЩИ Сочный лайм, 250 мл, С</t>
  </si>
  <si>
    <t>Air freshener NUZHNIE VESHI Juicy lime, 250 ml, Sl</t>
  </si>
  <si>
    <t>ER-00012245</t>
  </si>
  <si>
    <t>Освежитель воздуха НУЖНЫЕ ВЕЩИ Цветущая сакура, 250 мл, С</t>
  </si>
  <si>
    <t>Air freshener NUZHNIE VESHI Blooming sakura, 250 ml, Sl</t>
  </si>
  <si>
    <t>ER-00012378</t>
  </si>
  <si>
    <t>Пена для бритья LA FRESH для чувствительной кожи, 200 мл, С</t>
  </si>
  <si>
    <t>Shaving foam LA FRESH for sensitive skin, 200 ml, Sl</t>
  </si>
  <si>
    <t>ER-00012562</t>
  </si>
  <si>
    <t>Дезодорант-спрей МОЯ ЦЕНА женский, 150 мл, С</t>
  </si>
  <si>
    <t>Body deodorant My price for women, 150 ml, Sl</t>
  </si>
  <si>
    <t>00-00007750</t>
  </si>
  <si>
    <t>Силиконовая смазка BIG D, 500 мл</t>
  </si>
  <si>
    <t>Silicone Grease BIG D, 500 ml</t>
  </si>
  <si>
    <t>ER-00012820</t>
  </si>
  <si>
    <t>Освежитель воздуха FLOWER SHOP Яблоко и жасмин, 300 мл, N, С</t>
  </si>
  <si>
    <t>Air freshener FLOWER SHOP Apple and jasmin, 300 ml, N, Sl</t>
  </si>
  <si>
    <t>00-00010249</t>
  </si>
  <si>
    <t>Освежитель воздуха GREEN COLLECTION BY PROVENCE Антитабак. Манго и ваниль. Блокатор запахов, 250 мл,</t>
  </si>
  <si>
    <t>Air freshener GREEN COLLECTION BY PROVENCE Antitabacco. Mango and vanila. Odor blocker, 250 ml,</t>
  </si>
  <si>
    <t>00-00010313</t>
  </si>
  <si>
    <t>Освежитель воздуха GREEN COLLECTION BY PROVENCE Солнечный Апельсин, 300 мл, С</t>
  </si>
  <si>
    <t>Air freshener GREEN COLLECTION BY PROVENCE Sunny orange, 300 ml, Sl</t>
  </si>
  <si>
    <t>00-00010371</t>
  </si>
  <si>
    <t>Освежитель воздуха GREEN COLLECTION BY PROVENCE Райское наслаждение, 250 мл, С</t>
  </si>
  <si>
    <t>Air freshener GREEN COLLECTION BY PROVENCE Paradise pleasure, 250 ml, Sl</t>
  </si>
  <si>
    <t>00-00010612</t>
  </si>
  <si>
    <t>Освежитель воздуха GREEN COLLECTION BY PROVENCE Фруктовый десерт, 250 мл, С</t>
  </si>
  <si>
    <t>Air freshener GREEN COLLECTION BY PROVENCE Fruit dessert, 250 ml, Sl</t>
  </si>
  <si>
    <t>Пена для бритья DELIVEA для чувствительной кожи мужская, 300 мл</t>
  </si>
  <si>
    <t>Shaving foam DELIVEA for sensitive skin man, 300 ml</t>
  </si>
  <si>
    <t>ER-00013469</t>
  </si>
  <si>
    <t>Дезодорант КАЖДЫЙ ДЕНЬ Фруктовый женский, 150 мл</t>
  </si>
  <si>
    <t>Deodorant EVERY DAY Fruit woman, 150 ml</t>
  </si>
  <si>
    <t>Дезодорант КАЖДЫЙ ДЕНЬ Diving Club Заряд Свежести мужской, 150 мл, Сл</t>
  </si>
  <si>
    <t>Deodorant EVERY DAY Diving Charge of Freshness woman, 150 ml</t>
  </si>
  <si>
    <t>Освежитель воздуха АШАН Красная птичка Пряный апельсин и клюква, 250 мл</t>
  </si>
  <si>
    <t>Air freshener KRASNAYA PTICHKA Spicy orange and cranberries, 250 ml</t>
  </si>
  <si>
    <t>ER-00011513</t>
  </si>
  <si>
    <t>Пена для бритья КАЖДЫЙ ДЕНЬ для чувствительной кожи, 200 мл, С</t>
  </si>
  <si>
    <t>Shaving foam EVERY DAY for sensitive skin, 200 ml, Sl</t>
  </si>
  <si>
    <t>ER-00011853</t>
  </si>
  <si>
    <t>Освежитель воздуха АШАН Красная птичка Сицилийский мандарин и карамель, 300 мл, С</t>
  </si>
  <si>
    <t>Air freshener KRASNAYA PTICHKA Sicilian mandarin and caramel, 300 ml, Sl</t>
  </si>
  <si>
    <t>ER-00012248</t>
  </si>
  <si>
    <t>Дезодорант КАЖДЫЙ ДЕНЬ Diving Club Заряд Свежести мужской, 150 мл</t>
  </si>
  <si>
    <t>Deodorant EVERY DAY Diving Charge of Freshness woman, 150 ml, Sl</t>
  </si>
  <si>
    <t>ER-00013368</t>
  </si>
  <si>
    <t>Освежитель воздуха GREEN COLLECTION BY PROVENCE Карибский лайм, 300 мл, GG</t>
  </si>
  <si>
    <t>Air freshener GREEN COLLECTION BY PROVENCE Caribean lime, 300 ml</t>
  </si>
  <si>
    <t>00-00007759</t>
  </si>
  <si>
    <t>Освежитель воздуха GREEN COLLECTION BY PROVENCE Карибский лайм, 300 мл</t>
  </si>
  <si>
    <t>00-00010321</t>
  </si>
  <si>
    <t>Освежитель воздуха GREEN COLLECTION BY PROVENCE После дождя, 300 мл, С</t>
  </si>
  <si>
    <t>Air freshener GREEN COLLECTION BY PROVENCE After the rain, 300 ml, Sl</t>
  </si>
  <si>
    <t>00-00010323</t>
  </si>
  <si>
    <t>Освежитель воздуха GREEN COLLECTION BY PROVENCE Крымские каникулы, 300 мл, Сл</t>
  </si>
  <si>
    <t>Air freshener GREEN COLLECTION BY PROVENCE Crimean holidays, 300 ml, Sl</t>
  </si>
  <si>
    <t>00-00010324</t>
  </si>
  <si>
    <t>Освежитель воздуха GREEN COLLECTION BY PROVENCE Сирень, 300 мл, С</t>
  </si>
  <si>
    <t>Air freshener GREEN COLLECTION BY PROVENCE Lilac and lavender, 300 ml, Sl</t>
  </si>
  <si>
    <t>00-00010325</t>
  </si>
  <si>
    <t>Освежитель воздуха GREEN COLLECTION BY PROVENCE Морской бриз, 300 мл, С</t>
  </si>
  <si>
    <t>Air freshener GREEN COLLECTION BY PROVENCE Sea breeze, 300 ml, Sl</t>
  </si>
  <si>
    <t>00-00010328</t>
  </si>
  <si>
    <t>Освежитель воздуха GREEN COLLECTION BY PROVENCE Фруктовый мармелад, 300 мл, С</t>
  </si>
  <si>
    <t>Air freshener GREEN COLLECTION BY PROVENCE Fruit jelly, 300 ml, Sl</t>
  </si>
  <si>
    <t>00-00010329</t>
  </si>
  <si>
    <t>Освежитель воздуха GREEN COLLECTION BY PROVENCE Цитрусовый смузи, 300 мл, С</t>
  </si>
  <si>
    <t>Air freshener GREEN COLLECTION BY PROVENCE Citrus smoothie, 300 ml, Sl</t>
  </si>
  <si>
    <t>Освежитель воздуха ЛЕНТА Королевский десерт, 250 мл, С</t>
  </si>
  <si>
    <t>Air freshener LENTA Queen dessert, 250 ml, Sl</t>
  </si>
  <si>
    <t>Освежитель воздуха ЛЕНТА Verti Лесная ягода, 250 мл, С</t>
  </si>
  <si>
    <t>Air freshener LENTA Forest berry, 250 ml, Sl</t>
  </si>
  <si>
    <t>Пена для бритья 365 ДНЕЙ для чувствительной кожи, 200 мл, С</t>
  </si>
  <si>
    <t>Shaving foam LENTA for sensitive skin, 200 ml, Sl</t>
  </si>
  <si>
    <t>Освежитель воздуха ЛЕНТА Verti Цветочная вуаль, 250 мл, С</t>
  </si>
  <si>
    <t>Air freshener LENTA Verti Floral veil, 250 ml, Sl</t>
  </si>
  <si>
    <t>Освежитель воздуха ЛЕНТА Verti Мокко, 250 мл, С</t>
  </si>
  <si>
    <t>Air freshener LENTA Verti Mocco, 250 ml, Sl</t>
  </si>
  <si>
    <t>00-00010827</t>
  </si>
  <si>
    <t>Водоотталкивающая пропитка ЛЕНТА Stop Moisture для кожи, замши и нубука, 250 мл, С</t>
  </si>
  <si>
    <t>Water-repellent LENTA Stop Moisture for leather, suede and nubuck, 250 ml, Sl</t>
  </si>
  <si>
    <t>00-00010947</t>
  </si>
  <si>
    <t>Дезодорант 365 ДНЕЙ женский, 150 мл, С</t>
  </si>
  <si>
    <t>Deodorant 365 DNEY woman, 150 ml, Sl</t>
  </si>
  <si>
    <t>00-00010950</t>
  </si>
  <si>
    <t>Дезодорант 365 ДНЕЙ мужской, 150 мл, С</t>
  </si>
  <si>
    <t>Deodorant 365 DNEY man, 150 ml, Sl</t>
  </si>
  <si>
    <t>00-00011195</t>
  </si>
  <si>
    <t>Пена-очиститель 365 ДНЕЙ Анти-грязь для замши, велюра, нубука, 150 мл, С</t>
  </si>
  <si>
    <t>Foam Cleaner 365 DNEY Anti-dirt for suede, velour, nubuck, 150 ml, Sl</t>
  </si>
  <si>
    <t>Пена для бритья BRAVE DAVE для чувствительной кожи мужская, 200 мл</t>
  </si>
  <si>
    <t>Shaving foam BRAVE DAVE for sensitive skin man, 200 ml</t>
  </si>
  <si>
    <t>BRAVE DAVE</t>
  </si>
  <si>
    <t>ER-00012136</t>
  </si>
  <si>
    <t>Пена для бритья BRAVE DAVE с углем для всех типов кожи мужская, 200 мл</t>
  </si>
  <si>
    <t>Shaving foam BRAVE DAVE with coal for all skin types man, 200 ml</t>
  </si>
  <si>
    <t>Пена для бритья BRAVE DAVE с увлажняющим эффектом для всех типов кожи мужская, 200 мл</t>
  </si>
  <si>
    <t>Shaving foam BRAVE DAVE moisturizing effect for all skin types man, 200 ml</t>
  </si>
  <si>
    <t>ER-00012139</t>
  </si>
  <si>
    <t>Пена для бритья FLORY STORY с экстрактом розы и пантенолом женская, 200 мл</t>
  </si>
  <si>
    <t>Shaving foam FLORY STORY rose extract and panthenol for women, 200 ml</t>
  </si>
  <si>
    <t>FLORY STORY</t>
  </si>
  <si>
    <t>ER-00011883</t>
  </si>
  <si>
    <t>Лак для волос JUST HAIR сверхсильная фиксация, 300 мл</t>
  </si>
  <si>
    <t>Hairspray JUST HAIR extrastrong hold, 300 ml</t>
  </si>
  <si>
    <t>00-00001372</t>
  </si>
  <si>
    <t>Освежитель воздуха MAGIC BOOM Лимонный взрыв, 250 мл, С</t>
  </si>
  <si>
    <t>Air freshener MAGIC BOOM Lemon explosion, 250 ml, Sl</t>
  </si>
  <si>
    <t>00-00001374</t>
  </si>
  <si>
    <t>Освежитель воздуха MAGIC BOOM Весенняя фантазия, 250 мл, С</t>
  </si>
  <si>
    <t>Air freshener MAGIC BOOM Spring fantasy, 250 ml, Sl</t>
  </si>
  <si>
    <t>ER-00011540</t>
  </si>
  <si>
    <t>Водоотталкивающая пропитка STOP MOISTURE Aqua Stop для кожи, замши и нубука, 300 мл</t>
  </si>
  <si>
    <t>Water-repellent STOP MOISTURE Aqua Stop for leather, suede and nubuck, 300 ml</t>
  </si>
  <si>
    <t>ER-00011800</t>
  </si>
  <si>
    <t>Освежитель воздуха MAGIC BOOM Морской бриз, 250 мл, С</t>
  </si>
  <si>
    <t>Air freshener MAGIC BOOM Marine breeze, 250 ml, Sl</t>
  </si>
  <si>
    <t>00-00010660</t>
  </si>
  <si>
    <t>Дезодорант U Elegant женский, 150 мл, С</t>
  </si>
  <si>
    <t>Deodorant U Elegant woman, 150 ml, Sl</t>
  </si>
  <si>
    <t>00-00010663</t>
  </si>
  <si>
    <t>Дезодорант U Enjoy женский, 150 мл, С</t>
  </si>
  <si>
    <t>Deodorant U Enjoy woman, 150 ml, Sl</t>
  </si>
  <si>
    <t>00-00010668</t>
  </si>
  <si>
    <t>Дезодорант U Paradise женский, 150 мл, С</t>
  </si>
  <si>
    <t>Deodorant U Paradise woman, 150 ml, Sl</t>
  </si>
  <si>
    <t>00-00010669</t>
  </si>
  <si>
    <t>Дезодорант U Status мужской, 150 мл, С</t>
  </si>
  <si>
    <t>Deodorant U Status man, 150 ml, Sl</t>
  </si>
  <si>
    <t>00-00010672</t>
  </si>
  <si>
    <t>Дезодорант U Strong мужской, 150 мл, С</t>
  </si>
  <si>
    <t>Deodorant U Strong man, 150 ml, Sl</t>
  </si>
  <si>
    <t>00-00010795</t>
  </si>
  <si>
    <t>Пена для бритья 1b.ru Extreme man для чувствительной кожи, 200 мл, Сл</t>
  </si>
  <si>
    <t>Shaving foam 1b.ru Extreme man for sensitive skin man, 200 ml, Sl</t>
  </si>
  <si>
    <t>00-00010796</t>
  </si>
  <si>
    <t>Пена для бритья 1b.ru Extreme man для нормальной кожи, 200 мл, С</t>
  </si>
  <si>
    <t>Shaving foam 1b.ru Extreme man for normal skin man, 200 ml, Sl</t>
  </si>
  <si>
    <t>00-00010869</t>
  </si>
  <si>
    <t>Дезодорант U Energy мужской, 150 мл, С</t>
  </si>
  <si>
    <t>Deodorant U Energy man, 150 ml, Sl</t>
  </si>
  <si>
    <t>00-00010938</t>
  </si>
  <si>
    <t>Лак для волос 1b.ru Professional Look Fanfare суперсильная фиксация, 200 мл, С</t>
  </si>
  <si>
    <t>Hairspray 1b.ru Professional Look Fanfare superstrong hold, 200 ml, Sl</t>
  </si>
  <si>
    <t>00-00010941</t>
  </si>
  <si>
    <t>Лак для волос 1b.ru Professional Look Fanfare экстрасильная фиксация, 200 мл, С</t>
  </si>
  <si>
    <t>Hairspray 1b.ru Professional Look Fanfare extrastrong hold, 200 ml, Sl</t>
  </si>
  <si>
    <t>00-00011277</t>
  </si>
  <si>
    <t>Освежитель воздуха 1b.ru Alpen Карибское море, 300 мл, С</t>
  </si>
  <si>
    <t>Air freshener 1b.ru Alpen Caribbean sea, 300 ml, Sl</t>
  </si>
  <si>
    <t>00-00011279</t>
  </si>
  <si>
    <t>Освежитель воздуха 1b.ru Alpen Лесные ягоды, 300 мл, С</t>
  </si>
  <si>
    <t>Air freshener 1b.ru Alpen Forest berries, 300 ml, Sl</t>
  </si>
  <si>
    <t>00-00011281</t>
  </si>
  <si>
    <t>Освежитель воздуха 1b.ru Alpen Утренняя роса, 300 мл, С</t>
  </si>
  <si>
    <t>Air freshener 1b.ru Alpen Morning dew, 300 ml, Sl</t>
  </si>
  <si>
    <t>00-00011283</t>
  </si>
  <si>
    <t>Освежитель воздуха 1b.ru Alpen Фиалковое поле, 300 мл, С</t>
  </si>
  <si>
    <t>Air freshener 1b.ru Alpen Violet field, 300 ml, Sl</t>
  </si>
  <si>
    <t>ER-00011399</t>
  </si>
  <si>
    <t>Освежитель воздуха 1b.ru Resto Aroma Verti Сакура, 300 мл, С</t>
  </si>
  <si>
    <t>Air freshener 1b.ru Resto Aroma Verti Sakura, 300 ml, Sl</t>
  </si>
  <si>
    <t>ER-00011541</t>
  </si>
  <si>
    <t>Освежитель воздуха 1b.ru Resto Aroma Verti Сирень, 300 мл, С</t>
  </si>
  <si>
    <t>Air freshener 1b.ru Resto Aroma Verti Lilak, 300 ml, Sl</t>
  </si>
  <si>
    <t>ER-00012610</t>
  </si>
  <si>
    <t>Дезодорант YES´S мужской, 150 мл</t>
  </si>
  <si>
    <t>Deodorant spray YES'S man, 150 ml</t>
  </si>
  <si>
    <t>ER-00012662</t>
  </si>
  <si>
    <t>Дезодорант YES´S женский, 150 мл</t>
  </si>
  <si>
    <t>Deodorant spray YES'S woman, 150 ml</t>
  </si>
  <si>
    <t>ER-00011889</t>
  </si>
  <si>
    <t>Полироль для мебели PRONTO Антипыль и Антиаллерген, 250 мл</t>
  </si>
  <si>
    <t>Furniture polish PRONTO Anti-dust and Anti-Allergenic, 250 ml</t>
  </si>
  <si>
    <t>PRONTO</t>
  </si>
  <si>
    <t>Furniture polish SCJ</t>
  </si>
  <si>
    <t>ER-00011890</t>
  </si>
  <si>
    <t>Полироль для мебели PRONTO для деревянных поверхностей, 250 мл</t>
  </si>
  <si>
    <t>Furniture polish PRONTO for wooden surfaces, 250 ml</t>
  </si>
  <si>
    <t>ER-00012832</t>
  </si>
  <si>
    <t>Силиконовая смазка BIG D PROMO, 50 мл</t>
  </si>
  <si>
    <t>Silicone lubricant BIG D PROMO 50, 50 ml</t>
  </si>
  <si>
    <t>ER-00012941</t>
  </si>
  <si>
    <t>Антиперспирант SPORT STAR Active мужской, 150 мл</t>
  </si>
  <si>
    <t>Antiperspirant SPORT STAR Active for men, 150 ml</t>
  </si>
  <si>
    <t>Antiperspirant</t>
  </si>
  <si>
    <t>Освежитель воздуха VERTI Air Pure Антитабак Мохито, 350 мл</t>
  </si>
  <si>
    <t>Air freshener VERTI Air Pure Anti-tobacco Mojito, 350 ml</t>
  </si>
  <si>
    <t>Освежитель воздуха VERTI Air Pure Цветущие горы, 350 мл</t>
  </si>
  <si>
    <t>Air freshener VERTI Air Pure Blooming mountains, 350 ml</t>
  </si>
  <si>
    <t>Освежитель воздуха VERTI Air Pure После дождя, 350 мл</t>
  </si>
  <si>
    <t>Air freshener VERTI Air Pure After the rain, 350 ml</t>
  </si>
  <si>
    <t>Освежитель воздуха VERTI Air Pure Сиреневый день, 350 мл</t>
  </si>
  <si>
    <t>Air freshener VERTI Air Pure Lilac day, 350 ml</t>
  </si>
  <si>
    <t>Освежитель воздуха VERTI Air Pure Белый пион, 350 мл</t>
  </si>
  <si>
    <t>Air freshener VERTI Air Pure White peony, 350 ml</t>
  </si>
  <si>
    <t>Освежитель воздуха VERTI Air Pure Свежесть белья, 350 мл</t>
  </si>
  <si>
    <t>Air freshener VERTI Air Pure Freshness of linen, 350 ml</t>
  </si>
  <si>
    <t>Освежитель воздуха VERTI Air Pure Океанский бриз, 350 мл</t>
  </si>
  <si>
    <t>Air freshener VERTI Air Pure Ocean Breeze, 350 ml</t>
  </si>
  <si>
    <t>00-00000136</t>
  </si>
  <si>
    <t>SALTON EXPERT Пена для очищения белой обуви, подошв и рантов, 200мл КАСТОМИЗАЦИЯ</t>
  </si>
  <si>
    <t>SALTON EXPERT Foam for cleaning white shoes, soles and welts, 200ml CUSTOMIZATION</t>
  </si>
  <si>
    <t>00-00001755</t>
  </si>
  <si>
    <t>SALTON CLEANTECH Гель для стирки универсальный, 750мл</t>
  </si>
  <si>
    <t>SALTON CLEANTECH Universal washing gel, 750ml</t>
  </si>
  <si>
    <t>00-00008161</t>
  </si>
  <si>
    <t xml:space="preserve">Дезодорант-спрей  для тела серии "Sport Star "" Balance", 150 мл.ЛИТОГРАФИЯ </t>
  </si>
  <si>
    <t>Deodorant spray for body of the series "Sport Star "" Balance", 150 ml. LITHOGRAPHY</t>
  </si>
  <si>
    <t>00-00008621</t>
  </si>
  <si>
    <t>Водоотталкивающая пропитка для кожи, замши и нубука Stop Mousture ,260мл СЛИВЕР</t>
  </si>
  <si>
    <t>Water-repellent impregnation for leather, suede and nubuck Stop Mousture, 260 ml SL</t>
  </si>
  <si>
    <t>00-00008628</t>
  </si>
  <si>
    <t>Дезодорант-спрей  для тела серии "Sport Star "" Active", 150 мл ЛИТОГРАФИЯ</t>
  </si>
  <si>
    <t>Deodorant spray for body of the series "Sport Star "" Active", 150 ml. LITHOGRAPHY</t>
  </si>
  <si>
    <t>00-00008629</t>
  </si>
  <si>
    <t>Дезодорант-спрей  для тела серии "Sport Star "" Energy", 150 мл ЛИТОГРАФИЯ</t>
  </si>
  <si>
    <t>Deodorant spray for body of the series "Sport Star "" Energy", 150 ml. LITHOGRAPHY</t>
  </si>
  <si>
    <t>00-00008632</t>
  </si>
  <si>
    <t>Водоотталкивающая пропитка для кожи, замши, нубука "BIG D" 250мл СЛИВЕР</t>
  </si>
  <si>
    <t>Water-repellent impregnation for leather, suede, nubuck "BIG D" 250ml SL</t>
  </si>
  <si>
    <t>00-00009859</t>
  </si>
  <si>
    <t>Антистатик 1b.ru Big D, 200 мл, С</t>
  </si>
  <si>
    <t>Antistatic 1b.ru Big D, 200 ml. SL</t>
  </si>
  <si>
    <t>00-00010239</t>
  </si>
  <si>
    <t>Дезодорант SPORT STAR Outpace мужской, 175 мл, С</t>
  </si>
  <si>
    <t>Deodorant SPORT STAR Outpace man, 175 ml. SL</t>
  </si>
  <si>
    <t>00-00010372</t>
  </si>
  <si>
    <t>Лак для волос OLIVIA с экстрактом зеленого чая, 250 мл, С</t>
  </si>
  <si>
    <t>Hairspray OLIVIA Green Tea Extract, 250 ml, SL</t>
  </si>
  <si>
    <t>00-00010383</t>
  </si>
  <si>
    <t>Дезодорант для обуви 365 ДНЕЙ Stop Malodor, 150 мл, С</t>
  </si>
  <si>
    <t>Deodorant for shoes 365 DNEY Stop Malodor, 150 ml, SL</t>
  </si>
  <si>
    <t>00-00010423</t>
  </si>
  <si>
    <t>Дезодорант SPORT STAR Ultra мужской, 175 мл, С</t>
  </si>
  <si>
    <t>Deodorant SPORT STAR Ultra man, 175 ml, SL</t>
  </si>
  <si>
    <t>00-00010504</t>
  </si>
  <si>
    <t>Освежитель воздуха GREEN COLLECTION BY PROVENCE Океанский бриз. Блокатор запахов, 250 мл, С</t>
  </si>
  <si>
    <t>Air freshener GREEN COLLECTION BY PROVENCE Ocean breeze. Odor blocker, 250 ml, SL</t>
  </si>
  <si>
    <t>00-00010556</t>
  </si>
  <si>
    <t>Лак для волос OLIVIA С экстрактом ромашки, 250 мл, С</t>
  </si>
  <si>
    <t>Hairspray OLIVIA chamomile extract, 250 ml, SL</t>
  </si>
  <si>
    <t>00-00010594</t>
  </si>
  <si>
    <t>Лак для волос OLIVIA с экстрактом жожоба, 250 мл, С</t>
  </si>
  <si>
    <t>Hairspray OLIVIA jojoba extract, 250 ml, SL</t>
  </si>
  <si>
    <t>00-00010549</t>
  </si>
  <si>
    <t>Лак для волос OLIVIA с экстрактом родиолы розовой, 250 мл, С</t>
  </si>
  <si>
    <t>Hairspray OLIVIA Rhodiola rosea extract, 250 ml, SL</t>
  </si>
  <si>
    <t>00-00010840</t>
  </si>
  <si>
    <t>Освежитель воздуха ECONTA Сакура, 300 мл</t>
  </si>
  <si>
    <t>Air freshener ECONTA Sakura, 300 ml</t>
  </si>
  <si>
    <t>00-00011064</t>
  </si>
  <si>
    <t>Пена для бритья АШАН Красная птичка с ментолом для всех типов кожи, 200 мл, С</t>
  </si>
  <si>
    <t>Shaving foam KRASNAYA PTICHKA with menthol for all skin types, 200 ml, SL</t>
  </si>
  <si>
    <t>00-00007740</t>
  </si>
  <si>
    <t>Сухой шампунь OLIVIA Hot play,200 мл, С</t>
  </si>
  <si>
    <t>Dry Shampoo OLIVIA Hot play, 200 ml, SL</t>
  </si>
  <si>
    <t>Освежитель воздуха FLOWER SHOP Яблоко и жасмин, 300 мл, N</t>
  </si>
  <si>
    <t>Air freshener FLOWER SHOP apple and jasmine, 300 ml, N</t>
  </si>
  <si>
    <t>ER-00012966</t>
  </si>
  <si>
    <t>Антиперспирант SPORT STAR Pulse мужской, 150 мл</t>
  </si>
  <si>
    <t>Antiperspirant SPORT STAR Pulse for men, 150 ml</t>
  </si>
  <si>
    <t>ER-00012967</t>
  </si>
  <si>
    <t>Антиперспирант SPORT STAR Oxygen мужской, 150 мл</t>
  </si>
  <si>
    <t>Antiperspirant SPORT STAR Oxygen for men, 150 ml</t>
  </si>
  <si>
    <t>ER-00012978</t>
  </si>
  <si>
    <t>Пена для бритья GITAMOS для чувствительной кожи, 200 мл</t>
  </si>
  <si>
    <t>Shaving foam GITAMOS for sensitive skin with a care complex, 200 ml</t>
  </si>
  <si>
    <t>Gitamos</t>
  </si>
  <si>
    <t>ER-00013203</t>
  </si>
  <si>
    <t>Пена для бритья GITAMOS для чувствительной кожи, 200 мл, С</t>
  </si>
  <si>
    <t>ER-00013687</t>
  </si>
  <si>
    <t>Пена для бритья БОРОДОВОЙ, 200 мл</t>
  </si>
  <si>
    <t>Borodovoy</t>
  </si>
  <si>
    <t>ER-00012980</t>
  </si>
  <si>
    <t>Полироль для мебели VELON Pro, 300 мл</t>
  </si>
  <si>
    <t>Полироль для мебели Velon Pro</t>
  </si>
  <si>
    <t>ER-00012985</t>
  </si>
  <si>
    <t>Освежитель воздуха FLOWER SHOP Апельсин и грейпфрут, 300 мл, N, С</t>
  </si>
  <si>
    <t>Air freshener FLOWER SHOP Orange and grapefruit, 300 ml, SL</t>
  </si>
  <si>
    <t>ER-00012997</t>
  </si>
  <si>
    <t>Антиперспирант EDISON Stella женский, 150 мл</t>
  </si>
  <si>
    <t>Antiperspirant EDISON Stella for women, 150 ml</t>
  </si>
  <si>
    <t>ER-00012998</t>
  </si>
  <si>
    <t>Антиперспирант EDISON Lusia женский, 150 мл</t>
  </si>
  <si>
    <t>Antiperspirant EDISON Lusia for women, 150 ml</t>
  </si>
  <si>
    <t>ER-00012999</t>
  </si>
  <si>
    <t>Антиперспирант EDISON Sirena женский, 150 мл</t>
  </si>
  <si>
    <t>Antiperspirant EDISON Flora for women, 150 ml</t>
  </si>
  <si>
    <t>ER-00013108</t>
  </si>
  <si>
    <t>Антиперспирант EDISON Flora женский, 150 мл</t>
  </si>
  <si>
    <t>Пена для бритья DIVING CLUB для всех типов кожи,1, 300 мл</t>
  </si>
  <si>
    <t>Shaving foam DIVING CLUB all skin types,1, 300 ml</t>
  </si>
  <si>
    <t>ER-00013014</t>
  </si>
  <si>
    <t>Пена для бритья DIVING CLUB для чувствительной кожи,1, 300 мл</t>
  </si>
  <si>
    <t>Shaving foam DELIVEA for sensitive skin man, 1, 300 ml</t>
  </si>
  <si>
    <t>ER-00013020</t>
  </si>
  <si>
    <t>Освежитель воздуха ЛЕНТА Кашемир, 250 мл, С</t>
  </si>
  <si>
    <t>Air freshener LENTA Cashmere, 250 ml, Sl</t>
  </si>
  <si>
    <t>ER-00013021</t>
  </si>
  <si>
    <t>Освежитель воздуха ЛЕНТА Спелый гранат, 250 мл, С</t>
  </si>
  <si>
    <t>Air freshener LENTA Ripe pomegranate, 250 ml, Sl</t>
  </si>
  <si>
    <t>ER-00013022</t>
  </si>
  <si>
    <t>Освежитель воздуха ЛЕНТА Лесная ягода, 250 мл, С, N</t>
  </si>
  <si>
    <t>ER-00013023</t>
  </si>
  <si>
    <t>Освежитель воздуха ЛЕНТА Цветочная вуаль, 250 мл, С, N</t>
  </si>
  <si>
    <t>Air freshener LENTA Floral Veil, 250 ml, Sl</t>
  </si>
  <si>
    <t>ER-00013031</t>
  </si>
  <si>
    <t>Антиперспирант EDISON Fresco мужской, 150 мл</t>
  </si>
  <si>
    <t>Antiperspirant EDISON Fresco for men, 150 ml</t>
  </si>
  <si>
    <t>ER-00013032</t>
  </si>
  <si>
    <t>Антиперспирант EDISON Primo мужской, 150 мл</t>
  </si>
  <si>
    <t>Antiperspirant EDISON Primo for men, 150 ml</t>
  </si>
  <si>
    <t>ER-00013033</t>
  </si>
  <si>
    <t>Антиперспирант EDISON Impero мужской, 150 мл</t>
  </si>
  <si>
    <t>Antiperspirant EDISON Impero for men, 150 ml</t>
  </si>
  <si>
    <t>ER-00013105</t>
  </si>
  <si>
    <t>Антиперспирант EDISON Quadro мужской, 150 мл</t>
  </si>
  <si>
    <t>ER-00013034</t>
  </si>
  <si>
    <t>Дезодорант SPORT STAR Motion мужской, 175 мл</t>
  </si>
  <si>
    <t>Deodorant SPORT STAR Motion men, 175 ml</t>
  </si>
  <si>
    <t>ER-00013035</t>
  </si>
  <si>
    <t xml:space="preserve"> Дезодорант SPORT STAR Altitude мужской, 175 мл</t>
  </si>
  <si>
    <t>Deodorant SPORT STAR Altitude men, 175 ml</t>
  </si>
  <si>
    <t>ER-00013053</t>
  </si>
  <si>
    <t>Освежитель воздуха АШАН Красная птичка Ароматная Кола, 300 мл, С</t>
  </si>
  <si>
    <t>Air freshener KRASNAYA PTICHKA Flavored Cola, 300 ml, Sl</t>
  </si>
  <si>
    <t>ER-00013050</t>
  </si>
  <si>
    <t>Пена для бритья DIVING CLUB для чувствительной кожи, 300 мл, ARM, С</t>
  </si>
  <si>
    <t>Shaving foam DIVING CLUB for sensitive skin, 300 ml, Sl</t>
  </si>
  <si>
    <t>ER-00013099</t>
  </si>
  <si>
    <t>Лак для волос OLIVIA Мега стойкость и Термо защита сверхсильная фиксация 6, 250 мл, fitocare, С</t>
  </si>
  <si>
    <t>Hairspray OLIVIA Mega durability and Thermo protection super strong hold 6, 250 ml, fitocare, Sl</t>
  </si>
  <si>
    <t>ER-00013102</t>
  </si>
  <si>
    <t>Сухой шампунь PROFESSIONAL TOUCH Свежесть и объем, аромат свежести, 200 мл, С</t>
  </si>
  <si>
    <t>Dry shampoo OLIVIA Freshness and volume, fresh aroma, 200 ml, Sl</t>
  </si>
  <si>
    <t>ER-00013112</t>
  </si>
  <si>
    <t>Освежитель воздуха AIR WICK Freshmatic Pure Цветущая сакура, 250 мл, Summer 25</t>
  </si>
  <si>
    <t>Air freshener AIR WICK Freshmatic Pure series Cherry blossom, 250 ml, Summer 25</t>
  </si>
  <si>
    <t>ER-00013113</t>
  </si>
  <si>
    <t>Освежитель воздуха AIR WICK Freshmatic Тропические фантазии Спелый манго, 250 мл, Summer 25</t>
  </si>
  <si>
    <t>Air freshener AIR WICK Freshmatic Tropical fantasies Ripe mango, 250 ml, Summer 25</t>
  </si>
  <si>
    <t>ER-00013119</t>
  </si>
  <si>
    <t>Сухой шампунь USE IT Свежий, 200 мл</t>
  </si>
  <si>
    <t>Dry shampoo USE IT Fresh, 200 ml</t>
  </si>
  <si>
    <t>ER-00013121</t>
  </si>
  <si>
    <t>Сухой шампунь USE IT Цветочный, 200 мл</t>
  </si>
  <si>
    <t>Dry shampoo USE IT Floral, 200 ml</t>
  </si>
  <si>
    <t>Texturizing dry spray HOLLY POLLY, 200 ml</t>
  </si>
  <si>
    <t>HOLLY POLLY</t>
  </si>
  <si>
    <t>ER-00013155</t>
  </si>
  <si>
    <t>Освежитель воздуха БРЕФ ДеЛюкс Нежная магнолия, 280 мл</t>
  </si>
  <si>
    <t>Air freshener BREF De Luxe Gentle magnolia, 280 ml</t>
  </si>
  <si>
    <t>BREF</t>
  </si>
  <si>
    <t>Освежитель воздуха БРЕФ ДеЛюкс Волшебная орхидея, 280 мл</t>
  </si>
  <si>
    <t>Air freshener BREF De Luxe Magic Orchid, 280 ml</t>
  </si>
  <si>
    <t>Освежитель воздуха БРЕФ ДеЛюкс Пленительный жасмин, 280 мл</t>
  </si>
  <si>
    <t>Air freshener BREF De Luxe Captivating Jasmine, 280 ml</t>
  </si>
  <si>
    <t>Освежитель воздуха БРЕФ Ароматы СПА Роскошь, 250 мл</t>
  </si>
  <si>
    <t>Air freshener BREF SPA Luxury Aromas, 250 ml</t>
  </si>
  <si>
    <t>ER-00013166</t>
  </si>
  <si>
    <t>Освежитель воздуха БРЕФ Ароматы СПА Гармония, 250 мл</t>
  </si>
  <si>
    <t>Air freshener BREF Harmony, 250 ml</t>
  </si>
  <si>
    <t>Освежитель воздуха БРЕФ Ароматы СПА Энергия, 250 мл</t>
  </si>
  <si>
    <t>Air freshener BREF Energy, 250 ml</t>
  </si>
  <si>
    <t>ER-00013180</t>
  </si>
  <si>
    <t>Лак для волос USE IT Epic Volume экстрасильной фиксации, 200 мл</t>
  </si>
  <si>
    <t>Hairspray USE IT Epic Volume Extra Strong Hold, 200 ml</t>
  </si>
  <si>
    <t>ER-00013181</t>
  </si>
  <si>
    <t>Лак для волос USE IT Express Power мега фиксации, 200 мл</t>
  </si>
  <si>
    <t>Hairspray USE IT Express Power mega hold, 200 ml</t>
  </si>
  <si>
    <t>ER-00013188</t>
  </si>
  <si>
    <t>Пена для бритья EASYGLIDE для чувствительной кожи, 200 мл</t>
  </si>
  <si>
    <t>Shaving foam EASYGLIDE for sensitive skin, 200 ml</t>
  </si>
  <si>
    <t>EASYGLIDE</t>
  </si>
  <si>
    <t>ER-00013189</t>
  </si>
  <si>
    <t>Пена для бритья EASYGLIDE для всех типов кожи, 200 мл</t>
  </si>
  <si>
    <t>ER-00013239</t>
  </si>
  <si>
    <t>Освежитель воздуха БРЕФ Ароматы СПА Роскошь, 250 мл, С</t>
  </si>
  <si>
    <t>Air freshener BREF SPA Luxury Aromas, 250 ml, Sl</t>
  </si>
  <si>
    <t>ER-00013240</t>
  </si>
  <si>
    <t>Освежитель воздуха БРЕФ ДеЛюкс Нежная магнолия, 280 мл, С</t>
  </si>
  <si>
    <t>Air freshener BREF De Luxe Gentle magnolia, 280 ml, Sl</t>
  </si>
  <si>
    <t>ER-00013331</t>
  </si>
  <si>
    <t>Пена для бритья BODY UP Sensitive для чувствительной кожи мужская, 200 мл</t>
  </si>
  <si>
    <t>Shaving foam BODY UP Sensitive for sensitive skin men, 200 ml</t>
  </si>
  <si>
    <t>BODY UP</t>
  </si>
  <si>
    <t>ER-00013372</t>
  </si>
  <si>
    <t>Освежитель воздуха GREEN COLLECTION BY PROVENCE Лазурные Альпы, 300 мл, С, GG</t>
  </si>
  <si>
    <t xml:space="preserve">Air freshener GREEN COLLECTION BY PROVENCE Azure Alps, 300 ml, Sl, Gatter group </t>
  </si>
  <si>
    <t>Освежитель воздуха GREEN COLLECTION BY PROVENCE Морская ривьера, 300 мл, GG</t>
  </si>
  <si>
    <t xml:space="preserve">Air freshener GREEN COLLECTION BY PROVENCE Maritime Riviera, 300 ml, Gatter group </t>
  </si>
  <si>
    <t>ER-00013940</t>
  </si>
  <si>
    <t>Освежитель воздуха GREEN COLLECTION BY PROVENCE Морская ривьера, 300 мл, GG, n</t>
  </si>
  <si>
    <t>Освежитель воздуха GREEN COLLECTION BY PROVENCE Морская ривьера, 300 мл, С, GG</t>
  </si>
  <si>
    <t xml:space="preserve">Air freshener GREEN COLLECTION BY PROVENCE Maritime Riviera, 300 ml. Sl, Gatter group </t>
  </si>
  <si>
    <t>ER-00013947</t>
  </si>
  <si>
    <t>Освежитель воздуха GREEN COLLECTION BY PROVENCE Морская ривьера, 300 мл, С, GG, n</t>
  </si>
  <si>
    <t>ER-00013948</t>
  </si>
  <si>
    <t>Освежитель воздуха GREEN COLLECTION BY PROVENCE Нежный пион, 300 мл, С, GG, n</t>
  </si>
  <si>
    <t xml:space="preserve">Air freshener GREEN COLLECTION BY PROVENCE Delicate peony, 300 ml, Gatter group </t>
  </si>
  <si>
    <t>Освежитель воздуха GREEN COLLECTION BY PROVENCE Нежный пион, 300 мл, GG</t>
  </si>
  <si>
    <t>ER-00013452</t>
  </si>
  <si>
    <t>Освежитель воздуха GREEN COLLECTION BY PROVENCE Нежный пион, 300 мл, С, GG</t>
  </si>
  <si>
    <t>ER-00013910</t>
  </si>
  <si>
    <t>Освежитель воздуха GREEN COLLECTION BY PROVENCE Нежный пион, 300 мл, GG, n</t>
  </si>
  <si>
    <t>ER-00013376</t>
  </si>
  <si>
    <t xml:space="preserve">Air freshener GREEN COLLECTION BY PROVENCE Delicate peony, 300 ml, Sl, Gatter group </t>
  </si>
  <si>
    <t>ER-00013377</t>
  </si>
  <si>
    <t>Освежитель воздуха GREEN COLLECTION BY PROVENCE Нейтрализатор запахов, 300 мл, GG</t>
  </si>
  <si>
    <t xml:space="preserve">Air freshener GREEN COLLECTION BY PROVENCE Odor neutralizer, 300 ml, Gatter group </t>
  </si>
  <si>
    <t>Освежитель воздуха GREEN COLLECTION BY PROVENCE После дождя, 300 мл, GG</t>
  </si>
  <si>
    <t xml:space="preserve">Air freshener GREEN COLLECTION BY PROVENCE After the rain, 300 ml, Gatter group </t>
  </si>
  <si>
    <t>ER-00013937</t>
  </si>
  <si>
    <t>Освежитель воздуха GREEN COLLECTION BY PROVENCE После дождя, 300 мл, GG, n</t>
  </si>
  <si>
    <t>ER-00013379</t>
  </si>
  <si>
    <t>Освежитель воздуха GREEN COLLECTION BY PROVENCE После дождя, 300 мл, С, GG</t>
  </si>
  <si>
    <t xml:space="preserve">Air freshener GREEN COLLECTION BY PROVENCE After the rain, 300 ml, Sl, Gatter group </t>
  </si>
  <si>
    <t>Освежитель воздуха GREEN COLLECTION BY PROVENCE Сирень и лаванда, 300 мл, GG</t>
  </si>
  <si>
    <t xml:space="preserve">Air freshener GREEN COLLECTION BY PROVENCE Lilac and lavender, 300 ml, Gatter group </t>
  </si>
  <si>
    <t>ER-00013914</t>
  </si>
  <si>
    <t>Освежитель воздуха GREEN COLLECTION BY PROVENCE Сирень и лаванда, 300 мл, GG, n</t>
  </si>
  <si>
    <t>ER-00013944</t>
  </si>
  <si>
    <t>Освежитель воздуха GREEN COLLECTION BY PROVENCE Сирень и лаванда, 300 мл, C, GG, n</t>
  </si>
  <si>
    <t xml:space="preserve">Air freshener GREEN COLLECTION BY PROVENCE Lilac and lavender, 300 ml, Sl, Gatter group </t>
  </si>
  <si>
    <t>ER-00013381</t>
  </si>
  <si>
    <t>Освежитель воздуха GREEN COLLECTION BY PROVENCE Сирень и лаванда, 300 мл, C, GG</t>
  </si>
  <si>
    <t>Освежитель воздуха GREEN COLLECTION BY PROVENCE Солнечный апельсин, 300 мл, N, GG</t>
  </si>
  <si>
    <t xml:space="preserve">Air freshener GREEN COLLECTION BY PROVENCE Sunny Orange, 300 ml, N, Gatter group </t>
  </si>
  <si>
    <t>ER-00013908</t>
  </si>
  <si>
    <t>Освежитель воздуха GREEN COLLECTION BY PROVENCE Солнечный апельсин, 300 мл, N, GG, n</t>
  </si>
  <si>
    <t>ER-00013383</t>
  </si>
  <si>
    <t>Освежитель воздуха GREEN COLLECTION BY PROVENCE Солнечный апельсин, 300 мл, N, С, GG</t>
  </si>
  <si>
    <t xml:space="preserve">Air freshener GREEN COLLECTION BY PROVENCE Sunny orange, 300 ml, Sl, Gatter group </t>
  </si>
  <si>
    <t>Освежитель воздуха GREEN COLLECTION BY PROVENCE Фруктовый десерт, 300 мл, GG</t>
  </si>
  <si>
    <t xml:space="preserve">Air freshener GREEN COLLECTION BY PROVENCE Fruit dessert, 300 ml, Gatter group </t>
  </si>
  <si>
    <t>ER-00013913</t>
  </si>
  <si>
    <t>Освежитель воздуха GREEN COLLECTION BY PROVENCE Фруктовый десерт, 300 мл, GG, n</t>
  </si>
  <si>
    <t>ER-00013385</t>
  </si>
  <si>
    <t>Освежитель воздуха GREEN COLLECTION BY PROVENCE Фруктовый десерт, 300 мл, С, GG</t>
  </si>
  <si>
    <t xml:space="preserve">Air freshener GREEN COLLECTION BY PROVENCE Fruit dessert, 300 ml, Sl, Gatter group </t>
  </si>
  <si>
    <t>ER-00013949</t>
  </si>
  <si>
    <t>Освежитель воздуха GREEN COLLECTION BY PROVENCE Фруктовый десерт, 300 мл, С, GG, n</t>
  </si>
  <si>
    <t>Освежитель воздуха GREEN COLLECTION BY PROVENCE Цветущий прованс, 300 мл, GG</t>
  </si>
  <si>
    <t xml:space="preserve">Air freshener GREEN COLLECTION BY PROVENCE Blooming Provence, 300 ml, Gatter group </t>
  </si>
  <si>
    <t>ER-00013941</t>
  </si>
  <si>
    <t>Освежитель воздуха GREEN COLLECTION BY PROVENCE Цветущий прованс, 300 мл, GG, n</t>
  </si>
  <si>
    <t>ER-00013387</t>
  </si>
  <si>
    <t>Освежитель воздуха GREEN COLLECTION BY PROVENCE Цветущий прованс, 300 мл, С, GG</t>
  </si>
  <si>
    <t xml:space="preserve">Air freshener GREEN COLLECTION BY PROVENCE Blooming Provence, 300 ml, Sl, Gatter group </t>
  </si>
  <si>
    <t>Освежитель воздуха GREEN COLLECTION BY PROVENCE Ягодное наслаждение, 300 мл, N, GG</t>
  </si>
  <si>
    <t xml:space="preserve">Air freshener GREEN COLLECTION BY PROVENCE Berry Delight, 300 ml, N, Gatter group </t>
  </si>
  <si>
    <t>ER-00013938</t>
  </si>
  <si>
    <t>Освежитель воздуха GREEN COLLECTION BY PROVENCE Ягодное наслаждение, 300 мл, N, GG, n</t>
  </si>
  <si>
    <t>ER-00013946</t>
  </si>
  <si>
    <t>Освежитель воздуха GREEN COLLECTION BY PROVENCE Ягодное наслаждение, 300 мл, N, С, GG, n</t>
  </si>
  <si>
    <t xml:space="preserve">Air freshener GREEN COLLECTION BY PROVENCE Berry Delight, 300 ml, N, SL, Gatter group </t>
  </si>
  <si>
    <t>ER-00013389</t>
  </si>
  <si>
    <t>Освежитель воздуха GREEN COLLECTION BY PROVENCE Ягодное наслаждение, 300 мл, N, С, GG</t>
  </si>
  <si>
    <t>Освежитель воздуха GREEN COLLECTION BY PROVENCE Антитабак.Манго и ваниль.Блокатор запахов, 250 мл,GG</t>
  </si>
  <si>
    <t xml:space="preserve">Air freshener GREEN COLLECTION BY PROVENCE Antitabacco. Mango and vanila. Odor blocker, 250 ml, Gatter group </t>
  </si>
  <si>
    <t>ER-00013391</t>
  </si>
  <si>
    <t>Освежитель воздуха GREEN COLLECTION BY PROVENCE Антитабак.Манго и ваниль.Блокатор запахов,250 мл,С,G</t>
  </si>
  <si>
    <t xml:space="preserve">Air freshener GREEN COLLECTION BY PROVENCE Antitabacco. Mango and vanila. Odor blocker, 250 ml, Sl, Gatter group </t>
  </si>
  <si>
    <t>Освежитель воздуха GREEN COLLECTION BY PROVENCE Бодрящий лайм, 250 мл, N, GG</t>
  </si>
  <si>
    <t xml:space="preserve">Air freshener GREEN COLLECTION BY PROVENCE Invigorating Lime, 250 ml, Gatter group </t>
  </si>
  <si>
    <t>ER-00013393</t>
  </si>
  <si>
    <t>Освежитель воздуха GREEN COLLECTION BY PROVENCE Бодрящий лайм, 250 мл, С, N, GG</t>
  </si>
  <si>
    <t xml:space="preserve">Air freshener GREEN COLLECTION BY PROVENCE Invigorating Lime, 250 ml, Sl, N, Gatter group </t>
  </si>
  <si>
    <t>ER-00013394</t>
  </si>
  <si>
    <t>Освежитель воздуха GREEN COLLECTION BY PROVENCE Лазурные Альпы, 250 мл, С, GG</t>
  </si>
  <si>
    <t xml:space="preserve">Air freshener GREEN COLLECTION BY PROVENCE Azure Alps, 250 ml, SL, Gatter group </t>
  </si>
  <si>
    <t>ER-00013395</t>
  </si>
  <si>
    <t>Освежитель воздуха GREEN COLLECTION BY PROVENCE Морская ривьера, 250 мл, GG</t>
  </si>
  <si>
    <t xml:space="preserve">Air freshener GREEN COLLECTION BY PROVENCE Maritime Riviera, 250 ml, Gatter group </t>
  </si>
  <si>
    <t>ER-00013396</t>
  </si>
  <si>
    <t>Освежитель воздуха GREEN COLLECTION BY PROVENCE Морская ривьера, 250 мл, С, GG</t>
  </si>
  <si>
    <t xml:space="preserve">Air freshener GREEN COLLECTION BY PROVENCE Maritime Riviera, 250 ml, Sl, Gatter group </t>
  </si>
  <si>
    <t>Освежитель воздуха GREEN COLLECTION BY PROVENCE Лазурные Альпы, 250 мл, GG</t>
  </si>
  <si>
    <t xml:space="preserve">Air freshener GREEN COLLECTION BY PROVENCE Azure Alps, 250 ml, Gatter group </t>
  </si>
  <si>
    <t>Освежитель воздуха GREEN COLLECTION BY PROVENCE Фруктовый десерт, 250 мл, N, GG</t>
  </si>
  <si>
    <t xml:space="preserve">Air freshener GREEN COLLECTION BY PROVENCE Fruit dessert, 250 ml, Gatter group </t>
  </si>
  <si>
    <t>ER-00013399</t>
  </si>
  <si>
    <t>Освежитель воздуха GREEN COLLECTION BY PROVENCE Цветущий прованс, 250 мл, GG</t>
  </si>
  <si>
    <t xml:space="preserve">Air freshener GREEN COLLECTION BY PROVENCE Blooming Provence, 250 ml, Gatter group </t>
  </si>
  <si>
    <t>Освежитель воздуха GREEN COLLECTION BY PROVENCE Ягодное наслаждение, 250 мл, GG</t>
  </si>
  <si>
    <t xml:space="preserve">Air freshener GREEN COLLECTION BY PROVENCE Berry Delight, 250 ml, Gatter group </t>
  </si>
  <si>
    <t>ER-00013401</t>
  </si>
  <si>
    <t>Дезодорант SPORT STAR Ice blue мужской, 175 мл, GG</t>
  </si>
  <si>
    <t xml:space="preserve">Deodorant SPORT STAR Ice blue man, 175 ml, Gatter group </t>
  </si>
  <si>
    <t>ER-00013402</t>
  </si>
  <si>
    <t>Дезодорант SPORT STAR Ultra мужской, 175 мл, GG</t>
  </si>
  <si>
    <t xml:space="preserve">Deodorant SPORT STAR Ultra man, 175 ml, Gatter group </t>
  </si>
  <si>
    <t>ER-00013403</t>
  </si>
  <si>
    <t>Дезодорант SPORT STAR Outpace мужской, 175 мл, GG</t>
  </si>
  <si>
    <t xml:space="preserve">Deodorant SPORT STAR Outpace man, 175 ml, Gatter group </t>
  </si>
  <si>
    <t>ER-00013404</t>
  </si>
  <si>
    <t>Лак для волос PROFESSIONAL TOUCH Pro vitamin B5 Hydro Complex сильной фиксации, 265 мл, GG</t>
  </si>
  <si>
    <t xml:space="preserve">Hairspray PROFESSIONAL TOUCH Pro vitamin B5 Hydro Complex strong hold, 265 ml, Gatter group </t>
  </si>
  <si>
    <t>ER-00013405</t>
  </si>
  <si>
    <t>Лак для волос PROFESSIONAL TOUCH Pro vitamin B5 Multi Vitamins экстрасильной фиксации, 265 мл, GG</t>
  </si>
  <si>
    <t xml:space="preserve">Hairspray PROFESSIONAL TOUCH Pro vitamin B5 Multi Vitamins extra strong hold, 265 ml, Gatter group </t>
  </si>
  <si>
    <t>Лак для волос PROFESSIONAL TOUCH Pro vitamin B5 Silk Protein экстрасильной фиксации, 265 мл, GG</t>
  </si>
  <si>
    <t xml:space="preserve">Hairspray PROFESSIONAL TOUCH Pro vitamin B5 Silk Protein extra strong hold, 265 ml, Gatter group </t>
  </si>
  <si>
    <t>ER-00013407</t>
  </si>
  <si>
    <t>Пена для бритья SPORT STAR Normal мужская, 200 мл, GG</t>
  </si>
  <si>
    <t xml:space="preserve">Shaving foam SPORT STAR Normal for normal skin with multivitamins, 200 ml, Gatter group </t>
  </si>
  <si>
    <t>Пена для бритья SPORT STAR Sensitive мужская, 200 мл, GG</t>
  </si>
  <si>
    <t xml:space="preserve">Shaving foam SPORT STAR Sensеtive for sensitive skin with menthol, 200 ml, Gatter group </t>
  </si>
  <si>
    <t>Пена для бритья SPORT STAR Regular мужская, 200 мл, GG</t>
  </si>
  <si>
    <t xml:space="preserve">Shaving foam SPORT STAR Regular for all types of skin, 200 ml, Gatter group </t>
  </si>
  <si>
    <t>Антистатик VERTI Velon, 200 мл</t>
  </si>
  <si>
    <t>Antistatic Verti VELON, 200 ml</t>
  </si>
  <si>
    <t>Пена для бритья ENDEAVOR Sensitive для чувствительной кожи, 200 мл, С</t>
  </si>
  <si>
    <t>Shaving foam ENDEAVOR Sensitive for sensitive skin, 200 ml, Sl</t>
  </si>
  <si>
    <t>ER-00013459</t>
  </si>
  <si>
    <t>Лак для волос NATURA SIBERICA Ice сильная фиксация, 300 мл, 2</t>
  </si>
  <si>
    <t>Hairspray ICE by Natura Siberica strong hold, 300 ml, 2</t>
  </si>
  <si>
    <t>ER-00013460</t>
  </si>
  <si>
    <t>Лак для волос NATURA SIBERICA Ice экстрасильная фиксация, 300 мл, 2</t>
  </si>
  <si>
    <t>Hairspray ICE by Natura Siberica extra strong hold, 300 ml, 2</t>
  </si>
  <si>
    <t>Освежитель воздуха FLOWER SHOP Клубника и орхидея, 300 мл, N</t>
  </si>
  <si>
    <t>Air freshener FLOWER SHOP Strawberry and Orchid, 300 ml, N</t>
  </si>
  <si>
    <t>ER-00012865</t>
  </si>
  <si>
    <t>Освежитель воздуха FLOWER SHOP Клубника и орхидея, 300 мл, N, С</t>
  </si>
  <si>
    <t>Air freshener FLOWER SHOP Strawberry and Orchid, 300 ml, N, Sl</t>
  </si>
  <si>
    <t>Освежитель воздуха FLOWER SHOP Морские минералы, 300 мл, N</t>
  </si>
  <si>
    <t>Air freshener FLOWER SHOP Morse minerals, 300 ml, N</t>
  </si>
  <si>
    <t>ER-00012866</t>
  </si>
  <si>
    <t>Освежитель воздуха FLOWER SHOP Морские минералы, 300 мл, N, С</t>
  </si>
  <si>
    <t>Air freshener FLOWER SHOP Morse minerals, 300 ml, N, Sl</t>
  </si>
  <si>
    <t>Освежитель воздуха FLOWER SHOP Антитабак, 300 мл, N</t>
  </si>
  <si>
    <t>Air freshener FLOWER SHOP Antitabacco, 300 ml, N</t>
  </si>
  <si>
    <t>ER-00013471</t>
  </si>
  <si>
    <t>Освежитель воздуха AIR WICK Freshmatic Noel Air Wick Розмарин&amp;Пихта&amp;Корица, 250 мл</t>
  </si>
  <si>
    <t>Air freshener AIR WICK Freshmatic Rosemary&amp;Fir tree&amp;Cinnamon, 250 ml, Winter</t>
  </si>
  <si>
    <t>ER-00013481</t>
  </si>
  <si>
    <t>Спрей-пудра NATURA SIBERICA Ice Professional для объема волос, 200 мл</t>
  </si>
  <si>
    <t>Spray-powder for hair ICE by Natura Siberica, 200 ml</t>
  </si>
  <si>
    <t>ER-00013492</t>
  </si>
  <si>
    <t>Дезодорант MORIKI TEENS Цветочный микс, 75 мл</t>
  </si>
  <si>
    <t>Body Deodorant MORIKI TEENS Floral Mix, 75 ml</t>
  </si>
  <si>
    <t>ER-00013493</t>
  </si>
  <si>
    <t>Дезодорант MORIKI TEENS Свежесть лайма, 75 мл</t>
  </si>
  <si>
    <t>Body Deodorant MORIKI DORIKI Lime Freshness, 75 ml</t>
  </si>
  <si>
    <t>ER-00013495</t>
  </si>
  <si>
    <t>Освежитель воздуха GREEN COLLECTION BY PROVENCE Бодрящий лайм, 300 мл, С</t>
  </si>
  <si>
    <t>Air freshener GREEN COLLECTION BY PROVENCE Invigorating Lime, 300 ml, Sl</t>
  </si>
  <si>
    <t>ER-00013507</t>
  </si>
  <si>
    <t>Освежитель воздуха GREEN COLLECTION BY PROVENCE Бодрящий лайм, 300 мл, С, GG</t>
  </si>
  <si>
    <t>ER-00013945</t>
  </si>
  <si>
    <t>Освежитель воздуха GREEN COLLECTION BY PROVENCE Бодрящий лайм, 300 мл, С, GG, n</t>
  </si>
  <si>
    <t>ER-00013508</t>
  </si>
  <si>
    <t>Освежитель воздуха БРЕФ Имбирный пряник с малиновым вареньем, 280 мл, LE</t>
  </si>
  <si>
    <t>Air freshener BREF Limited collection Gingerbread with raspberry jam, 280 ml</t>
  </si>
  <si>
    <t>ER-00013509</t>
  </si>
  <si>
    <t>Освежитель воздуха БРЕФ Карамельное яблоко с корицей, 280 мл, LE</t>
  </si>
  <si>
    <t>Air freshener BREF Limited collection Caramel apple with cinnamon, 280 ml</t>
  </si>
  <si>
    <t>ER-00013510</t>
  </si>
  <si>
    <t>Освежитель воздуха БРЕФ Спелый мандарин с можжевельником и клюквой, 280 мл, LE</t>
  </si>
  <si>
    <t>Air freshener BREF Limited collection Ripe tangerine with juniper and cranberry, 280 ml</t>
  </si>
  <si>
    <t>ER-00013542</t>
  </si>
  <si>
    <t>Освежитель воздуха GREEN COLLECTION BY PROVENCE Ягодное наслаждение, 250 мл, С, GG</t>
  </si>
  <si>
    <t>Air freshener GREEN COLLECTION BY PROVENCE Berry Delight, 250 ml, Sl, Gatter group</t>
  </si>
  <si>
    <t>ER-00013554</t>
  </si>
  <si>
    <t>Дезодорант EASYGLIDE Power мужской, 150 мл</t>
  </si>
  <si>
    <t xml:space="preserve"> Deodorant EASYGLIDE Power for Men, 150 ml</t>
  </si>
  <si>
    <t>FORMULA EASYGLIDE</t>
  </si>
  <si>
    <t>ER-00013555</t>
  </si>
  <si>
    <t>Дезодорант EASYGLIDE Monza мужской, 150 мл</t>
  </si>
  <si>
    <t xml:space="preserve"> Deodorant EASYGLIDE Monza for Men, 150 ml</t>
  </si>
  <si>
    <t>ER-00013556</t>
  </si>
  <si>
    <t>Дезодорант EASYGLIDE Bullring мужской, 150 мл</t>
  </si>
  <si>
    <t xml:space="preserve"> Deodorant EASYGLIDE Bullring for Men, 150 ml</t>
  </si>
  <si>
    <t>ER-00013557</t>
  </si>
  <si>
    <t>Дезодорант EASYGLIDE Arrow мужской, 150 мл</t>
  </si>
  <si>
    <t xml:space="preserve"> Deodorant EASYGLIDE Arrow for Men, 150 ml</t>
  </si>
  <si>
    <t>Дезодорант SPORT STAR Ice blue мужской, 175 мл, Ф</t>
  </si>
  <si>
    <t>Deodorant SPORT STAR Ice blue for men, 175 ml, F</t>
  </si>
  <si>
    <t>ER-00013574</t>
  </si>
  <si>
    <t>Дезодорант SPORT STAR Ice blue мужской, 175 мл, С, GG</t>
  </si>
  <si>
    <t>Deodorant SPORT STAR Ice blue man, 175 ml, S, GG</t>
  </si>
  <si>
    <t>Дезодорант КАЖДЫЙ ДЕНЬ Фруктовый женский, 150 мл, С</t>
  </si>
  <si>
    <t>Deodorant EVERY DAY Fruit woman, 150 ml, Sl</t>
  </si>
  <si>
    <t>ER-00013631</t>
  </si>
  <si>
    <t>Освежитель воздуха Магия аромата VERTI Terre des fleurs Черная ваниль, 280 мл</t>
  </si>
  <si>
    <t>Air freshener Magic of aroma VERTI Terre de fleurs Black vanilla, 280 ml</t>
  </si>
  <si>
    <t>ER-00013632</t>
  </si>
  <si>
    <t>Освежитель воздуха Магия аромата VERTI Terre des fleurs Цветы хлопка, 280 мл</t>
  </si>
  <si>
    <t>Air freshener Magic of aroma VERTI Terre de fleurs Cotton flowers, 280 ml</t>
  </si>
  <si>
    <t>ER-00013633</t>
  </si>
  <si>
    <t>Освежитель воздуха Магия аромата VERTI Terre des fleurs Белые цветы, 280 мл</t>
  </si>
  <si>
    <t>Air freshener Magic of aroma VERTI Terre de fleurs White flowers, 280 ml</t>
  </si>
  <si>
    <t>ER-00013634</t>
  </si>
  <si>
    <t>Освежитель воздуха Магия аромата VERTI Terre des fleurs Экзотическое наслаждение, 280 мл</t>
  </si>
  <si>
    <t>Air freshener Magic of aroma VERTI Terre de fleurs Exotic pleasure, 280 ml</t>
  </si>
  <si>
    <t>ER-00013635</t>
  </si>
  <si>
    <t>Освежитель воздуха Магия аромата VERTI Terre des fleurs Шепот леса, 280 мл</t>
  </si>
  <si>
    <t>Air freshener Magic of aroma VERTI Terre de fleurs Whisper of the forest, 280 ml</t>
  </si>
  <si>
    <t>ER-00013636</t>
  </si>
  <si>
    <t>Освежитель воздуха Магия аромата VERTI Terre des fleurs Морская свежесть, 280 мл</t>
  </si>
  <si>
    <t>Air freshener Magic of aroma VERTI Terre de fleurs Sea freshness, 280 ml</t>
  </si>
  <si>
    <t>00-00001763</t>
  </si>
  <si>
    <t>Дезодорант КАЖДЫЙ ДЕНЬ La Pariel фруктовый женский, 150 мл</t>
  </si>
  <si>
    <t>Deodorant EVERY DAY La Pariel Chic Fruit woman, 150 ml</t>
  </si>
  <si>
    <t>ER-00013757</t>
  </si>
  <si>
    <t>Мусс для душа USE IT Ягодный тирамису, 200 мл</t>
  </si>
  <si>
    <t>Shower Mousse USE IT Berry Tiramisu, 200 ml</t>
  </si>
  <si>
    <t>Shower mousse</t>
  </si>
  <si>
    <t>ER-00013758</t>
  </si>
  <si>
    <t>Мусс для душа USE IT Фруктовый смузи, 200 мл</t>
  </si>
  <si>
    <t>Shower Mousse USE IT Fruit Smoothie, 200 ml</t>
  </si>
  <si>
    <t>Дезодорант SPORT STAR Outpace мужской, 175 мл, Ф</t>
  </si>
  <si>
    <t>Deodorant SPORT STAR Outpace man, 175 ml, F</t>
  </si>
  <si>
    <t>Дезодорант SPORT STAR Ultra мужской, 175 мл, Ф</t>
  </si>
  <si>
    <t>Deodorant SPORT STAR Ultra man, 175 ml, F</t>
  </si>
  <si>
    <t>Пена для бритья EDISON для чувствительной кожи с витаминами, 300 мл, С</t>
  </si>
  <si>
    <t>Shaving foam EDISON for sensitive skin with vitamins, 300 ml, Sl</t>
  </si>
  <si>
    <t>Пена для бритья EDISON для всех типов кожи c алоэ вера, 300 мл, С</t>
  </si>
  <si>
    <t>Shaving foam EDISON all skin types with aloe vera, 300 ml, Sl</t>
  </si>
  <si>
    <t>Освежитель воздуха AIR PURE ALPEN Нежность хлопка, 300 мл, n</t>
  </si>
  <si>
    <t>Air freshener AIR PURE BY ALPEN Cotton softness, 300 ml, n</t>
  </si>
  <si>
    <t>ER-00013799</t>
  </si>
  <si>
    <t>Освежитель воздуха AIR PURE ALPEN Ландыш и жасмин, 300 мл, n</t>
  </si>
  <si>
    <t>Air freshener AIR PURE BY ALPEN Lily of the valley and jasmine, 300 ml, n</t>
  </si>
  <si>
    <t>Освежитель воздуха AIR PURE ALPEN Альпийское утро, 300 мл, n</t>
  </si>
  <si>
    <t>Air freshener AIR PURE BY ALPEN Alpine morning, 300 ml, n</t>
  </si>
  <si>
    <t>Освежитель воздуха AIR PURE ALPEN Манго и гранат, 300 мл, n</t>
  </si>
  <si>
    <t>Air freshener AIR PURE BY ALPEN Mango and pomegranate, 300 ml, n</t>
  </si>
  <si>
    <t>ER-00013802</t>
  </si>
  <si>
    <t>Освежитель воздуха AIR PURE ALPEN Голубая лагуна, 300 мл, n</t>
  </si>
  <si>
    <t>Air freshener AIR PURE BY ALPEN Blue Lagoon, 300 ml, n</t>
  </si>
  <si>
    <t>ER-00013803</t>
  </si>
  <si>
    <t>Освежитель воздуха AIR PURE ALPEN Антитабак, 300 мл, n</t>
  </si>
  <si>
    <t>Air freshener ALPEN Antitabacco, 300 ml, n</t>
  </si>
  <si>
    <t>ER-00013804</t>
  </si>
  <si>
    <t>Освежитель воздуха AIR PURE ALPEN Карибское море, 300 мл, n</t>
  </si>
  <si>
    <t>Air freshener ALPEN Caribbean sea, 300 ml, n</t>
  </si>
  <si>
    <t>Освежитель воздуха AIR PURE ALPEN Фиалковое поле, 300 мл, n</t>
  </si>
  <si>
    <t>Air freshener ALPEN Violet field, 300 ml, n</t>
  </si>
  <si>
    <t>Освежитель воздуха AIR PURE ALPEN Цветущая яблоня, 300 мл, n</t>
  </si>
  <si>
    <t>Air freshener ALPEN Blooming apple tree, 300 ml, n</t>
  </si>
  <si>
    <t>Освежитель воздуха AIR PURE ALPEN Солнечный апельсин, 300 мл, n</t>
  </si>
  <si>
    <t>Air freshener ALPEN Sunny Orange, 300 ml, n</t>
  </si>
  <si>
    <t>Освежитель воздуха AIR PURE ALPEN Лесные ягоды, 300 мл, n</t>
  </si>
  <si>
    <t>Air freshener ALPEN Berries, 300 ml, n</t>
  </si>
  <si>
    <t>Освежитель воздуха AIR PURE ALPEN Цветы после дождя, 300 мл, n</t>
  </si>
  <si>
    <t>Air freshener ALPEN Flowers After the rain, 300 ml, n</t>
  </si>
  <si>
    <t>ER-00013810</t>
  </si>
  <si>
    <t>Освежитель воздуха AIR PURE ALPEN Утренняя роса, 300 мл, n</t>
  </si>
  <si>
    <t>Air freshener ALPEN Morning dew, 300 ml, n</t>
  </si>
  <si>
    <t>Освежитель воздуха AIR PURE ALPEN Цитрусовая свежесть, 300 мл, n</t>
  </si>
  <si>
    <t>Air freshener ALPEN Citrus freshness, 300 ml, n</t>
  </si>
  <si>
    <t>ER-00013812</t>
  </si>
  <si>
    <t>Освежитель воздуха AIR PURE ALPEN Цветок магнолии, 300 мл, n</t>
  </si>
  <si>
    <t>Air freshener ALPEN Magnolia flower, 300 ml, n</t>
  </si>
  <si>
    <t>Освежитель воздуха AIR PURE ALPEN Весенний сад, 300 мл, n</t>
  </si>
  <si>
    <t>Air freshener ALPEN Spring forest, 300 ml, n</t>
  </si>
  <si>
    <t>Освежитель воздуха AIR PURE ALPEN Горный водопад, 300 мл, n</t>
  </si>
  <si>
    <t>Air freshener ALPEN Mountain watefall, 300 ml, n</t>
  </si>
  <si>
    <t>ER-00013815</t>
  </si>
  <si>
    <t>Освежитель воздуха GREEN COLLECTION BY PROVENCE Антитабак, 300 мл, n</t>
  </si>
  <si>
    <t>Air freshener GREEN COLLECTION BY PROVENCE Antitabacco, 300 ml, n</t>
  </si>
  <si>
    <t>ER-00013816</t>
  </si>
  <si>
    <t>Освежитель воздуха GREEN COLLECTION BY PROVENCE Нейтрализатор запахов, 300 мл, n</t>
  </si>
  <si>
    <t>Air freshener GREEN COLLECTION BY PROVENCE Odor neutralizer, 300 ml, n</t>
  </si>
  <si>
    <t>ER-00013817</t>
  </si>
  <si>
    <t>Освежитель воздуха GREEN COLLECTION BY PROVENCE После дождя, 300 мл, n</t>
  </si>
  <si>
    <t>Air freshener GREEN COLLECTION BY PROVENCE After the rain, 300 ml, n</t>
  </si>
  <si>
    <t>ER-00013819</t>
  </si>
  <si>
    <t>Освежитель воздуха GREEN COLLECTION BY PROVENCE Карибский лайм, 300 мл, n</t>
  </si>
  <si>
    <t>Air freshener GREEN COLLECTION BY PROVENCE Caribean lime, 300 ml, n</t>
  </si>
  <si>
    <t>ER-00013820</t>
  </si>
  <si>
    <t>Освежитель воздуха GREEN COLLECTION BY PROVENCE Солнечный апельсин, 300 мл, n</t>
  </si>
  <si>
    <t>Air freshener GREEN COLLECTION BY PROVENCE Sunny Orange, 300 ml, n</t>
  </si>
  <si>
    <t>ER-00013822</t>
  </si>
  <si>
    <t>Освежитель воздуха AIR PURE ALPEN Антитабак, 300 мл, С, n</t>
  </si>
  <si>
    <t>Air freshener ALPEN Antitabacco, 300 ml, Sl, n</t>
  </si>
  <si>
    <t>ER-00013823</t>
  </si>
  <si>
    <t>Освежитель воздуха AIR PURE ALPEN Цветок магнолии, 300 мл, С, n</t>
  </si>
  <si>
    <t>Air freshener ALPEN Magnolia flower, 300 ml, Sl, n</t>
  </si>
  <si>
    <t>ER-00013824</t>
  </si>
  <si>
    <t>Освежитель воздуха GREEN COLLECTION BY PROVENCE Бразильский карнавал, 300 мл, n</t>
  </si>
  <si>
    <t>Air freshener GREEN COLLECTION BY PROVENCE Brazilian Carnival, 300 ml, n</t>
  </si>
  <si>
    <t>ER-00013826</t>
  </si>
  <si>
    <t>Освежитель воздуха GREEN COLLECTION BY PROVENCE Антитабак, 300 мл, С, n</t>
  </si>
  <si>
    <t>Air freshener GREEN COLLECTION BY PROVENCE Antitabacco, 300 ml, Sl, n</t>
  </si>
  <si>
    <t>ER-00013830</t>
  </si>
  <si>
    <t>Освежитель воздуха GREEN COLLECTION BY PROVENCE После дождя, 300 мл, С, n</t>
  </si>
  <si>
    <t>Air freshener GREEN COLLECTION BY PROVENCE After the rain, 300 ml, Sl, n</t>
  </si>
  <si>
    <t>ER-00013832</t>
  </si>
  <si>
    <t>Освежитель воздуха GREEN COLLECTION BY PROVENCE Солнечный апельсин, 300 мл, С, n</t>
  </si>
  <si>
    <t>Air freshener GREEN COLLECTION BY PROVENCE Sunny Orange, 300 ml, SL, n</t>
  </si>
  <si>
    <t>ER-00013835</t>
  </si>
  <si>
    <t>Освежитель воздуха GREEN COLLECTION BY PROVENCE Крымские каникулы, 300 мл, С, n</t>
  </si>
  <si>
    <t>Air freshener GREEN COLLECTION BY PROVENCE Crimean holidays, 300 ml, Sl, n</t>
  </si>
  <si>
    <t>ER-00013838</t>
  </si>
  <si>
    <t>Освежитель воздуха GREEN COLLECTION BY PROVENCE Ягодное наслаждение, 300 мл, С, n</t>
  </si>
  <si>
    <t>Air freshener GREEN COLLECTION BY PROVENCE Berry Delight, 300 ml, C, n</t>
  </si>
  <si>
    <t>ER-00013841</t>
  </si>
  <si>
    <t>Освежитель воздуха НУЖНЫЕ ВЕЩИ Нежная фрезия, 300 мл, N, С</t>
  </si>
  <si>
    <t>Air freshener NUZHNIE VESHI Gentle freesia, 300 ml, N, C</t>
  </si>
  <si>
    <t>ER-00013842</t>
  </si>
  <si>
    <t>Освежитель воздуха НУЖНЫЕ ВЕЩИ Ванильный уют, 300 мл, N, С</t>
  </si>
  <si>
    <t>Air freshener NUZHNIE VESHI Vanilla comfort, 300 ml, N, C</t>
  </si>
  <si>
    <t>ER-00013843</t>
  </si>
  <si>
    <t>Освежитель воздуха GREEN COLLECTION BY PROVENCE Фруктовый десерт, 300 мл, С, n</t>
  </si>
  <si>
    <t>Air freshener GREEN COLLECTION BY PROVENCE Fruit dessert, 300 ml, Sl, n</t>
  </si>
  <si>
    <t>ER-00013846</t>
  </si>
  <si>
    <t>Освежитель воздуха GREEN COLLECTION BY PROVENCE Бодрящий лайм, 300 мл, n</t>
  </si>
  <si>
    <t>Air freshener GREEN COLLECTION BY PROVENCE Invigorating Lime, 300 ml, n</t>
  </si>
  <si>
    <t>ER-00013847</t>
  </si>
  <si>
    <t>Освежитель воздуха GREEN COLLECTION BY PROVENCE Бодрящий лайм, 300 мл, С, n</t>
  </si>
  <si>
    <t>Air freshener GREEN COLLECTION BY PROVENCE Invigorating Lime, 300 ml, Sl, n</t>
  </si>
  <si>
    <t>ER-00013850</t>
  </si>
  <si>
    <t>Освежитель воздуха GREEN COLLECTION BY PROVENCE Гранатовый лимонад, 300 мл, n</t>
  </si>
  <si>
    <t>Air freshener GREEN COLLECTION BY PROVENCE Pomegranate Lemonade, 300 ml, n</t>
  </si>
  <si>
    <t>ER-00013851</t>
  </si>
  <si>
    <t>Освежитель воздуха GREEN COLLECTION BY PROVENCE Гранатовый лимонад, 300 мл, С, n</t>
  </si>
  <si>
    <t>Air freshener GREEN COLLECTION BY PROVENCE Pomegranate Lemonade, 300 ml, Sl, n</t>
  </si>
  <si>
    <t>ER-00013854</t>
  </si>
  <si>
    <t>Освежитель воздуха GREEN COLLECTION BY PROVENCE Лазурные Альпы, 300 мл, n</t>
  </si>
  <si>
    <t>Air freshener GREEN COLLECTION BY PROVENCE Azure Alps, 300 ml, n</t>
  </si>
  <si>
    <t>ER-00013855</t>
  </si>
  <si>
    <t>Освежитель воздуха GREEN COLLECTION BY PROVENCE Лазурные Альпы, 300 мл, С, n</t>
  </si>
  <si>
    <t>Air freshener GREEN COLLECTION BY PROVENCE Azure Alps, 300 ml, Sl, n</t>
  </si>
  <si>
    <t>ER-00013858</t>
  </si>
  <si>
    <t>Освежитель воздуха GREEN COLLECTION BY PROVENCE Морская ривьера, 300 мл, n</t>
  </si>
  <si>
    <t>Air freshener GREEN COLLECTION BY PROVENCE Maritime Riviera, 300 ml, n</t>
  </si>
  <si>
    <t>ER-00013859</t>
  </si>
  <si>
    <t>Освежитель воздуха GREEN COLLECTION BY PROVENCE Морская ривьера, 300 мл, С, n</t>
  </si>
  <si>
    <t>Air freshener GREEN COLLECTION BY PROVENCE Maritime Riviera, 300 ml. Sl, n</t>
  </si>
  <si>
    <t>ER-00013862</t>
  </si>
  <si>
    <t>Освежитель воздуха GREEN COLLECTION BY PROVENCE Нежный пион, 300 мл, n</t>
  </si>
  <si>
    <t>Air freshener GREEN COLLECTION BY PROVENCE Delicate peony, 300 ml, n</t>
  </si>
  <si>
    <t>ER-00013863</t>
  </si>
  <si>
    <t>Освежитель воздуха GREEN COLLECTION BY PROVENCE Нежный пион, 300 мл, С, n</t>
  </si>
  <si>
    <t>Air freshener GREEN COLLECTION BY PROVENCE Delicate peony, 300 ml, Sl, n</t>
  </si>
  <si>
    <t>ER-00013866</t>
  </si>
  <si>
    <t>Освежитель воздуха GREEN COLLECTION BY PROVENCE Сирень и лаванда, 300 мл, n</t>
  </si>
  <si>
    <t>Air freshener GREEN COLLECTION BY PROVENCE Lilac and lavender, 300 ml, n</t>
  </si>
  <si>
    <t>ER-00013867</t>
  </si>
  <si>
    <t>Освежитель воздуха GREEN COLLECTION BY PROVENCE Сирень и лаванда, 300 мл, C, n</t>
  </si>
  <si>
    <t>Air freshener GREEN COLLECTION BY PROVENCE Lilac and lavender, 300 ml, Sl, n</t>
  </si>
  <si>
    <t>ER-00013870</t>
  </si>
  <si>
    <t>Освежитель воздуха GREEN COLLECTION BY PROVENCE Фруктовый десерт, 300 мл, n</t>
  </si>
  <si>
    <t>Air freshener GREEN COLLECTION BY PROVENCE Fruit dessert, 300 ml, n</t>
  </si>
  <si>
    <t>ER-00013871</t>
  </si>
  <si>
    <t>Освежитель воздуха GREEN COLLECTION BY PROVENCE Цветущий прованс, 300 мл, n</t>
  </si>
  <si>
    <t>Air freshener GREEN COLLECTION BY PROVENCE Blooming Provence, 300 ml, n</t>
  </si>
  <si>
    <t>ER-00013872</t>
  </si>
  <si>
    <t>Освежитель воздуха GREEN COLLECTION BY PROVENCE Цветущий прованс, 300 мл, С, n</t>
  </si>
  <si>
    <t>Air freshener GREEN COLLECTION BY PROVENCE Blooming Provence, 300 ml, Sl, n</t>
  </si>
  <si>
    <t>ER-00013875</t>
  </si>
  <si>
    <t>Освежитель воздуха GREEN COLLECTION BY PROVENCE Имбирь и ваниль, 300 мл, n</t>
  </si>
  <si>
    <t>Air freshener GREEN COLLECTION BY PROVENCE Ginger and vanila, 300 ml, n</t>
  </si>
  <si>
    <t>ER-00013876</t>
  </si>
  <si>
    <t>Освежитель воздуха GREEN COLLECTION BY PROVENCE Имбирь и ваниль, 300 мл, С, n</t>
  </si>
  <si>
    <t>Air freshener GREEN COLLECTION BY PROVENCE Ginger and vanila, 250 ml, Sl, n</t>
  </si>
  <si>
    <t>ER-00013885</t>
  </si>
  <si>
    <t>Освежитель воздуха AIR PURE ALPEN Утренняя роса, 300 мл, C, n</t>
  </si>
  <si>
    <t>Air freshener ALPEN Morning dew, 300 ml, Sl, n</t>
  </si>
  <si>
    <t>ER-00013934</t>
  </si>
  <si>
    <t>Освежитель воздуха GREEN COLLECTION BY PROVENCE Крымские каникулы, 300 мл, n</t>
  </si>
  <si>
    <t>Air freshener GREEN COLLECTION BY PROVENCE Crimean holidays, 300 ml, n</t>
  </si>
  <si>
    <t>This is the speed at which a line produces a particular product</t>
  </si>
  <si>
    <t>This is the time that spends on reconfiguring the line from one product to another</t>
  </si>
  <si>
    <t>This is the time the packaging line stops for employees to have a meal. We try not to shut down the line during lunch breaks, but rather to rotate staff.</t>
  </si>
  <si>
    <t>This is the time for stops that are not dependent on the line personnel (fire alarm, training, pre-planned repairs, sorting out the original defective parts, etc.)</t>
  </si>
  <si>
    <t>This is the time from the start of the transition to a product until the last can of this product leaves the line.</t>
  </si>
  <si>
    <t>This is the number of cans that have defects before they reach the packaging line.</t>
  </si>
  <si>
    <t>This is a defect in the cans that occurred during the production process (including during the setup of equipment for this product)</t>
  </si>
  <si>
    <t>This is the number of cans with the finished product that the laboratory takes for arbitration storage.</t>
  </si>
  <si>
    <t>A production efficiency indicator based on availability and productivity</t>
  </si>
  <si>
    <t>Quality-based performance indicator</t>
  </si>
  <si>
    <t>An overall performance indicator based on the combination of availability, productivity, quality</t>
  </si>
  <si>
    <t>That's how much is planned to be produced</t>
  </si>
  <si>
    <t>That's how much they actually produced</t>
  </si>
  <si>
    <t>sorting of initial defective cans</t>
  </si>
  <si>
    <t>repair of the watermeter in the mixing area</t>
  </si>
  <si>
    <t>waiting for the cap from the plastics area</t>
  </si>
  <si>
    <t>waiting for the tank to become free for preparing the active product mixture</t>
  </si>
  <si>
    <t>repackaging of cylinders with stickers</t>
  </si>
  <si>
    <t>waiting for the second batch of active product to be prepared</t>
  </si>
  <si>
    <t>waiting for the cans to arrive</t>
  </si>
  <si>
    <t>warming up a gas mashine in cold weather</t>
  </si>
  <si>
    <t>cloudy active product/flakes/remixed</t>
  </si>
  <si>
    <t>the alcogol meter broke</t>
  </si>
  <si>
    <t>the controller of the capping machine burned out</t>
  </si>
  <si>
    <t>the initial defective cans were removed from the line</t>
  </si>
  <si>
    <t>The packers went to assemble the mixes</t>
  </si>
  <si>
    <t>waiting for the fragrance, preparing the mixture</t>
  </si>
  <si>
    <t>waited for the slivered cans</t>
  </si>
  <si>
    <t>during lunch, they replaced the team from another line</t>
  </si>
  <si>
    <t>repackaging of old products</t>
  </si>
  <si>
    <t>Initial defective cans, %</t>
  </si>
  <si>
    <t>Manufacturing defects of cans, %</t>
  </si>
  <si>
    <t>Number of cans taken by the laboratory for arbitration storage, %</t>
  </si>
  <si>
    <t>mix</t>
  </si>
  <si>
    <t>The packaging shop operates daily for 725 minutes, 7 days a week</t>
  </si>
  <si>
    <t>Target line productivity rate per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</si>
</sst>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.00_р_._-;\-* #,##0.00_р_._-;_-* &quot;-&quot;??_р_._-;_-@_-"/>
  </numFmts>
  <fonts count="38" x14ac:knownFonts="1">
    <font>
      <sz val="11"/>
      <color theme="1"/>
      <name val="Aptos Narrow"/>
      <family val="2"/>
      <charset val="204"/>
      <scheme val="minor"/>
    </font>
    <font>
      <b/>
      <sz val="12"/>
      <color rgb="FF000000"/>
      <name val="Calibri"/>
      <family val="2"/>
      <charset val="204"/>
    </font>
    <font>
      <sz val="12"/>
      <name val="Calibri"/>
      <family val="2"/>
      <charset val="204"/>
    </font>
    <font>
      <b/>
      <sz val="12"/>
      <color rgb="FF7030A0"/>
      <name val="Calibri"/>
      <family val="2"/>
      <charset val="204"/>
    </font>
    <font>
      <b/>
      <sz val="12"/>
      <color rgb="FF00B050"/>
      <name val="Calibri"/>
      <family val="2"/>
      <charset val="204"/>
    </font>
    <font>
      <sz val="12"/>
      <color rgb="FF000000"/>
      <name val="Calibri"/>
      <family val="2"/>
      <charset val="204"/>
    </font>
    <font>
      <sz val="12"/>
      <color theme="1"/>
      <name val="Aptos Narrow"/>
      <family val="2"/>
      <charset val="204"/>
      <scheme val="minor"/>
    </font>
    <font>
      <b/>
      <sz val="12"/>
      <color rgb="FF00B050"/>
      <name val="Aptos Narrow"/>
      <family val="2"/>
      <charset val="204"/>
      <scheme val="minor"/>
    </font>
    <font>
      <b/>
      <sz val="12"/>
      <color rgb="FFFF0000"/>
      <name val="Calibri"/>
      <family val="2"/>
      <charset val="204"/>
    </font>
    <font>
      <b/>
      <sz val="12"/>
      <name val="Calibri"/>
      <family val="2"/>
      <charset val="204"/>
    </font>
    <font>
      <b/>
      <sz val="12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8"/>
      <name val="Arial"/>
      <family val="2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8"/>
      <color indexed="18"/>
      <name val="Cambria"/>
      <family val="1"/>
      <charset val="204"/>
    </font>
    <font>
      <b/>
      <sz val="15"/>
      <color indexed="18"/>
      <name val="Calibri"/>
      <family val="2"/>
      <charset val="204"/>
    </font>
    <font>
      <b/>
      <sz val="13"/>
      <color indexed="18"/>
      <name val="Calibri"/>
      <family val="2"/>
      <charset val="204"/>
    </font>
    <font>
      <b/>
      <sz val="11"/>
      <color indexed="18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16"/>
      <name val="Calibri"/>
      <family val="2"/>
      <charset val="204"/>
    </font>
    <font>
      <sz val="11"/>
      <color indexed="1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13"/>
      <name val="Calibri"/>
      <family val="2"/>
      <charset val="204"/>
    </font>
    <font>
      <sz val="11"/>
      <color indexed="13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theme="1"/>
      <name val="Aptos Narrow"/>
      <family val="2"/>
      <scheme val="minor"/>
    </font>
    <font>
      <sz val="10"/>
      <name val="Arial Cyr"/>
      <family val="2"/>
      <charset val="204"/>
    </font>
    <font>
      <sz val="10"/>
      <name val="Arial Cyr"/>
      <charset val="204"/>
    </font>
    <font>
      <sz val="12"/>
      <color rgb="FF002060"/>
      <name val="Calibri"/>
      <family val="2"/>
      <charset val="204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21"/>
      </patternFill>
    </fill>
    <fill>
      <patternFill patternType="solid">
        <fgColor indexed="20"/>
      </patternFill>
    </fill>
    <fill>
      <patternFill patternType="solid">
        <fgColor indexed="15"/>
      </patternFill>
    </fill>
    <fill>
      <patternFill patternType="solid">
        <fgColor indexed="18"/>
      </patternFill>
    </fill>
    <fill>
      <patternFill patternType="solid">
        <fgColor indexed="10"/>
      </patternFill>
    </fill>
    <fill>
      <patternFill patternType="solid">
        <fgColor indexed="23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1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1"/>
      </bottom>
      <diagonal/>
    </border>
    <border>
      <left/>
      <right/>
      <top style="thin">
        <color indexed="18"/>
      </top>
      <bottom style="double">
        <color indexed="1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12">
    <xf numFmtId="0" fontId="0" fillId="0" borderId="0"/>
    <xf numFmtId="0" fontId="12" fillId="0" borderId="0"/>
    <xf numFmtId="0" fontId="17" fillId="0" borderId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6" borderId="0" applyNumberFormat="0" applyBorder="0" applyAlignment="0" applyProtection="0"/>
    <xf numFmtId="0" fontId="32" fillId="8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4" borderId="0" applyNumberFormat="0" applyBorder="0" applyAlignment="0" applyProtection="0"/>
    <xf numFmtId="0" fontId="25" fillId="6" borderId="3" applyNumberFormat="0" applyAlignment="0" applyProtection="0"/>
    <xf numFmtId="0" fontId="26" fillId="6" borderId="4" applyNumberFormat="0" applyAlignment="0" applyProtection="0"/>
    <xf numFmtId="0" fontId="27" fillId="6" borderId="3" applyNumberFormat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8" applyNumberFormat="0" applyFill="0" applyAlignment="0" applyProtection="0"/>
    <xf numFmtId="0" fontId="29" fillId="15" borderId="9" applyNumberFormat="0" applyAlignment="0" applyProtection="0"/>
    <xf numFmtId="0" fontId="18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13" fillId="0" borderId="0"/>
    <xf numFmtId="0" fontId="23" fillId="6" borderId="0" applyNumberFormat="0" applyBorder="0" applyAlignment="0" applyProtection="0"/>
    <xf numFmtId="0" fontId="31" fillId="0" borderId="0" applyNumberFormat="0" applyFill="0" applyBorder="0" applyAlignment="0" applyProtection="0"/>
    <xf numFmtId="0" fontId="11" fillId="7" borderId="10" applyNumberFormat="0" applyFont="0" applyAlignment="0" applyProtection="0"/>
    <xf numFmtId="0" fontId="28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3" fillId="0" borderId="0"/>
    <xf numFmtId="0" fontId="26" fillId="0" borderId="8" applyNumberFormat="0" applyFill="0" applyAlignment="0" applyProtection="0"/>
    <xf numFmtId="0" fontId="11" fillId="7" borderId="10" applyNumberFormat="0" applyFont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1" fillId="0" borderId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33" fillId="0" borderId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0" fontId="13" fillId="0" borderId="0"/>
    <xf numFmtId="0" fontId="13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13" fillId="0" borderId="0" applyFont="0" applyFill="0" applyBorder="0" applyAlignment="0" applyProtection="0"/>
    <xf numFmtId="0" fontId="16" fillId="0" borderId="0"/>
    <xf numFmtId="44" fontId="1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1" fillId="0" borderId="0"/>
  </cellStyleXfs>
  <cellXfs count="42">
    <xf numFmtId="0" fontId="0" fillId="0" borderId="0" xfId="0"/>
    <xf numFmtId="0" fontId="4" fillId="0" borderId="1" xfId="0" applyFont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3" fontId="6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13" fillId="4" borderId="2" xfId="1" applyFont="1" applyFill="1" applyBorder="1" applyAlignment="1">
      <alignment vertical="top" wrapText="1"/>
    </xf>
    <xf numFmtId="0" fontId="14" fillId="0" borderId="2" xfId="1" applyFont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14" fillId="5" borderId="2" xfId="1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center"/>
    </xf>
    <xf numFmtId="0" fontId="6" fillId="0" borderId="1" xfId="0" applyFont="1" applyBorder="1"/>
    <xf numFmtId="3" fontId="36" fillId="3" borderId="12" xfId="2" applyNumberFormat="1" applyFont="1" applyFill="1" applyBorder="1" applyAlignment="1">
      <alignment horizontal="center" vertical="center"/>
    </xf>
    <xf numFmtId="3" fontId="36" fillId="0" borderId="12" xfId="2" applyNumberFormat="1" applyFont="1" applyBorder="1" applyAlignment="1">
      <alignment horizontal="center" vertical="center"/>
    </xf>
    <xf numFmtId="3" fontId="36" fillId="3" borderId="15" xfId="2" applyNumberFormat="1" applyFont="1" applyFill="1" applyBorder="1" applyAlignment="1">
      <alignment horizontal="center" vertical="center"/>
    </xf>
    <xf numFmtId="3" fontId="36" fillId="3" borderId="1" xfId="2" applyNumberFormat="1" applyFont="1" applyFill="1" applyBorder="1" applyAlignment="1">
      <alignment horizontal="center" vertical="center"/>
    </xf>
    <xf numFmtId="3" fontId="36" fillId="0" borderId="1" xfId="2" applyNumberFormat="1" applyFont="1" applyBorder="1" applyAlignment="1">
      <alignment horizontal="center" vertical="center"/>
    </xf>
    <xf numFmtId="3" fontId="36" fillId="3" borderId="13" xfId="2" applyNumberFormat="1" applyFont="1" applyFill="1" applyBorder="1" applyAlignment="1">
      <alignment horizontal="center" vertical="center"/>
    </xf>
    <xf numFmtId="3" fontId="36" fillId="0" borderId="14" xfId="2" applyNumberFormat="1" applyFont="1" applyBorder="1" applyAlignment="1">
      <alignment horizontal="center" vertical="center"/>
    </xf>
    <xf numFmtId="3" fontId="36" fillId="3" borderId="12" xfId="4211" applyNumberFormat="1" applyFont="1" applyFill="1" applyBorder="1" applyAlignment="1">
      <alignment horizontal="center" vertical="center"/>
    </xf>
    <xf numFmtId="3" fontId="36" fillId="0" borderId="12" xfId="4211" applyNumberFormat="1" applyFont="1" applyBorder="1" applyAlignment="1">
      <alignment horizontal="center" vertical="center"/>
    </xf>
    <xf numFmtId="3" fontId="36" fillId="0" borderId="14" xfId="4211" applyNumberFormat="1" applyFont="1" applyBorder="1" applyAlignment="1">
      <alignment horizontal="center" vertical="center"/>
    </xf>
    <xf numFmtId="3" fontId="36" fillId="3" borderId="14" xfId="4211" applyNumberFormat="1" applyFont="1" applyFill="1" applyBorder="1" applyAlignment="1">
      <alignment horizontal="center" vertical="center"/>
    </xf>
    <xf numFmtId="3" fontId="36" fillId="3" borderId="13" xfId="4211" applyNumberFormat="1" applyFont="1" applyFill="1" applyBorder="1" applyAlignment="1">
      <alignment horizontal="center" vertical="center"/>
    </xf>
    <xf numFmtId="3" fontId="36" fillId="3" borderId="1" xfId="4211" applyNumberFormat="1" applyFont="1" applyFill="1" applyBorder="1" applyAlignment="1">
      <alignment horizontal="center" vertical="center"/>
    </xf>
    <xf numFmtId="3" fontId="36" fillId="0" borderId="1" xfId="421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7" fillId="0" borderId="0" xfId="0" applyFont="1"/>
    <xf numFmtId="10" fontId="4" fillId="0" borderId="1" xfId="0" applyNumberFormat="1" applyFont="1" applyBorder="1" applyAlignment="1">
      <alignment horizontal="center" vertical="center"/>
    </xf>
    <xf numFmtId="10" fontId="6" fillId="0" borderId="0" xfId="0" applyNumberFormat="1" applyFont="1" applyAlignment="1">
      <alignment horizontal="center"/>
    </xf>
  </cellXfs>
  <cellStyles count="4212">
    <cellStyle name="0,0_x000d__x000a_NA_x000d__x000a_" xfId="2099" xr:uid="{9C1A32D2-345F-4F1A-BC4E-C870235F10B9}"/>
    <cellStyle name="0,0_x000d__x000a_NA_x000d__x000a_ 2" xfId="2100" xr:uid="{99AF59EE-0602-4A0B-B575-F21C6EF24005}"/>
    <cellStyle name="20% - Accent1 2" xfId="3" xr:uid="{A96F8050-7BB2-42B4-8371-C8D3F09BA74F}"/>
    <cellStyle name="20% - Accent2 2" xfId="4" xr:uid="{7C8A8C17-BC24-4033-850D-7590903C383E}"/>
    <cellStyle name="20% - Accent3 2" xfId="5" xr:uid="{64DB119D-2DFC-4CA5-903E-B09A1C6AA9D5}"/>
    <cellStyle name="20% - Accent4 2" xfId="6" xr:uid="{6E93D360-1ED9-4EFB-9A9E-C694166493B2}"/>
    <cellStyle name="20% - Accent5 2" xfId="7" xr:uid="{72F4E095-EB8B-4DE3-8F5B-E7A824171104}"/>
    <cellStyle name="20% - Accent6 2" xfId="8" xr:uid="{32DC3CB8-98AB-4278-8495-26B7FAADE115}"/>
    <cellStyle name="40% - Accent1 2" xfId="9" xr:uid="{9A697695-6B57-4B26-B312-33D34E965686}"/>
    <cellStyle name="40% - Accent2 2" xfId="10" xr:uid="{90BA919F-C1B2-4F74-95C1-B20BCA744E59}"/>
    <cellStyle name="40% - Accent3 2" xfId="11" xr:uid="{85C7336A-15D4-4528-94ED-DE5BD61FD9AC}"/>
    <cellStyle name="40% - Accent4 2" xfId="12" xr:uid="{94FA3304-6948-4A97-B91A-118ECF50D145}"/>
    <cellStyle name="40% - Accent5 2" xfId="13" xr:uid="{EB9BBC5A-B610-4171-9453-CE7D5F1001A8}"/>
    <cellStyle name="40% - Accent6 2" xfId="14" xr:uid="{2D0CF85F-A8F2-4DA0-AF3F-CD8DA91440D1}"/>
    <cellStyle name="60% - Accent1 2" xfId="15" xr:uid="{ECF0CD5A-5A43-4EE4-B72A-3F75EC2B7B60}"/>
    <cellStyle name="60% - Accent2 2" xfId="16" xr:uid="{1C6FDF40-F405-47CA-A20F-3F3F69130CDC}"/>
    <cellStyle name="60% - Accent3 2" xfId="17" xr:uid="{1B795B1C-23B8-4675-8F02-D5DF9EF119F9}"/>
    <cellStyle name="60% - Accent4 2" xfId="18" xr:uid="{874DAB3A-188A-40FE-A256-A04C5B426C18}"/>
    <cellStyle name="60% - Accent5 2" xfId="19" xr:uid="{4D019B10-B6C0-46E1-946E-4F362EFF155C}"/>
    <cellStyle name="60% - Accent6 2" xfId="20" xr:uid="{94A37CD3-5F67-483B-B292-7BBCE9E58817}"/>
    <cellStyle name="Accent1 2" xfId="21" xr:uid="{B5D18F2A-C63C-4FA4-B8CB-EA27BFE9F9E2}"/>
    <cellStyle name="Accent2 2" xfId="22" xr:uid="{859CCD15-3462-4F63-A50A-5D56677CF5B0}"/>
    <cellStyle name="Accent3 2" xfId="23" xr:uid="{C948EF3C-C0F8-4D39-AEEB-65AE57EB98F8}"/>
    <cellStyle name="Accent4 2" xfId="24" xr:uid="{32F049F8-AE20-487E-B6A9-AC6486F9B57E}"/>
    <cellStyle name="Accent5 2" xfId="25" xr:uid="{A2570DA8-B7DD-4347-9D4F-4CCD8EE59C89}"/>
    <cellStyle name="Accent6 2" xfId="26" xr:uid="{2DBFDF9E-975E-414E-A05D-B7FAAB6BB45F}"/>
    <cellStyle name="Bad 2" xfId="39" xr:uid="{9301199F-8B10-4F64-8135-DC59ACFB0C06}"/>
    <cellStyle name="Calculation 2" xfId="29" xr:uid="{ABDFD947-E08F-4EE0-ACA5-4BD081CA750E}"/>
    <cellStyle name="Check Cell 2" xfId="35" xr:uid="{B09D8CC7-BC0F-4A9E-82F1-01F02C428446}"/>
    <cellStyle name="Excel Built-in Normal" xfId="2101" xr:uid="{B7C108D2-4A76-498D-970E-F54933F6D630}"/>
    <cellStyle name="Explanatory Text 2" xfId="40" xr:uid="{9EE8A9DC-F6B2-42D1-A2C4-8F28C8CA6E8E}"/>
    <cellStyle name="Good 2" xfId="44" xr:uid="{F16B8538-74C9-45B7-AF94-27B70005FC41}"/>
    <cellStyle name="Heading 1 2" xfId="30" xr:uid="{8C03B88C-338F-4919-8172-E605AFA8C366}"/>
    <cellStyle name="Heading 2 2" xfId="31" xr:uid="{BD5C27C8-AF61-4B20-A553-D643B7C87F68}"/>
    <cellStyle name="Heading 3 2" xfId="32" xr:uid="{ADA2659F-7B3B-4B7F-BCF4-39088FB1C723}"/>
    <cellStyle name="Heading 4 2" xfId="33" xr:uid="{F06884DF-BEE9-4AD0-88FD-C749CD3FC58F}"/>
    <cellStyle name="Input 2" xfId="27" xr:uid="{B64D1899-79FE-456E-8D6D-C5D832E5BF5D}"/>
    <cellStyle name="Linked Cell 2" xfId="42" xr:uid="{628EDF8F-F84B-4659-AE33-EDEE29D4F54F}"/>
    <cellStyle name="Neutral 2" xfId="37" xr:uid="{621DA12D-3381-43A9-A023-C35E9A577477}"/>
    <cellStyle name="Normal 2" xfId="2" xr:uid="{709E88CF-1DAA-4B9F-9334-FC0ED54D6AF2}"/>
    <cellStyle name="Normal 3" xfId="4211" xr:uid="{E9D8BD10-C501-4244-A3D0-646270DAE452}"/>
    <cellStyle name="Note 2" xfId="41" xr:uid="{80C5AAD9-CD2D-4044-A4BA-5C446C1288EC}"/>
    <cellStyle name="Output 2" xfId="28" xr:uid="{DA362402-82C9-4660-9CE3-4891C6EA3A1E}"/>
    <cellStyle name="Title 2" xfId="36" xr:uid="{DF0F19DC-E1D2-409F-B84D-1BCB4AB9EAD5}"/>
    <cellStyle name="Total 2" xfId="34" xr:uid="{A7BD3A20-5587-4D13-95BB-9D12CA3137FD}"/>
    <cellStyle name="Warning Text 2" xfId="43" xr:uid="{3F7A28BA-2B7C-48AA-B395-13836897121B}"/>
    <cellStyle name="Денежный 2" xfId="2156" xr:uid="{6D65A708-E5C6-4719-99F9-91D2CA626BEE}"/>
    <cellStyle name="Итог 2" xfId="48" xr:uid="{C4451DEE-AECC-43AA-B626-51B1C06D6141}"/>
    <cellStyle name="Обычный" xfId="0" builtinId="0"/>
    <cellStyle name="Обычный 10" xfId="2102" xr:uid="{E0D2DBE4-1AAA-423D-B945-0D789E4CBD91}"/>
    <cellStyle name="Обычный 11" xfId="2103" xr:uid="{523F386C-00AC-4ED1-8A74-9C93108B1F4A}"/>
    <cellStyle name="Обычный 12" xfId="2104" xr:uid="{16028CCD-34C6-40B1-A6BA-817DC641A47C}"/>
    <cellStyle name="Обычный 13" xfId="2105" xr:uid="{BB33D8F6-4F75-447F-9196-3CCB190C5067}"/>
    <cellStyle name="Обычный 14" xfId="2106" xr:uid="{6C7B5558-113F-4C70-957E-434A5568C0C1}"/>
    <cellStyle name="Обычный 15" xfId="2107" xr:uid="{D40B11A5-2198-4D38-B095-BDA8D6C44907}"/>
    <cellStyle name="Обычный 16" xfId="2108" xr:uid="{6D24B7DD-AB52-4452-B434-CA486BC8F3F4}"/>
    <cellStyle name="Обычный 17" xfId="2109" xr:uid="{B7D8F32C-F65B-4FB1-B71C-276C9576B352}"/>
    <cellStyle name="Обычный 18" xfId="2110" xr:uid="{602B6C63-60D7-41EC-8CD8-47140DA4298D}"/>
    <cellStyle name="Обычный 19" xfId="2111" xr:uid="{D5C6553B-76CC-4F7E-B1E2-3D01AD1D17F7}"/>
    <cellStyle name="Обычный 2" xfId="38" xr:uid="{18844154-5259-4EF4-B96F-01D21F7E5900}"/>
    <cellStyle name="Обычный 2 2" xfId="47" xr:uid="{B1D37031-2CB5-4770-BB43-B2CEB7B414A1}"/>
    <cellStyle name="Обычный 2 3" xfId="2112" xr:uid="{87F68526-2992-496E-A09F-D01B71C24E28}"/>
    <cellStyle name="Обычный 2 3 2" xfId="2157" xr:uid="{3F92F17F-B90E-4409-912C-D14CCDF24BBC}"/>
    <cellStyle name="Обычный 20" xfId="2113" xr:uid="{9D274884-93BD-48C1-AAC5-6FC5C26EB115}"/>
    <cellStyle name="Обычный 21" xfId="2114" xr:uid="{E977256B-D1BD-4C54-940E-71E68C1F9D4B}"/>
    <cellStyle name="Обычный 22" xfId="2115" xr:uid="{8C342DB5-65D9-43F6-9A0F-C209411CFD49}"/>
    <cellStyle name="Обычный 23" xfId="2116" xr:uid="{EB06D7BD-E84B-43DE-9C37-A71E2745E50E}"/>
    <cellStyle name="Обычный 24" xfId="2117" xr:uid="{A26AE824-6747-4F72-B0F6-F78D20BD8B25}"/>
    <cellStyle name="Обычный 25" xfId="2118" xr:uid="{959A6D96-E9F1-4EA0-8FB6-798647DC9868}"/>
    <cellStyle name="Обычный 26" xfId="2119" xr:uid="{263D02F8-79B5-44B1-B13A-C9D4B7F673E8}"/>
    <cellStyle name="Обычный 27" xfId="2120" xr:uid="{0E18D6CF-ED22-4F28-8F80-F822041E3CAC}"/>
    <cellStyle name="Обычный 28" xfId="2121" xr:uid="{F26E0638-2A08-42DE-A563-EAA43902704F}"/>
    <cellStyle name="Обычный 29" xfId="2155" xr:uid="{79194625-4F97-43B4-80F0-9F17C9CDD563}"/>
    <cellStyle name="Обычный 29 2" xfId="2158" xr:uid="{A01B1DDA-145F-4FE0-AA5E-C9C9213DD209}"/>
    <cellStyle name="Обычный 3" xfId="45" xr:uid="{045B4BBC-0594-4428-A354-E0A4720F46D6}"/>
    <cellStyle name="Обычный 3 10" xfId="562" xr:uid="{8138A1BA-8F84-425B-88DE-1F5768467F21}"/>
    <cellStyle name="Обычный 3 10 2" xfId="1586" xr:uid="{7B74544B-1A45-4D41-8FFB-CC3A39869703}"/>
    <cellStyle name="Обычный 3 10 2 2" xfId="2159" xr:uid="{46CBFE2F-C2A3-4C6F-A691-D475AF6685E4}"/>
    <cellStyle name="Обычный 3 10 3" xfId="2160" xr:uid="{D483E9CF-4350-4916-B974-AEF4271FB7D8}"/>
    <cellStyle name="Обычный 3 11" xfId="1074" xr:uid="{4C579E15-D9F7-4051-B164-05F98B02D819}"/>
    <cellStyle name="Обычный 3 11 2" xfId="2161" xr:uid="{F0B03C4E-560C-444F-B38D-94741476E360}"/>
    <cellStyle name="Обычный 3 12" xfId="2122" xr:uid="{4812F2E3-DBD5-42C9-9DD8-0880136F3E3E}"/>
    <cellStyle name="Обычный 3 12 2" xfId="2162" xr:uid="{71884A84-BF60-4642-A89C-110AB2B2298F}"/>
    <cellStyle name="Обычный 3 13" xfId="2163" xr:uid="{596D0332-FDEB-4981-B5A6-33F0D7024293}"/>
    <cellStyle name="Обычный 3 2" xfId="50" xr:uid="{65C33C18-CD98-4AFB-AB56-0D1D476CA0C0}"/>
    <cellStyle name="Обычный 3 2 10" xfId="1076" xr:uid="{A3E4A19D-BF88-447A-9912-4C41965AFD79}"/>
    <cellStyle name="Обычный 3 2 10 2" xfId="2164" xr:uid="{67DB2797-096A-4D87-8584-C430E826C894}"/>
    <cellStyle name="Обычный 3 2 11" xfId="2165" xr:uid="{FE9F829D-7030-40D5-8562-329C893A2528}"/>
    <cellStyle name="Обычный 3 2 2" xfId="54" xr:uid="{B8C0BF6B-D995-4E38-859B-B89C35A89BAE}"/>
    <cellStyle name="Обычный 3 2 2 10" xfId="2166" xr:uid="{D1AC1E72-4BD3-4938-8B8C-C388BCBFE36F}"/>
    <cellStyle name="Обычный 3 2 2 2" xfId="63" xr:uid="{1218F1ED-7F66-4302-891F-6577CDCA1D1E}"/>
    <cellStyle name="Обычный 3 2 2 2 2" xfId="79" xr:uid="{503B4B3A-3CD3-4680-84EC-B5E29F38D736}"/>
    <cellStyle name="Обычный 3 2 2 2 2 2" xfId="112" xr:uid="{753CC844-F427-4209-AC47-75AC69145368}"/>
    <cellStyle name="Обычный 3 2 2 2 2 2 2" xfId="176" xr:uid="{A56BACD5-E00B-4BA2-96BA-E37BC23B1143}"/>
    <cellStyle name="Обычный 3 2 2 2 2 2 2 2" xfId="304" xr:uid="{2B6655C1-E182-4084-BEBE-996845F2C257}"/>
    <cellStyle name="Обычный 3 2 2 2 2 2 2 2 2" xfId="560" xr:uid="{CEC4D36A-CB86-4397-B77E-A87DC33BC244}"/>
    <cellStyle name="Обычный 3 2 2 2 2 2 2 2 2 2" xfId="1072" xr:uid="{C75A733E-BF16-4875-823A-4BD6700598AA}"/>
    <cellStyle name="Обычный 3 2 2 2 2 2 2 2 2 2 2" xfId="2096" xr:uid="{9FDA48FF-E58E-4284-98C9-C1710D0727C4}"/>
    <cellStyle name="Обычный 3 2 2 2 2 2 2 2 2 2 2 2" xfId="2167" xr:uid="{B68E7179-95D3-40A3-A12F-85551D733082}"/>
    <cellStyle name="Обычный 3 2 2 2 2 2 2 2 2 2 3" xfId="2168" xr:uid="{7BB6E85E-D893-4B66-85BF-1AC14037C860}"/>
    <cellStyle name="Обычный 3 2 2 2 2 2 2 2 2 3" xfId="1584" xr:uid="{09B62028-8D7A-470C-95E9-4EC37EE5E163}"/>
    <cellStyle name="Обычный 3 2 2 2 2 2 2 2 2 3 2" xfId="2169" xr:uid="{0953E9FC-F158-444F-ABA0-0CCFE5757A50}"/>
    <cellStyle name="Обычный 3 2 2 2 2 2 2 2 2 4" xfId="2170" xr:uid="{4EA8B552-1EF3-424F-A3ED-111B78951F77}"/>
    <cellStyle name="Обычный 3 2 2 2 2 2 2 2 3" xfId="816" xr:uid="{2E77B88D-B95A-468C-9D1D-510FE99370D2}"/>
    <cellStyle name="Обычный 3 2 2 2 2 2 2 2 3 2" xfId="1840" xr:uid="{F66ED82D-1ADF-4B93-90FC-1186825EB2C9}"/>
    <cellStyle name="Обычный 3 2 2 2 2 2 2 2 3 2 2" xfId="2171" xr:uid="{6525680C-A634-4B77-9340-1890630EB07D}"/>
    <cellStyle name="Обычный 3 2 2 2 2 2 2 2 3 3" xfId="2172" xr:uid="{A6F0EED0-A4C8-48AD-93E0-5BB76285F644}"/>
    <cellStyle name="Обычный 3 2 2 2 2 2 2 2 4" xfId="1328" xr:uid="{78A0C212-91D6-412E-B579-93EA6D969B26}"/>
    <cellStyle name="Обычный 3 2 2 2 2 2 2 2 4 2" xfId="2173" xr:uid="{1B59CE04-E19F-43BD-9B92-E10F9C021A8D}"/>
    <cellStyle name="Обычный 3 2 2 2 2 2 2 2 5" xfId="2174" xr:uid="{C3198703-F1BD-4EFD-BFC2-16F37E53B107}"/>
    <cellStyle name="Обычный 3 2 2 2 2 2 2 3" xfId="432" xr:uid="{E29D9281-0710-4C9D-84C7-A938BDCF1406}"/>
    <cellStyle name="Обычный 3 2 2 2 2 2 2 3 2" xfId="944" xr:uid="{C9385215-2203-4B2B-98A2-278338998542}"/>
    <cellStyle name="Обычный 3 2 2 2 2 2 2 3 2 2" xfId="1968" xr:uid="{D6FCF6C8-EC3E-40E3-B7D4-00557A0052CC}"/>
    <cellStyle name="Обычный 3 2 2 2 2 2 2 3 2 2 2" xfId="2175" xr:uid="{8E7EB753-80DC-4F74-BD48-74218D7ED423}"/>
    <cellStyle name="Обычный 3 2 2 2 2 2 2 3 2 3" xfId="2176" xr:uid="{83706179-F674-49CE-B686-C26D9CA4037E}"/>
    <cellStyle name="Обычный 3 2 2 2 2 2 2 3 3" xfId="1456" xr:uid="{7BAB92FF-185F-4AF0-B1BE-562D5FC1EB55}"/>
    <cellStyle name="Обычный 3 2 2 2 2 2 2 3 3 2" xfId="2177" xr:uid="{EFE7BBA3-97B9-4FF1-806B-C9FD133534DA}"/>
    <cellStyle name="Обычный 3 2 2 2 2 2 2 3 4" xfId="2178" xr:uid="{C1BC02E0-9F45-4F01-87DE-3195551CAB98}"/>
    <cellStyle name="Обычный 3 2 2 2 2 2 2 4" xfId="688" xr:uid="{020E1FEE-944A-48EF-8582-606C003D4A0E}"/>
    <cellStyle name="Обычный 3 2 2 2 2 2 2 4 2" xfId="1712" xr:uid="{8D8DCFC1-6229-457A-832C-1F30A83C6C4D}"/>
    <cellStyle name="Обычный 3 2 2 2 2 2 2 4 2 2" xfId="2179" xr:uid="{1989155B-E1BC-4BF9-9FB2-DEC59E669CBF}"/>
    <cellStyle name="Обычный 3 2 2 2 2 2 2 4 3" xfId="2180" xr:uid="{A0405C0B-74C7-4307-B3D5-8C5557C12311}"/>
    <cellStyle name="Обычный 3 2 2 2 2 2 2 5" xfId="1200" xr:uid="{FF78B2CA-5C51-4C9B-9459-ED3A46E71F56}"/>
    <cellStyle name="Обычный 3 2 2 2 2 2 2 5 2" xfId="2181" xr:uid="{A719EE4D-123D-4EFF-95DF-529AC7DF8193}"/>
    <cellStyle name="Обычный 3 2 2 2 2 2 2 6" xfId="2182" xr:uid="{B330DDE2-D155-4649-8054-083A86406780}"/>
    <cellStyle name="Обычный 3 2 2 2 2 2 3" xfId="240" xr:uid="{EADF3C36-D75A-4944-B049-B392D9C10CDA}"/>
    <cellStyle name="Обычный 3 2 2 2 2 2 3 2" xfId="496" xr:uid="{4F34D9B1-2037-4F36-A4E4-36E008664E29}"/>
    <cellStyle name="Обычный 3 2 2 2 2 2 3 2 2" xfId="1008" xr:uid="{8250BEA9-DF21-4876-988D-1D848E0AEE12}"/>
    <cellStyle name="Обычный 3 2 2 2 2 2 3 2 2 2" xfId="2032" xr:uid="{2072341D-3DAA-430F-B7FC-87EC6720D1F1}"/>
    <cellStyle name="Обычный 3 2 2 2 2 2 3 2 2 2 2" xfId="2183" xr:uid="{30FB22BC-30AA-4529-B11F-077872DAABAA}"/>
    <cellStyle name="Обычный 3 2 2 2 2 2 3 2 2 3" xfId="2184" xr:uid="{F822D7BB-A1A8-4705-B36F-ADAEDA172142}"/>
    <cellStyle name="Обычный 3 2 2 2 2 2 3 2 3" xfId="1520" xr:uid="{DDF81E39-B51D-4CE7-A1F0-B9D148248D81}"/>
    <cellStyle name="Обычный 3 2 2 2 2 2 3 2 3 2" xfId="2185" xr:uid="{FDECB160-7AD2-44E5-BB3B-F2DA2B78C64C}"/>
    <cellStyle name="Обычный 3 2 2 2 2 2 3 2 4" xfId="2186" xr:uid="{1ECCD640-1851-48AA-B410-E309A65799F9}"/>
    <cellStyle name="Обычный 3 2 2 2 2 2 3 3" xfId="752" xr:uid="{DC257456-900E-410F-B9A1-2DC12E54033B}"/>
    <cellStyle name="Обычный 3 2 2 2 2 2 3 3 2" xfId="1776" xr:uid="{83469BEB-1887-4CA8-A8DD-4C6E35DA0500}"/>
    <cellStyle name="Обычный 3 2 2 2 2 2 3 3 2 2" xfId="2187" xr:uid="{3AEAE738-F139-4493-91D4-F10CD2407980}"/>
    <cellStyle name="Обычный 3 2 2 2 2 2 3 3 3" xfId="2188" xr:uid="{2F70D2E1-B583-4EEE-9A4A-56DB8346EE6B}"/>
    <cellStyle name="Обычный 3 2 2 2 2 2 3 4" xfId="1264" xr:uid="{945CD30C-2509-4742-9C2A-60868E2C7F41}"/>
    <cellStyle name="Обычный 3 2 2 2 2 2 3 4 2" xfId="2189" xr:uid="{1BB0C9C8-DF0E-4BE2-9C6E-614FB7D7225E}"/>
    <cellStyle name="Обычный 3 2 2 2 2 2 3 5" xfId="2190" xr:uid="{272B61D6-37BE-47D3-AA66-630C89926F01}"/>
    <cellStyle name="Обычный 3 2 2 2 2 2 4" xfId="368" xr:uid="{46A2E14B-5F2F-4851-A451-12E464B1DBCF}"/>
    <cellStyle name="Обычный 3 2 2 2 2 2 4 2" xfId="880" xr:uid="{5EE2F281-054D-4BFA-9831-0E32B3C95615}"/>
    <cellStyle name="Обычный 3 2 2 2 2 2 4 2 2" xfId="1904" xr:uid="{43A10624-3728-4D7C-B04B-926626321D5D}"/>
    <cellStyle name="Обычный 3 2 2 2 2 2 4 2 2 2" xfId="2191" xr:uid="{A317B0F1-6DED-4123-99DF-F61E6935833C}"/>
    <cellStyle name="Обычный 3 2 2 2 2 2 4 2 3" xfId="2192" xr:uid="{C0A4A50D-93A2-4BC4-83DC-A44BEDF67433}"/>
    <cellStyle name="Обычный 3 2 2 2 2 2 4 3" xfId="1392" xr:uid="{C7414114-C26B-462E-ADEF-C7CB0357C565}"/>
    <cellStyle name="Обычный 3 2 2 2 2 2 4 3 2" xfId="2193" xr:uid="{FB691299-82A0-48FA-9084-195BDCD5BF7B}"/>
    <cellStyle name="Обычный 3 2 2 2 2 2 4 4" xfId="2194" xr:uid="{467AE759-BFE1-4E69-AAE1-018CC439AAD6}"/>
    <cellStyle name="Обычный 3 2 2 2 2 2 5" xfId="624" xr:uid="{1132BE41-15F3-4A56-93E4-CAB59A733AF7}"/>
    <cellStyle name="Обычный 3 2 2 2 2 2 5 2" xfId="1648" xr:uid="{4F3EB223-1817-4FA3-9CFF-BA47102D9C2C}"/>
    <cellStyle name="Обычный 3 2 2 2 2 2 5 2 2" xfId="2195" xr:uid="{0537C95D-12AB-4B70-A882-55358F9E93A4}"/>
    <cellStyle name="Обычный 3 2 2 2 2 2 5 3" xfId="2196" xr:uid="{E528FB6D-8C37-4DF9-804B-2970CCEFC908}"/>
    <cellStyle name="Обычный 3 2 2 2 2 2 6" xfId="1136" xr:uid="{CA455FB4-D31A-4120-ADF2-E3B8E481AF9C}"/>
    <cellStyle name="Обычный 3 2 2 2 2 2 6 2" xfId="2197" xr:uid="{144ACCFB-C58A-483C-B0BD-617F3C9A71D2}"/>
    <cellStyle name="Обычный 3 2 2 2 2 2 7" xfId="2198" xr:uid="{35342C6E-E375-4378-BA08-D637BE8AC9FE}"/>
    <cellStyle name="Обычный 3 2 2 2 2 3" xfId="144" xr:uid="{0B2A480B-4037-44C2-A83A-34C1A96CF3D5}"/>
    <cellStyle name="Обычный 3 2 2 2 2 3 2" xfId="272" xr:uid="{55B4937E-3340-4601-925B-41837A3083E0}"/>
    <cellStyle name="Обычный 3 2 2 2 2 3 2 2" xfId="528" xr:uid="{43C5B237-BA47-427E-BDCD-AABFC65CFEE3}"/>
    <cellStyle name="Обычный 3 2 2 2 2 3 2 2 2" xfId="1040" xr:uid="{0BDDEEDD-9B7D-499D-AEBC-230680F60D83}"/>
    <cellStyle name="Обычный 3 2 2 2 2 3 2 2 2 2" xfId="2064" xr:uid="{34E22CB0-581B-4433-955C-9A1A54F57117}"/>
    <cellStyle name="Обычный 3 2 2 2 2 3 2 2 2 2 2" xfId="2199" xr:uid="{301F17E2-1EAC-4936-B18E-8800B0000C80}"/>
    <cellStyle name="Обычный 3 2 2 2 2 3 2 2 2 3" xfId="2200" xr:uid="{55D41A53-41D8-4E6E-A6EC-52F69A2976D2}"/>
    <cellStyle name="Обычный 3 2 2 2 2 3 2 2 3" xfId="1552" xr:uid="{C950017D-EB27-41CC-839B-44CEAE838F7F}"/>
    <cellStyle name="Обычный 3 2 2 2 2 3 2 2 3 2" xfId="2201" xr:uid="{B33E71AE-9DBE-435C-9B40-953666E1E531}"/>
    <cellStyle name="Обычный 3 2 2 2 2 3 2 2 4" xfId="2202" xr:uid="{BD2D364F-D6E3-480D-84ED-5FDD21EB5942}"/>
    <cellStyle name="Обычный 3 2 2 2 2 3 2 3" xfId="784" xr:uid="{23A85375-903B-4A2D-9E9A-146421C2F20F}"/>
    <cellStyle name="Обычный 3 2 2 2 2 3 2 3 2" xfId="1808" xr:uid="{E65332E0-B505-4BCD-8D33-DE14B338A5EA}"/>
    <cellStyle name="Обычный 3 2 2 2 2 3 2 3 2 2" xfId="2203" xr:uid="{07575A65-3A05-4B03-BE12-777A8ECB4628}"/>
    <cellStyle name="Обычный 3 2 2 2 2 3 2 3 3" xfId="2204" xr:uid="{FD2A9E49-31FB-407D-9C8E-BEB25C2567EF}"/>
    <cellStyle name="Обычный 3 2 2 2 2 3 2 4" xfId="1296" xr:uid="{830AA734-B26F-494B-9CED-84258A25CC59}"/>
    <cellStyle name="Обычный 3 2 2 2 2 3 2 4 2" xfId="2205" xr:uid="{7992494A-D075-4EA6-900A-6A70CC5E68A1}"/>
    <cellStyle name="Обычный 3 2 2 2 2 3 2 5" xfId="2206" xr:uid="{1A1AF402-4B7A-4329-80A2-89708D342DAD}"/>
    <cellStyle name="Обычный 3 2 2 2 2 3 3" xfId="400" xr:uid="{9E394E5F-7DB5-4BE4-8F44-11931D9CADB8}"/>
    <cellStyle name="Обычный 3 2 2 2 2 3 3 2" xfId="912" xr:uid="{285FC0C8-6B50-4164-8849-8974CD7FB34C}"/>
    <cellStyle name="Обычный 3 2 2 2 2 3 3 2 2" xfId="1936" xr:uid="{727F4708-089C-4526-8742-E0DC1AA98097}"/>
    <cellStyle name="Обычный 3 2 2 2 2 3 3 2 2 2" xfId="2207" xr:uid="{029684AB-9F94-4328-AC7E-97737C23882C}"/>
    <cellStyle name="Обычный 3 2 2 2 2 3 3 2 3" xfId="2208" xr:uid="{7FAA3C49-6604-4AE9-80F7-173D6B85882A}"/>
    <cellStyle name="Обычный 3 2 2 2 2 3 3 3" xfId="1424" xr:uid="{60E1ECF0-F3C3-46A5-BB92-DEB6CC6DB231}"/>
    <cellStyle name="Обычный 3 2 2 2 2 3 3 3 2" xfId="2209" xr:uid="{5F209EF9-08B5-41F0-A3AF-991100BF503F}"/>
    <cellStyle name="Обычный 3 2 2 2 2 3 3 4" xfId="2210" xr:uid="{B80679EF-D2DD-4040-92F0-0C7AA57E9402}"/>
    <cellStyle name="Обычный 3 2 2 2 2 3 4" xfId="656" xr:uid="{0B380C66-5C42-4E67-A0F2-CC46E0A38F15}"/>
    <cellStyle name="Обычный 3 2 2 2 2 3 4 2" xfId="1680" xr:uid="{FE38B904-9C0B-42FF-AAB4-69D7B90E520F}"/>
    <cellStyle name="Обычный 3 2 2 2 2 3 4 2 2" xfId="2211" xr:uid="{CD7FFF74-583A-4C92-B061-EFEE14FE2BBC}"/>
    <cellStyle name="Обычный 3 2 2 2 2 3 4 3" xfId="2212" xr:uid="{9FF60F84-CA22-4F62-AADA-EA2C3BB45013}"/>
    <cellStyle name="Обычный 3 2 2 2 2 3 5" xfId="1168" xr:uid="{A21A153A-17A3-488B-B9A1-37A74C1F2911}"/>
    <cellStyle name="Обычный 3 2 2 2 2 3 5 2" xfId="2213" xr:uid="{2C82A36B-AB33-49EA-AC32-8373B319B8AA}"/>
    <cellStyle name="Обычный 3 2 2 2 2 3 6" xfId="2214" xr:uid="{0F2519A0-58D8-42C9-A0F0-9F3C322EB8CB}"/>
    <cellStyle name="Обычный 3 2 2 2 2 4" xfId="208" xr:uid="{FE560337-ED1F-4EDF-8106-CB32593D6A7E}"/>
    <cellStyle name="Обычный 3 2 2 2 2 4 2" xfId="464" xr:uid="{019AEBF6-801C-4174-88FD-246AB8DF5887}"/>
    <cellStyle name="Обычный 3 2 2 2 2 4 2 2" xfId="976" xr:uid="{95CEEB47-4D68-492A-9586-D1A1B3DF8891}"/>
    <cellStyle name="Обычный 3 2 2 2 2 4 2 2 2" xfId="2000" xr:uid="{635388B8-8F69-4F95-BDDA-66A886AABB1F}"/>
    <cellStyle name="Обычный 3 2 2 2 2 4 2 2 2 2" xfId="2215" xr:uid="{5896A178-0C9E-4E84-A4F9-503502AF7609}"/>
    <cellStyle name="Обычный 3 2 2 2 2 4 2 2 3" xfId="2216" xr:uid="{8B5CEEC6-B685-4934-B9E1-7CCE80B080A0}"/>
    <cellStyle name="Обычный 3 2 2 2 2 4 2 3" xfId="1488" xr:uid="{F1D10587-9087-42BE-A929-72D55893EAC9}"/>
    <cellStyle name="Обычный 3 2 2 2 2 4 2 3 2" xfId="2217" xr:uid="{8B6838F4-0862-4F28-98F9-D52D401F670F}"/>
    <cellStyle name="Обычный 3 2 2 2 2 4 2 4" xfId="2218" xr:uid="{5910F7F0-F0AA-43FA-A013-407C2613495A}"/>
    <cellStyle name="Обычный 3 2 2 2 2 4 3" xfId="720" xr:uid="{EE17FC43-BD06-4977-AF38-06534A0A93C3}"/>
    <cellStyle name="Обычный 3 2 2 2 2 4 3 2" xfId="1744" xr:uid="{E6799AAD-B50D-47EB-A1D5-03FFFD6FF304}"/>
    <cellStyle name="Обычный 3 2 2 2 2 4 3 2 2" xfId="2219" xr:uid="{E4E53A7D-A573-4DF4-AB95-5339D372BD2C}"/>
    <cellStyle name="Обычный 3 2 2 2 2 4 3 3" xfId="2220" xr:uid="{B5C3B9FA-EEDC-4785-AAC7-FD15D9A0DE00}"/>
    <cellStyle name="Обычный 3 2 2 2 2 4 4" xfId="1232" xr:uid="{F8B10A88-5BC1-45BB-AC5D-9274C100C723}"/>
    <cellStyle name="Обычный 3 2 2 2 2 4 4 2" xfId="2221" xr:uid="{CF48253E-3109-4355-8A7F-07F730121BBF}"/>
    <cellStyle name="Обычный 3 2 2 2 2 4 5" xfId="2222" xr:uid="{4D9E3E74-F2B1-4D9F-8A17-D6BDB515BFB5}"/>
    <cellStyle name="Обычный 3 2 2 2 2 5" xfId="336" xr:uid="{05C41BD6-6FC6-4F3D-939A-0C9B72FDC7BD}"/>
    <cellStyle name="Обычный 3 2 2 2 2 5 2" xfId="848" xr:uid="{858B6E68-92ED-4D45-ADF1-C31B6070B851}"/>
    <cellStyle name="Обычный 3 2 2 2 2 5 2 2" xfId="1872" xr:uid="{39406C23-06B1-4DA8-8B44-E74A0F06E30F}"/>
    <cellStyle name="Обычный 3 2 2 2 2 5 2 2 2" xfId="2223" xr:uid="{841AED50-08DB-4A73-BC27-30610ED0638F}"/>
    <cellStyle name="Обычный 3 2 2 2 2 5 2 3" xfId="2224" xr:uid="{E03DF9E8-BD35-443E-B206-8FD56D9C1D53}"/>
    <cellStyle name="Обычный 3 2 2 2 2 5 3" xfId="1360" xr:uid="{8AB24FD2-D215-41DA-A834-524A7C78D908}"/>
    <cellStyle name="Обычный 3 2 2 2 2 5 3 2" xfId="2225" xr:uid="{95F694C3-C1E6-482C-AAE5-2CF2752BBC20}"/>
    <cellStyle name="Обычный 3 2 2 2 2 5 4" xfId="2226" xr:uid="{93516002-D9C8-4748-A8F3-E06EF086C5FE}"/>
    <cellStyle name="Обычный 3 2 2 2 2 6" xfId="592" xr:uid="{8D91D2A3-CCAA-496E-920A-ECDC725AC4BF}"/>
    <cellStyle name="Обычный 3 2 2 2 2 6 2" xfId="1616" xr:uid="{B22B63B2-FB82-4569-AFA5-888203EC431A}"/>
    <cellStyle name="Обычный 3 2 2 2 2 6 2 2" xfId="2227" xr:uid="{ADB80DF6-9003-49AD-9AED-5405EFA9F84B}"/>
    <cellStyle name="Обычный 3 2 2 2 2 6 3" xfId="2228" xr:uid="{925AF18F-FE7D-4155-B8C3-0AED96D19564}"/>
    <cellStyle name="Обычный 3 2 2 2 2 7" xfId="1104" xr:uid="{99819B31-4FF0-40B3-A753-3E275C4D1795}"/>
    <cellStyle name="Обычный 3 2 2 2 2 7 2" xfId="2229" xr:uid="{711B1EDA-164C-43CD-8655-6B93C1583751}"/>
    <cellStyle name="Обычный 3 2 2 2 2 8" xfId="2230" xr:uid="{8AE4494C-7E5C-4448-AB61-96349E7C19FD}"/>
    <cellStyle name="Обычный 3 2 2 2 3" xfId="96" xr:uid="{126F9B8C-1A88-4ECC-A175-2D629FA9238E}"/>
    <cellStyle name="Обычный 3 2 2 2 3 2" xfId="160" xr:uid="{E71B485A-88B6-4585-A110-4E8BDFFD083F}"/>
    <cellStyle name="Обычный 3 2 2 2 3 2 2" xfId="288" xr:uid="{0D6471EF-1132-4AF4-89B8-AA933135ACB4}"/>
    <cellStyle name="Обычный 3 2 2 2 3 2 2 2" xfId="544" xr:uid="{8FC38F24-A167-4FB5-A669-A356CE207935}"/>
    <cellStyle name="Обычный 3 2 2 2 3 2 2 2 2" xfId="1056" xr:uid="{873FEE63-3902-4DC9-8F5A-4781EFBC817D}"/>
    <cellStyle name="Обычный 3 2 2 2 3 2 2 2 2 2" xfId="2080" xr:uid="{7CF6B921-E057-432B-B88F-143CC6D4A528}"/>
    <cellStyle name="Обычный 3 2 2 2 3 2 2 2 2 2 2" xfId="2231" xr:uid="{4FA07478-8B92-40E6-A799-164F082488FB}"/>
    <cellStyle name="Обычный 3 2 2 2 3 2 2 2 2 3" xfId="2232" xr:uid="{34B64E96-877F-4DEB-9664-A5CDFD22D2D4}"/>
    <cellStyle name="Обычный 3 2 2 2 3 2 2 2 3" xfId="1568" xr:uid="{289B2097-F38A-48E0-93B8-8F4E76F7CC68}"/>
    <cellStyle name="Обычный 3 2 2 2 3 2 2 2 3 2" xfId="2233" xr:uid="{88F164AF-B83A-4E94-A971-FDE229F7F5E0}"/>
    <cellStyle name="Обычный 3 2 2 2 3 2 2 2 4" xfId="2234" xr:uid="{7D292BA9-E8CE-49A8-B2EA-C5B4587D8B59}"/>
    <cellStyle name="Обычный 3 2 2 2 3 2 2 3" xfId="800" xr:uid="{9E7DE4B7-3892-411E-96A4-20135934C60C}"/>
    <cellStyle name="Обычный 3 2 2 2 3 2 2 3 2" xfId="1824" xr:uid="{C4EA138B-9DEC-4799-8D77-317AF27EE090}"/>
    <cellStyle name="Обычный 3 2 2 2 3 2 2 3 2 2" xfId="2235" xr:uid="{BBCF6917-32D9-4D34-A9DC-837F39E1C22F}"/>
    <cellStyle name="Обычный 3 2 2 2 3 2 2 3 3" xfId="2236" xr:uid="{0A0F34E7-C9D2-4FA8-B3F5-9E8F0216A251}"/>
    <cellStyle name="Обычный 3 2 2 2 3 2 2 4" xfId="1312" xr:uid="{CDACBA2A-FA50-4E4D-8810-8E06D0F826A7}"/>
    <cellStyle name="Обычный 3 2 2 2 3 2 2 4 2" xfId="2237" xr:uid="{A4B3ACDE-B4B8-4B9F-B56F-E9A80BD251C2}"/>
    <cellStyle name="Обычный 3 2 2 2 3 2 2 5" xfId="2238" xr:uid="{DA0B9100-7057-442E-B2E9-386EFA7CFB3B}"/>
    <cellStyle name="Обычный 3 2 2 2 3 2 3" xfId="416" xr:uid="{E64A6A85-A812-4B07-B94E-0C5F10A06615}"/>
    <cellStyle name="Обычный 3 2 2 2 3 2 3 2" xfId="928" xr:uid="{8EE4DD7F-6427-4565-BDC4-EA29E7B5DF6B}"/>
    <cellStyle name="Обычный 3 2 2 2 3 2 3 2 2" xfId="1952" xr:uid="{652E21A6-D3C2-4D6A-BAAF-8E10E5580B7A}"/>
    <cellStyle name="Обычный 3 2 2 2 3 2 3 2 2 2" xfId="2239" xr:uid="{2C8C8B08-3FEE-43A8-9563-D04BCADB1303}"/>
    <cellStyle name="Обычный 3 2 2 2 3 2 3 2 3" xfId="2240" xr:uid="{F7D185E5-2122-46F2-A549-FCCE69947375}"/>
    <cellStyle name="Обычный 3 2 2 2 3 2 3 3" xfId="1440" xr:uid="{DEA6558E-9545-4AFF-B0EC-030CDB732D00}"/>
    <cellStyle name="Обычный 3 2 2 2 3 2 3 3 2" xfId="2241" xr:uid="{EA78F832-31C3-466D-AC07-FDC2A1CC89A3}"/>
    <cellStyle name="Обычный 3 2 2 2 3 2 3 4" xfId="2242" xr:uid="{C3CE7E77-65BC-4BCD-A625-5FFCCC265E5A}"/>
    <cellStyle name="Обычный 3 2 2 2 3 2 4" xfId="672" xr:uid="{37E6A19C-5786-4434-BC36-80AAFFB7236C}"/>
    <cellStyle name="Обычный 3 2 2 2 3 2 4 2" xfId="1696" xr:uid="{1980597C-C6BC-4E04-819B-C6BEBC73D05B}"/>
    <cellStyle name="Обычный 3 2 2 2 3 2 4 2 2" xfId="2243" xr:uid="{00AFA60F-7AF7-468E-ADDD-462B39A6AC25}"/>
    <cellStyle name="Обычный 3 2 2 2 3 2 4 3" xfId="2244" xr:uid="{FB3D092F-11FC-41CB-A0D4-616F607074EF}"/>
    <cellStyle name="Обычный 3 2 2 2 3 2 5" xfId="1184" xr:uid="{8A812129-040F-48F1-8A41-6AB6B4F8AF41}"/>
    <cellStyle name="Обычный 3 2 2 2 3 2 5 2" xfId="2245" xr:uid="{14A303E5-F7AF-4F76-9E9B-DC1B9D1B8F7F}"/>
    <cellStyle name="Обычный 3 2 2 2 3 2 6" xfId="2246" xr:uid="{3904B9B9-25BF-4A55-9D16-2D0064FEB94C}"/>
    <cellStyle name="Обычный 3 2 2 2 3 3" xfId="224" xr:uid="{A340D3A4-82A3-40AC-9468-EB284A833E50}"/>
    <cellStyle name="Обычный 3 2 2 2 3 3 2" xfId="480" xr:uid="{02B3D66D-1EFD-43F5-B262-F49851ECF51B}"/>
    <cellStyle name="Обычный 3 2 2 2 3 3 2 2" xfId="992" xr:uid="{20FAA93B-7BB3-45E3-B8A0-05D48E7D79B0}"/>
    <cellStyle name="Обычный 3 2 2 2 3 3 2 2 2" xfId="2016" xr:uid="{4F406707-9A0E-4E7D-9EC8-27AF98C2A0F1}"/>
    <cellStyle name="Обычный 3 2 2 2 3 3 2 2 2 2" xfId="2247" xr:uid="{7799C71E-64C5-44AE-A0FA-B51265917213}"/>
    <cellStyle name="Обычный 3 2 2 2 3 3 2 2 3" xfId="2248" xr:uid="{4B70F73E-C6D6-4CD6-8ED0-1027ADA0AF56}"/>
    <cellStyle name="Обычный 3 2 2 2 3 3 2 3" xfId="1504" xr:uid="{26F7BC86-084C-46FF-911E-728731C64E5B}"/>
    <cellStyle name="Обычный 3 2 2 2 3 3 2 3 2" xfId="2249" xr:uid="{FF25C2C9-A0E9-447A-9C5D-3CA3398499AD}"/>
    <cellStyle name="Обычный 3 2 2 2 3 3 2 4" xfId="2250" xr:uid="{B8F33338-E72F-4715-BCA1-080CBD58CB42}"/>
    <cellStyle name="Обычный 3 2 2 2 3 3 3" xfId="736" xr:uid="{3496DF42-4404-48F5-92F1-AFE38F60F7BC}"/>
    <cellStyle name="Обычный 3 2 2 2 3 3 3 2" xfId="1760" xr:uid="{1D6AFAC4-1EDE-458E-92B2-020D40A2FAEF}"/>
    <cellStyle name="Обычный 3 2 2 2 3 3 3 2 2" xfId="2251" xr:uid="{6CE1FC9A-BD4C-4433-BE4C-122156A41055}"/>
    <cellStyle name="Обычный 3 2 2 2 3 3 3 3" xfId="2252" xr:uid="{DC83AD3E-A08C-4F8D-9A51-B04767CAB080}"/>
    <cellStyle name="Обычный 3 2 2 2 3 3 4" xfId="1248" xr:uid="{E69DE1FF-B202-40F5-BE32-6D7EB0A51A8A}"/>
    <cellStyle name="Обычный 3 2 2 2 3 3 4 2" xfId="2253" xr:uid="{B467D28D-CE0E-458A-864E-3C284059FE52}"/>
    <cellStyle name="Обычный 3 2 2 2 3 3 5" xfId="2254" xr:uid="{75CF1B83-309E-402B-B460-EAD733794AD9}"/>
    <cellStyle name="Обычный 3 2 2 2 3 4" xfId="352" xr:uid="{656D5511-6C1D-41EC-AE9C-F52579FF7419}"/>
    <cellStyle name="Обычный 3 2 2 2 3 4 2" xfId="864" xr:uid="{689BAAFD-19C0-422C-A0CB-24E56D8FCA9E}"/>
    <cellStyle name="Обычный 3 2 2 2 3 4 2 2" xfId="1888" xr:uid="{5D211F6B-1F66-4657-8BE8-F0A199A80B75}"/>
    <cellStyle name="Обычный 3 2 2 2 3 4 2 2 2" xfId="2255" xr:uid="{B3922394-9312-4FBE-8380-503588A6457E}"/>
    <cellStyle name="Обычный 3 2 2 2 3 4 2 3" xfId="2256" xr:uid="{716FD2E6-525F-4780-91A1-6A772CA2B552}"/>
    <cellStyle name="Обычный 3 2 2 2 3 4 3" xfId="1376" xr:uid="{54FB4B08-839C-4D07-8A22-341B911B6F57}"/>
    <cellStyle name="Обычный 3 2 2 2 3 4 3 2" xfId="2257" xr:uid="{4D645041-5966-412C-9669-FD3E7195949E}"/>
    <cellStyle name="Обычный 3 2 2 2 3 4 4" xfId="2258" xr:uid="{9E61C9D4-B32E-4772-B617-F81AA360D04F}"/>
    <cellStyle name="Обычный 3 2 2 2 3 5" xfId="608" xr:uid="{D4E0520B-6401-4A79-81F2-AFE622116CCD}"/>
    <cellStyle name="Обычный 3 2 2 2 3 5 2" xfId="1632" xr:uid="{035AF90D-4FB0-4C82-9F65-F34461DDC21D}"/>
    <cellStyle name="Обычный 3 2 2 2 3 5 2 2" xfId="2259" xr:uid="{6176EAB4-BF2C-4F15-A354-C5F6658CD768}"/>
    <cellStyle name="Обычный 3 2 2 2 3 5 3" xfId="2260" xr:uid="{7475B0BF-A41C-4C1E-83D3-E29C1231F52B}"/>
    <cellStyle name="Обычный 3 2 2 2 3 6" xfId="1120" xr:uid="{9ADF84F4-6E4D-4CF9-9B4A-1D083E6EA7AA}"/>
    <cellStyle name="Обычный 3 2 2 2 3 6 2" xfId="2261" xr:uid="{DEF9D1B9-8783-4EC5-BDC2-9957FA1A7CD8}"/>
    <cellStyle name="Обычный 3 2 2 2 3 7" xfId="2262" xr:uid="{2D823121-11A6-4CA5-AAB0-87E066AB1811}"/>
    <cellStyle name="Обычный 3 2 2 2 4" xfId="128" xr:uid="{71A3366E-1D6A-481B-8E5E-EAF79B69042B}"/>
    <cellStyle name="Обычный 3 2 2 2 4 2" xfId="256" xr:uid="{6FF3EBC2-7BFE-4D34-A9E6-48D703036E1F}"/>
    <cellStyle name="Обычный 3 2 2 2 4 2 2" xfId="512" xr:uid="{EAAFFC38-D441-4F43-9563-F71261639ACC}"/>
    <cellStyle name="Обычный 3 2 2 2 4 2 2 2" xfId="1024" xr:uid="{2CB9C31E-672D-4171-ABA9-5312581695A7}"/>
    <cellStyle name="Обычный 3 2 2 2 4 2 2 2 2" xfId="2048" xr:uid="{B00A6203-33DD-42D2-8434-CD54E257B2D1}"/>
    <cellStyle name="Обычный 3 2 2 2 4 2 2 2 2 2" xfId="2263" xr:uid="{BB032CCA-AC9A-4B23-A637-15EC2A699A94}"/>
    <cellStyle name="Обычный 3 2 2 2 4 2 2 2 3" xfId="2264" xr:uid="{6CB24305-B55F-4798-9D83-9121101DE4E2}"/>
    <cellStyle name="Обычный 3 2 2 2 4 2 2 3" xfId="1536" xr:uid="{A30D0AC0-BA55-48D9-9A52-0C7348C176AB}"/>
    <cellStyle name="Обычный 3 2 2 2 4 2 2 3 2" xfId="2265" xr:uid="{2308B02A-43A8-47A4-94B2-54756AA10237}"/>
    <cellStyle name="Обычный 3 2 2 2 4 2 2 4" xfId="2266" xr:uid="{556961EA-1E1E-4EBF-B16A-75B39542CB2A}"/>
    <cellStyle name="Обычный 3 2 2 2 4 2 3" xfId="768" xr:uid="{91F7D814-0692-4F74-B491-E469F0EF28E5}"/>
    <cellStyle name="Обычный 3 2 2 2 4 2 3 2" xfId="1792" xr:uid="{8281C51F-5918-47E4-9E01-7787EEC67C55}"/>
    <cellStyle name="Обычный 3 2 2 2 4 2 3 2 2" xfId="2267" xr:uid="{D8FEF13F-F123-4B20-B5B6-C0C1FE1B5DEF}"/>
    <cellStyle name="Обычный 3 2 2 2 4 2 3 3" xfId="2268" xr:uid="{0AF0B33F-45E0-4A4E-A117-B46B38083C70}"/>
    <cellStyle name="Обычный 3 2 2 2 4 2 4" xfId="1280" xr:uid="{06871A0B-2481-4CB6-AA27-0702BD253C3F}"/>
    <cellStyle name="Обычный 3 2 2 2 4 2 4 2" xfId="2269" xr:uid="{523A1F2A-282E-4AAB-88A7-122D33F909FC}"/>
    <cellStyle name="Обычный 3 2 2 2 4 2 5" xfId="2270" xr:uid="{25B85D17-70A1-445E-BEDB-94C18F735CBC}"/>
    <cellStyle name="Обычный 3 2 2 2 4 3" xfId="384" xr:uid="{AA3FF57D-C10E-4E8D-8023-9C7F0293290C}"/>
    <cellStyle name="Обычный 3 2 2 2 4 3 2" xfId="896" xr:uid="{64E40E5F-F1D7-43B9-9478-A7496283C3FA}"/>
    <cellStyle name="Обычный 3 2 2 2 4 3 2 2" xfId="1920" xr:uid="{06A7F244-9AD8-4169-9DAB-4C8B3B66F2D6}"/>
    <cellStyle name="Обычный 3 2 2 2 4 3 2 2 2" xfId="2271" xr:uid="{277BBCA5-5FC1-47F1-87C6-163791267AB1}"/>
    <cellStyle name="Обычный 3 2 2 2 4 3 2 3" xfId="2272" xr:uid="{10302FAE-A53A-48F1-8F28-D63CF5E70DA4}"/>
    <cellStyle name="Обычный 3 2 2 2 4 3 3" xfId="1408" xr:uid="{B277C8B7-2FDA-427D-8985-63C25D451CB9}"/>
    <cellStyle name="Обычный 3 2 2 2 4 3 3 2" xfId="2273" xr:uid="{2F37A168-B502-483A-B2DB-CEDD62331638}"/>
    <cellStyle name="Обычный 3 2 2 2 4 3 4" xfId="2274" xr:uid="{D0B28C35-005E-4FC0-B07E-832CEECC1C98}"/>
    <cellStyle name="Обычный 3 2 2 2 4 4" xfId="640" xr:uid="{EB02698B-7486-45FF-8722-6B429F5E0B4B}"/>
    <cellStyle name="Обычный 3 2 2 2 4 4 2" xfId="1664" xr:uid="{DD09D6C8-67CB-4BB5-91E8-C723F3E8FD2B}"/>
    <cellStyle name="Обычный 3 2 2 2 4 4 2 2" xfId="2275" xr:uid="{2F086841-7651-481A-AE2C-C9A2AD2427E7}"/>
    <cellStyle name="Обычный 3 2 2 2 4 4 3" xfId="2276" xr:uid="{5B161F6F-0730-49DE-999A-88BE6C799FB0}"/>
    <cellStyle name="Обычный 3 2 2 2 4 5" xfId="1152" xr:uid="{BCE7BE7D-D5D7-4E41-9AB6-8C00DAA12CC9}"/>
    <cellStyle name="Обычный 3 2 2 2 4 5 2" xfId="2277" xr:uid="{0F4B04E0-BF7E-43DF-88E7-D03615C3B979}"/>
    <cellStyle name="Обычный 3 2 2 2 4 6" xfId="2278" xr:uid="{4728FBFF-1323-4F07-8FA3-75297692A4DD}"/>
    <cellStyle name="Обычный 3 2 2 2 5" xfId="192" xr:uid="{D5A1D052-97C0-4C28-9750-DCB96F0D31DF}"/>
    <cellStyle name="Обычный 3 2 2 2 5 2" xfId="448" xr:uid="{0372FA98-DEE1-44A1-BB30-FB652ABF7FBA}"/>
    <cellStyle name="Обычный 3 2 2 2 5 2 2" xfId="960" xr:uid="{D6EE5AC7-7DD7-4D91-8CCD-C956AE460592}"/>
    <cellStyle name="Обычный 3 2 2 2 5 2 2 2" xfId="1984" xr:uid="{4D38BFFA-3F91-40AE-AB42-A0FE7FDBC73B}"/>
    <cellStyle name="Обычный 3 2 2 2 5 2 2 2 2" xfId="2279" xr:uid="{8B77EF9D-1AC6-4FEF-8F3D-4D5E5D1FFA3E}"/>
    <cellStyle name="Обычный 3 2 2 2 5 2 2 3" xfId="2280" xr:uid="{EDA4D24D-6D46-470C-BE93-634B43381060}"/>
    <cellStyle name="Обычный 3 2 2 2 5 2 3" xfId="1472" xr:uid="{6EE5632B-FFE1-4D23-B931-E3F89223AC16}"/>
    <cellStyle name="Обычный 3 2 2 2 5 2 3 2" xfId="2281" xr:uid="{2B0C2918-D857-4BFF-9A0C-DE31F9390270}"/>
    <cellStyle name="Обычный 3 2 2 2 5 2 4" xfId="2282" xr:uid="{C75AA3B6-1219-4A1A-8246-73565F4A708E}"/>
    <cellStyle name="Обычный 3 2 2 2 5 3" xfId="704" xr:uid="{843F418A-A32F-40D0-8802-44AF6AEFB971}"/>
    <cellStyle name="Обычный 3 2 2 2 5 3 2" xfId="1728" xr:uid="{231DB830-2CF6-4AF2-9C97-A9B59E18250D}"/>
    <cellStyle name="Обычный 3 2 2 2 5 3 2 2" xfId="2283" xr:uid="{4DE4224F-100A-426A-8567-104E81FF5744}"/>
    <cellStyle name="Обычный 3 2 2 2 5 3 3" xfId="2284" xr:uid="{D7994064-6103-45CC-8BFF-17450110FA69}"/>
    <cellStyle name="Обычный 3 2 2 2 5 4" xfId="1216" xr:uid="{6F659736-32BF-4E9B-B480-67172A77C5FC}"/>
    <cellStyle name="Обычный 3 2 2 2 5 4 2" xfId="2285" xr:uid="{C49988A9-9A99-4A80-A4A6-4B46499F1F9A}"/>
    <cellStyle name="Обычный 3 2 2 2 5 5" xfId="2286" xr:uid="{D4762D27-2592-4947-A9A3-8DF0CE6F6C02}"/>
    <cellStyle name="Обычный 3 2 2 2 6" xfId="320" xr:uid="{9EFE2CA3-2359-45E2-83C8-56899A9411EE}"/>
    <cellStyle name="Обычный 3 2 2 2 6 2" xfId="832" xr:uid="{9E5919CE-F2A3-4742-89BE-4F8230375685}"/>
    <cellStyle name="Обычный 3 2 2 2 6 2 2" xfId="1856" xr:uid="{AE2D4D20-B59D-48CD-9941-DEFCDD80E075}"/>
    <cellStyle name="Обычный 3 2 2 2 6 2 2 2" xfId="2287" xr:uid="{3CD474F3-0D9B-4E93-8413-6F4064DDF573}"/>
    <cellStyle name="Обычный 3 2 2 2 6 2 3" xfId="2288" xr:uid="{BC911FD7-EF50-47C4-B965-5E00D1ACAC5E}"/>
    <cellStyle name="Обычный 3 2 2 2 6 3" xfId="1344" xr:uid="{9B1BD45D-9528-41CC-A382-6DF92A8B99A7}"/>
    <cellStyle name="Обычный 3 2 2 2 6 3 2" xfId="2289" xr:uid="{D1DF8A92-B48D-4DD3-85A9-6627F288D26D}"/>
    <cellStyle name="Обычный 3 2 2 2 6 4" xfId="2290" xr:uid="{1F7ADA48-AAF6-4598-AC99-9A9FAF6B35C7}"/>
    <cellStyle name="Обычный 3 2 2 2 7" xfId="576" xr:uid="{B09E586B-BEAA-4032-B08F-8D1FB4CB712A}"/>
    <cellStyle name="Обычный 3 2 2 2 7 2" xfId="1600" xr:uid="{D353C208-E331-4B63-8668-C04B75E3BA9F}"/>
    <cellStyle name="Обычный 3 2 2 2 7 2 2" xfId="2291" xr:uid="{1AB28C30-C2C4-4809-9546-E93F6C69C69E}"/>
    <cellStyle name="Обычный 3 2 2 2 7 3" xfId="2292" xr:uid="{683CE8B0-6256-40BC-A452-C07E8F01A3F8}"/>
    <cellStyle name="Обычный 3 2 2 2 8" xfId="1088" xr:uid="{0923F271-71B5-4C92-AD51-06B78418B8F9}"/>
    <cellStyle name="Обычный 3 2 2 2 8 2" xfId="2293" xr:uid="{08066908-A13D-4EDC-B817-7C0E0FA033B8}"/>
    <cellStyle name="Обычный 3 2 2 2 9" xfId="2294" xr:uid="{274FABF9-6CA3-4D4A-A096-A3C369A64E26}"/>
    <cellStyle name="Обычный 3 2 2 3" xfId="71" xr:uid="{50E9012E-6719-4F88-B0CD-2EA1FEBBD896}"/>
    <cellStyle name="Обычный 3 2 2 3 2" xfId="104" xr:uid="{2CA95240-9C3A-49D9-89CA-0C8FF94C82C7}"/>
    <cellStyle name="Обычный 3 2 2 3 2 2" xfId="168" xr:uid="{B7AE53F6-C943-47B1-86A9-FDC732B50E4E}"/>
    <cellStyle name="Обычный 3 2 2 3 2 2 2" xfId="296" xr:uid="{EEA1DAA2-0733-428D-BEB4-84C1137E7B8E}"/>
    <cellStyle name="Обычный 3 2 2 3 2 2 2 2" xfId="552" xr:uid="{261368C3-A3E2-456F-BC59-041B5B80EC76}"/>
    <cellStyle name="Обычный 3 2 2 3 2 2 2 2 2" xfId="1064" xr:uid="{9C5A8590-0670-4FA8-AA7C-3608FDD12F65}"/>
    <cellStyle name="Обычный 3 2 2 3 2 2 2 2 2 2" xfId="2088" xr:uid="{285C4A05-C503-4481-A2CD-126D8FCDCA05}"/>
    <cellStyle name="Обычный 3 2 2 3 2 2 2 2 2 2 2" xfId="2295" xr:uid="{28E49B96-B78F-4307-8A69-DFFCFA7FA4B5}"/>
    <cellStyle name="Обычный 3 2 2 3 2 2 2 2 2 3" xfId="2296" xr:uid="{29ACFF9F-CABE-476C-8909-4FF609E964A8}"/>
    <cellStyle name="Обычный 3 2 2 3 2 2 2 2 3" xfId="1576" xr:uid="{8C230A5A-7A47-431C-8327-EDFABE90BF1E}"/>
    <cellStyle name="Обычный 3 2 2 3 2 2 2 2 3 2" xfId="2297" xr:uid="{493119D9-9A1E-44C3-A2D8-0ADE810EBA04}"/>
    <cellStyle name="Обычный 3 2 2 3 2 2 2 2 4" xfId="2298" xr:uid="{FE2A1211-D8F8-4CF2-9128-606CAD7E194C}"/>
    <cellStyle name="Обычный 3 2 2 3 2 2 2 3" xfId="808" xr:uid="{922F2A45-0B72-4A82-A7F7-92DD050E1BD7}"/>
    <cellStyle name="Обычный 3 2 2 3 2 2 2 3 2" xfId="1832" xr:uid="{C2D9FF34-5F30-4603-956D-D8ECAB60EBA4}"/>
    <cellStyle name="Обычный 3 2 2 3 2 2 2 3 2 2" xfId="2299" xr:uid="{CF9C1423-7529-4EBE-8621-C285292B0F4D}"/>
    <cellStyle name="Обычный 3 2 2 3 2 2 2 3 3" xfId="2300" xr:uid="{7C4A288F-35A6-49BE-97DD-9E4DE295880F}"/>
    <cellStyle name="Обычный 3 2 2 3 2 2 2 4" xfId="1320" xr:uid="{A21EC51B-B093-4D77-AC11-E5AAE7C44D05}"/>
    <cellStyle name="Обычный 3 2 2 3 2 2 2 4 2" xfId="2301" xr:uid="{F976EDD2-230A-4D03-8890-9D9C8D35E5FD}"/>
    <cellStyle name="Обычный 3 2 2 3 2 2 2 5" xfId="2302" xr:uid="{2E587743-46B1-4E20-A36B-589088DA727A}"/>
    <cellStyle name="Обычный 3 2 2 3 2 2 3" xfId="424" xr:uid="{D50794A9-BAB7-40AC-8736-572CAA78793E}"/>
    <cellStyle name="Обычный 3 2 2 3 2 2 3 2" xfId="936" xr:uid="{C6E36DCE-871A-43DF-A310-4468C95F8D78}"/>
    <cellStyle name="Обычный 3 2 2 3 2 2 3 2 2" xfId="1960" xr:uid="{B4B29291-8144-4468-B4AC-B20BE6B2B696}"/>
    <cellStyle name="Обычный 3 2 2 3 2 2 3 2 2 2" xfId="2303" xr:uid="{A0EA4BA6-5C0F-45DE-A261-2B82D892A5DE}"/>
    <cellStyle name="Обычный 3 2 2 3 2 2 3 2 3" xfId="2304" xr:uid="{5A415634-228D-4FD1-A7FF-57DDB4B9FBB9}"/>
    <cellStyle name="Обычный 3 2 2 3 2 2 3 3" xfId="1448" xr:uid="{4AEDD9EE-EB92-4877-93FA-1B5496F3EE21}"/>
    <cellStyle name="Обычный 3 2 2 3 2 2 3 3 2" xfId="2305" xr:uid="{83AC5854-A340-4D8A-9A25-25EA09C6F11C}"/>
    <cellStyle name="Обычный 3 2 2 3 2 2 3 4" xfId="2306" xr:uid="{C10FD5D9-F409-48B4-9835-728F9CC857B2}"/>
    <cellStyle name="Обычный 3 2 2 3 2 2 4" xfId="680" xr:uid="{F9F97C23-A11C-4039-951D-65F7EE245480}"/>
    <cellStyle name="Обычный 3 2 2 3 2 2 4 2" xfId="1704" xr:uid="{D99A0733-A505-4680-B834-867D2B1F2905}"/>
    <cellStyle name="Обычный 3 2 2 3 2 2 4 2 2" xfId="2307" xr:uid="{400E05AC-C927-434D-8DFF-6D746B24521C}"/>
    <cellStyle name="Обычный 3 2 2 3 2 2 4 3" xfId="2308" xr:uid="{85C07A60-E973-4031-A621-7137BB3560CF}"/>
    <cellStyle name="Обычный 3 2 2 3 2 2 5" xfId="1192" xr:uid="{5193EDA5-7AFE-4E38-980A-1E5914FC10D1}"/>
    <cellStyle name="Обычный 3 2 2 3 2 2 5 2" xfId="2309" xr:uid="{47010956-F6A5-43E1-8789-BE488EC07742}"/>
    <cellStyle name="Обычный 3 2 2 3 2 2 6" xfId="2310" xr:uid="{465BF1C0-7287-4D00-9D2A-4A19ACA3F490}"/>
    <cellStyle name="Обычный 3 2 2 3 2 3" xfId="232" xr:uid="{2174C37F-B737-465E-9209-C74B9F6A78E3}"/>
    <cellStyle name="Обычный 3 2 2 3 2 3 2" xfId="488" xr:uid="{970E3A27-8FC1-4898-9EC7-C02B0682D53A}"/>
    <cellStyle name="Обычный 3 2 2 3 2 3 2 2" xfId="1000" xr:uid="{8DC1B1AA-E4DE-4D40-8144-37409DD62480}"/>
    <cellStyle name="Обычный 3 2 2 3 2 3 2 2 2" xfId="2024" xr:uid="{0625F641-9507-48F8-B5E9-5488BC3F5B42}"/>
    <cellStyle name="Обычный 3 2 2 3 2 3 2 2 2 2" xfId="2311" xr:uid="{18848738-23BA-4D4E-9451-A3CFAC8937FF}"/>
    <cellStyle name="Обычный 3 2 2 3 2 3 2 2 3" xfId="2312" xr:uid="{97140797-C2B3-4DD5-AA3C-AC34E955057B}"/>
    <cellStyle name="Обычный 3 2 2 3 2 3 2 3" xfId="1512" xr:uid="{06223515-3622-4F57-AD34-05A64C77ACDC}"/>
    <cellStyle name="Обычный 3 2 2 3 2 3 2 3 2" xfId="2313" xr:uid="{A54ABAD6-1093-4F71-B2A4-D8E9BC43F920}"/>
    <cellStyle name="Обычный 3 2 2 3 2 3 2 4" xfId="2314" xr:uid="{EF079425-9F5A-4A9B-AB86-A08754F42BCD}"/>
    <cellStyle name="Обычный 3 2 2 3 2 3 3" xfId="744" xr:uid="{C68B01E6-E150-4DD2-BC0E-4BDB55D8BE75}"/>
    <cellStyle name="Обычный 3 2 2 3 2 3 3 2" xfId="1768" xr:uid="{8E3D361B-155D-4D3F-BE60-488A3B6DF48B}"/>
    <cellStyle name="Обычный 3 2 2 3 2 3 3 2 2" xfId="2315" xr:uid="{10AE98FA-23D3-4D7F-A6C3-FB5A320CADBA}"/>
    <cellStyle name="Обычный 3 2 2 3 2 3 3 3" xfId="2316" xr:uid="{AE3DB66C-28F4-4CF7-B3C3-1E870AC50B08}"/>
    <cellStyle name="Обычный 3 2 2 3 2 3 4" xfId="1256" xr:uid="{A6A52DE3-0B29-4D7B-91AE-4716521AEBF2}"/>
    <cellStyle name="Обычный 3 2 2 3 2 3 4 2" xfId="2317" xr:uid="{73220D88-ECA5-4EA4-9F94-337570210E2E}"/>
    <cellStyle name="Обычный 3 2 2 3 2 3 5" xfId="2318" xr:uid="{496CD8E8-E3D2-476B-8E4D-E3CD22F9210A}"/>
    <cellStyle name="Обычный 3 2 2 3 2 4" xfId="360" xr:uid="{1A21828B-92F6-4CCD-BAC2-D76168A3BE1D}"/>
    <cellStyle name="Обычный 3 2 2 3 2 4 2" xfId="872" xr:uid="{180E91BE-13E4-4B74-9266-F8351655B269}"/>
    <cellStyle name="Обычный 3 2 2 3 2 4 2 2" xfId="1896" xr:uid="{2D05A57C-4345-427D-BAC4-13C584CC4D14}"/>
    <cellStyle name="Обычный 3 2 2 3 2 4 2 2 2" xfId="2319" xr:uid="{1E958F00-4C3C-46C4-B9AF-D04A026724A7}"/>
    <cellStyle name="Обычный 3 2 2 3 2 4 2 3" xfId="2320" xr:uid="{73CF82D5-2C5C-48AC-B9BD-25CF811C862C}"/>
    <cellStyle name="Обычный 3 2 2 3 2 4 3" xfId="1384" xr:uid="{8B5FE006-64A6-4CDD-BFE7-39C7D16DBC77}"/>
    <cellStyle name="Обычный 3 2 2 3 2 4 3 2" xfId="2321" xr:uid="{83CB57D1-DE9A-43CE-A73F-6BFED8F572C7}"/>
    <cellStyle name="Обычный 3 2 2 3 2 4 4" xfId="2322" xr:uid="{15F0E269-184E-4A67-A432-97277323F184}"/>
    <cellStyle name="Обычный 3 2 2 3 2 5" xfId="616" xr:uid="{CD0E71DD-72AD-46DD-85E7-E536B152690A}"/>
    <cellStyle name="Обычный 3 2 2 3 2 5 2" xfId="1640" xr:uid="{CD3A86E2-60E1-46F1-B397-7ECA97B4A9C4}"/>
    <cellStyle name="Обычный 3 2 2 3 2 5 2 2" xfId="2323" xr:uid="{63E02CA0-E5D3-46A2-99F2-884E1CDD3699}"/>
    <cellStyle name="Обычный 3 2 2 3 2 5 3" xfId="2324" xr:uid="{24BB47DB-FEA6-4C11-9D35-14EC78505BC0}"/>
    <cellStyle name="Обычный 3 2 2 3 2 6" xfId="1128" xr:uid="{F4E2C885-6D4D-43CF-BA23-4F2776522392}"/>
    <cellStyle name="Обычный 3 2 2 3 2 6 2" xfId="2325" xr:uid="{DCD8266B-7054-40A6-9D22-28FA0591BCA4}"/>
    <cellStyle name="Обычный 3 2 2 3 2 7" xfId="2326" xr:uid="{6A435632-FDF7-4553-87F5-C7F1D97423DF}"/>
    <cellStyle name="Обычный 3 2 2 3 3" xfId="136" xr:uid="{C5C29E96-0AB8-4BC5-BAC6-7AF70AAA656D}"/>
    <cellStyle name="Обычный 3 2 2 3 3 2" xfId="264" xr:uid="{5E801D7A-3EA7-4181-B6B4-686EE4D1E6DF}"/>
    <cellStyle name="Обычный 3 2 2 3 3 2 2" xfId="520" xr:uid="{6D9D4EF7-9C94-4D2C-8938-14965F9013BF}"/>
    <cellStyle name="Обычный 3 2 2 3 3 2 2 2" xfId="1032" xr:uid="{143C4569-12C3-4D7F-BAC1-6E5AA4CD1B51}"/>
    <cellStyle name="Обычный 3 2 2 3 3 2 2 2 2" xfId="2056" xr:uid="{95A38E7A-7993-4B33-9ACA-C48224BE00BF}"/>
    <cellStyle name="Обычный 3 2 2 3 3 2 2 2 2 2" xfId="2327" xr:uid="{C3202624-37A5-4B1B-8887-2387462D6728}"/>
    <cellStyle name="Обычный 3 2 2 3 3 2 2 2 3" xfId="2328" xr:uid="{93F5C7F9-FAB8-4C79-8C3A-9A33C8EBFE14}"/>
    <cellStyle name="Обычный 3 2 2 3 3 2 2 3" xfId="1544" xr:uid="{5A97F91F-E50A-4AE1-ADF9-16597269D131}"/>
    <cellStyle name="Обычный 3 2 2 3 3 2 2 3 2" xfId="2329" xr:uid="{495D57B7-79B9-42C5-8A7C-64E6799E5C42}"/>
    <cellStyle name="Обычный 3 2 2 3 3 2 2 4" xfId="2330" xr:uid="{7193EDFA-E02B-438A-80E7-70CB17722A42}"/>
    <cellStyle name="Обычный 3 2 2 3 3 2 3" xfId="776" xr:uid="{149431EE-D5AE-46E5-B6E9-63671C7201A4}"/>
    <cellStyle name="Обычный 3 2 2 3 3 2 3 2" xfId="1800" xr:uid="{536C6E7D-72EB-4706-AF6F-4FB1DBABDEDF}"/>
    <cellStyle name="Обычный 3 2 2 3 3 2 3 2 2" xfId="2331" xr:uid="{68B7D6EA-B4E4-4EF2-BC58-62EA93C5AFF1}"/>
    <cellStyle name="Обычный 3 2 2 3 3 2 3 3" xfId="2332" xr:uid="{E6366C5C-253E-40CD-A584-AA302EA14F41}"/>
    <cellStyle name="Обычный 3 2 2 3 3 2 4" xfId="1288" xr:uid="{12AA1C66-E684-4AE0-9538-2EA8FE2DBA29}"/>
    <cellStyle name="Обычный 3 2 2 3 3 2 4 2" xfId="2333" xr:uid="{7B7DB535-7456-4D81-8C64-151296366A68}"/>
    <cellStyle name="Обычный 3 2 2 3 3 2 5" xfId="2334" xr:uid="{D5FD876F-ECBD-4C10-B38A-A45A2A8F4AF7}"/>
    <cellStyle name="Обычный 3 2 2 3 3 3" xfId="392" xr:uid="{647364F3-3DB6-4A31-AAA0-F160E4EDF6E3}"/>
    <cellStyle name="Обычный 3 2 2 3 3 3 2" xfId="904" xr:uid="{EE42B497-647B-4904-8A56-6E8F4C6D84BF}"/>
    <cellStyle name="Обычный 3 2 2 3 3 3 2 2" xfId="1928" xr:uid="{575021F3-5A7B-4C10-921A-63F7C4C7F505}"/>
    <cellStyle name="Обычный 3 2 2 3 3 3 2 2 2" xfId="2335" xr:uid="{2190E8E2-F8B7-4C17-BAE7-8E677303EAA4}"/>
    <cellStyle name="Обычный 3 2 2 3 3 3 2 3" xfId="2336" xr:uid="{878B9687-595F-4B3B-895B-15B790B67CFF}"/>
    <cellStyle name="Обычный 3 2 2 3 3 3 3" xfId="1416" xr:uid="{AB0B0B68-3771-4030-B867-F6CDE1DC3DBF}"/>
    <cellStyle name="Обычный 3 2 2 3 3 3 3 2" xfId="2337" xr:uid="{EA19DC58-B276-433B-97AA-7579A83287AC}"/>
    <cellStyle name="Обычный 3 2 2 3 3 3 4" xfId="2338" xr:uid="{EB282C7E-DA31-4193-99D0-E19EB68DCC95}"/>
    <cellStyle name="Обычный 3 2 2 3 3 4" xfId="648" xr:uid="{6C894805-53A1-4D6F-B0F7-896AC4DFE42F}"/>
    <cellStyle name="Обычный 3 2 2 3 3 4 2" xfId="1672" xr:uid="{12BE92D2-17E6-48C1-AAAE-4336FDFB70EF}"/>
    <cellStyle name="Обычный 3 2 2 3 3 4 2 2" xfId="2339" xr:uid="{0BE3C8A9-9EC5-4D2F-BBAF-C3C26EC7B055}"/>
    <cellStyle name="Обычный 3 2 2 3 3 4 3" xfId="2340" xr:uid="{06C31498-300B-4833-AC64-5389554C716D}"/>
    <cellStyle name="Обычный 3 2 2 3 3 5" xfId="1160" xr:uid="{950D6A52-0D7C-44E1-BBA0-E943AEE1315B}"/>
    <cellStyle name="Обычный 3 2 2 3 3 5 2" xfId="2341" xr:uid="{BAB2D64B-1233-460D-BF18-77CE647CFF8F}"/>
    <cellStyle name="Обычный 3 2 2 3 3 6" xfId="2342" xr:uid="{94BB5251-62AE-4047-917D-4EA5BD81C933}"/>
    <cellStyle name="Обычный 3 2 2 3 4" xfId="200" xr:uid="{7B19235B-423F-4E67-B0CF-73460D75B678}"/>
    <cellStyle name="Обычный 3 2 2 3 4 2" xfId="456" xr:uid="{A2475DB5-2AAF-48EA-AD29-BD3097F49017}"/>
    <cellStyle name="Обычный 3 2 2 3 4 2 2" xfId="968" xr:uid="{E7ED12FE-638D-4019-8477-D96F63184D73}"/>
    <cellStyle name="Обычный 3 2 2 3 4 2 2 2" xfId="1992" xr:uid="{5FEB8345-E082-44D0-8671-7AF78F59004E}"/>
    <cellStyle name="Обычный 3 2 2 3 4 2 2 2 2" xfId="2343" xr:uid="{1C9C53EC-2885-4737-A795-46254AC2CFD5}"/>
    <cellStyle name="Обычный 3 2 2 3 4 2 2 3" xfId="2344" xr:uid="{C43E2866-FBA2-4C94-87D9-0507BFCB53E4}"/>
    <cellStyle name="Обычный 3 2 2 3 4 2 3" xfId="1480" xr:uid="{7869FC12-E4F5-46A6-A7E9-C445DFE93371}"/>
    <cellStyle name="Обычный 3 2 2 3 4 2 3 2" xfId="2345" xr:uid="{2CF37E05-6067-4A73-BCB5-454608A02975}"/>
    <cellStyle name="Обычный 3 2 2 3 4 2 4" xfId="2346" xr:uid="{A675951F-5980-4C89-8780-10E9D0E6B14F}"/>
    <cellStyle name="Обычный 3 2 2 3 4 3" xfId="712" xr:uid="{ECB25D73-0AA6-45A2-A4A7-0868CA1AE22F}"/>
    <cellStyle name="Обычный 3 2 2 3 4 3 2" xfId="1736" xr:uid="{D88D009E-BACD-4980-9C45-A4F172189C86}"/>
    <cellStyle name="Обычный 3 2 2 3 4 3 2 2" xfId="2347" xr:uid="{8145B1B6-DBB4-4D2F-A1FC-D703BAE3302F}"/>
    <cellStyle name="Обычный 3 2 2 3 4 3 3" xfId="2348" xr:uid="{D1983C36-D649-43D7-B294-C160EAFC6777}"/>
    <cellStyle name="Обычный 3 2 2 3 4 4" xfId="1224" xr:uid="{0623433D-9F78-400E-B6A3-EFF28D2B2BCE}"/>
    <cellStyle name="Обычный 3 2 2 3 4 4 2" xfId="2349" xr:uid="{DB090A58-A078-4C03-B1EC-55E17B486DDF}"/>
    <cellStyle name="Обычный 3 2 2 3 4 5" xfId="2350" xr:uid="{221D76EB-68A3-48FC-AB4D-0003F3630CA6}"/>
    <cellStyle name="Обычный 3 2 2 3 5" xfId="328" xr:uid="{2FCF30A7-F84D-4F10-A27B-CA44B82FD76E}"/>
    <cellStyle name="Обычный 3 2 2 3 5 2" xfId="840" xr:uid="{2B616689-FC18-409B-9EC3-3969A58FFB62}"/>
    <cellStyle name="Обычный 3 2 2 3 5 2 2" xfId="1864" xr:uid="{D034D5F5-D96E-4148-98B7-D641004A835E}"/>
    <cellStyle name="Обычный 3 2 2 3 5 2 2 2" xfId="2351" xr:uid="{2816D1C9-2315-4072-81F2-4FC6F4D59A16}"/>
    <cellStyle name="Обычный 3 2 2 3 5 2 3" xfId="2352" xr:uid="{5C95531C-0816-4595-9494-2CA80B4A9FE6}"/>
    <cellStyle name="Обычный 3 2 2 3 5 3" xfId="1352" xr:uid="{D82FCAF2-F6D8-4404-9483-91ED43CABB02}"/>
    <cellStyle name="Обычный 3 2 2 3 5 3 2" xfId="2353" xr:uid="{1954ABBB-4227-406B-9309-A856C01DE324}"/>
    <cellStyle name="Обычный 3 2 2 3 5 4" xfId="2354" xr:uid="{A097A4B8-E489-433A-921A-303CAA119D40}"/>
    <cellStyle name="Обычный 3 2 2 3 6" xfId="584" xr:uid="{C8B4CBF5-2FE6-4350-B785-302AFAE6A1C3}"/>
    <cellStyle name="Обычный 3 2 2 3 6 2" xfId="1608" xr:uid="{657E3287-E31B-4AA4-BAEE-A747493490B5}"/>
    <cellStyle name="Обычный 3 2 2 3 6 2 2" xfId="2355" xr:uid="{C51D62D0-F935-42AA-B3D6-9AB5DFF92368}"/>
    <cellStyle name="Обычный 3 2 2 3 6 3" xfId="2356" xr:uid="{0725C2BE-E2D5-44F4-B32E-24B7CF39DA3E}"/>
    <cellStyle name="Обычный 3 2 2 3 7" xfId="1096" xr:uid="{F7A1D4AA-F2BC-4F2C-A8EF-2F640BCD95D8}"/>
    <cellStyle name="Обычный 3 2 2 3 7 2" xfId="2357" xr:uid="{BA5210F5-5E98-4C4B-B3A1-27093140841F}"/>
    <cellStyle name="Обычный 3 2 2 3 8" xfId="2358" xr:uid="{1451DF09-EE2B-4221-B8AB-BFC2F430002C}"/>
    <cellStyle name="Обычный 3 2 2 4" xfId="88" xr:uid="{B2DE01A4-2A1A-4AD4-9543-2EB0954DB49D}"/>
    <cellStyle name="Обычный 3 2 2 4 2" xfId="152" xr:uid="{F538E9FF-DF95-4883-92D4-48B7BEB5C742}"/>
    <cellStyle name="Обычный 3 2 2 4 2 2" xfId="280" xr:uid="{C689D058-5F42-4B11-A456-EBFC70E66B8B}"/>
    <cellStyle name="Обычный 3 2 2 4 2 2 2" xfId="536" xr:uid="{42D4C4F7-2839-469A-84BD-6D3DFFBA9682}"/>
    <cellStyle name="Обычный 3 2 2 4 2 2 2 2" xfId="1048" xr:uid="{0A24F5B7-7094-406A-818A-9D3436BF7B7C}"/>
    <cellStyle name="Обычный 3 2 2 4 2 2 2 2 2" xfId="2072" xr:uid="{A353C190-7CA6-41F0-88D9-C465729D51D3}"/>
    <cellStyle name="Обычный 3 2 2 4 2 2 2 2 2 2" xfId="2359" xr:uid="{3AD75892-6199-41A5-8C2A-3050A01D630D}"/>
    <cellStyle name="Обычный 3 2 2 4 2 2 2 2 3" xfId="2360" xr:uid="{9822654D-F722-4A3C-838F-3E75F3BA3682}"/>
    <cellStyle name="Обычный 3 2 2 4 2 2 2 3" xfId="1560" xr:uid="{F526DCBA-5D94-493B-B784-A85F78DD6ABE}"/>
    <cellStyle name="Обычный 3 2 2 4 2 2 2 3 2" xfId="2361" xr:uid="{0380DCE6-FE8C-44AA-B28E-D6D572A43DEA}"/>
    <cellStyle name="Обычный 3 2 2 4 2 2 2 4" xfId="2362" xr:uid="{E8096C27-1527-45B9-A502-CF0BF30FCA6D}"/>
    <cellStyle name="Обычный 3 2 2 4 2 2 3" xfId="792" xr:uid="{0B8E0F51-F992-4CAD-8DD1-CE19293B90C5}"/>
    <cellStyle name="Обычный 3 2 2 4 2 2 3 2" xfId="1816" xr:uid="{B1825DFE-BD72-4858-883A-E1371E2DCA32}"/>
    <cellStyle name="Обычный 3 2 2 4 2 2 3 2 2" xfId="2363" xr:uid="{5E9741D0-2FC0-4653-AB48-B10AC4AC0DB0}"/>
    <cellStyle name="Обычный 3 2 2 4 2 2 3 3" xfId="2364" xr:uid="{F1DD97A1-0573-44DB-A34F-D5BC3DBFE6D4}"/>
    <cellStyle name="Обычный 3 2 2 4 2 2 4" xfId="1304" xr:uid="{69D024A7-7957-4F7D-B047-7EE6B4C930E5}"/>
    <cellStyle name="Обычный 3 2 2 4 2 2 4 2" xfId="2365" xr:uid="{49BAEF38-70BB-4C5D-977A-FF5E4C9333BE}"/>
    <cellStyle name="Обычный 3 2 2 4 2 2 5" xfId="2366" xr:uid="{DC864017-550B-4169-8C4D-F665D8792D4E}"/>
    <cellStyle name="Обычный 3 2 2 4 2 3" xfId="408" xr:uid="{A67A1581-2FB1-4428-81B3-63FEDED25B55}"/>
    <cellStyle name="Обычный 3 2 2 4 2 3 2" xfId="920" xr:uid="{10A32787-A637-4E34-A597-E218270CEC4A}"/>
    <cellStyle name="Обычный 3 2 2 4 2 3 2 2" xfId="1944" xr:uid="{601A3C59-8488-44D3-B786-6874B07B85D2}"/>
    <cellStyle name="Обычный 3 2 2 4 2 3 2 2 2" xfId="2367" xr:uid="{6955F786-DC1E-4F80-B732-CB99A7E611D6}"/>
    <cellStyle name="Обычный 3 2 2 4 2 3 2 3" xfId="2368" xr:uid="{70D74291-1E53-4460-94E7-EE666928AB95}"/>
    <cellStyle name="Обычный 3 2 2 4 2 3 3" xfId="1432" xr:uid="{8E568734-765D-4EF1-ACE0-C0BA3D3DD65A}"/>
    <cellStyle name="Обычный 3 2 2 4 2 3 3 2" xfId="2369" xr:uid="{433D741D-7CC1-4CF4-BF5C-2AF016E73A13}"/>
    <cellStyle name="Обычный 3 2 2 4 2 3 4" xfId="2370" xr:uid="{CB00E648-8D87-4588-97D1-2FDAF0ADE97B}"/>
    <cellStyle name="Обычный 3 2 2 4 2 4" xfId="664" xr:uid="{6D64CE5D-E4B3-4BF3-8A62-2D76CDCDBBA7}"/>
    <cellStyle name="Обычный 3 2 2 4 2 4 2" xfId="1688" xr:uid="{DD83F712-1D5B-4606-A140-D9A09D362CC4}"/>
    <cellStyle name="Обычный 3 2 2 4 2 4 2 2" xfId="2371" xr:uid="{9AB9D01C-AAA7-43B5-ACE6-3826DAB75BD7}"/>
    <cellStyle name="Обычный 3 2 2 4 2 4 3" xfId="2372" xr:uid="{DEB419F6-C7E0-42CB-8C02-FDF791B4F7C0}"/>
    <cellStyle name="Обычный 3 2 2 4 2 5" xfId="1176" xr:uid="{8CAAAC03-6E18-429D-A74E-8DBB961548B1}"/>
    <cellStyle name="Обычный 3 2 2 4 2 5 2" xfId="2373" xr:uid="{80DBB53A-2F12-4A03-A414-2452293F128A}"/>
    <cellStyle name="Обычный 3 2 2 4 2 6" xfId="2374" xr:uid="{FD78AD9E-8BFD-4C72-A604-08484F2AA97F}"/>
    <cellStyle name="Обычный 3 2 2 4 3" xfId="216" xr:uid="{4FAB1CF7-1FE4-4CD7-A8D2-99DE19411B99}"/>
    <cellStyle name="Обычный 3 2 2 4 3 2" xfId="472" xr:uid="{8DC4870F-0DC8-499F-9E98-01C6C209C066}"/>
    <cellStyle name="Обычный 3 2 2 4 3 2 2" xfId="984" xr:uid="{26032EE9-CB71-495C-90FC-CFB3ACFECE86}"/>
    <cellStyle name="Обычный 3 2 2 4 3 2 2 2" xfId="2008" xr:uid="{F86D532E-A295-4299-95B0-4756238F4077}"/>
    <cellStyle name="Обычный 3 2 2 4 3 2 2 2 2" xfId="2375" xr:uid="{9E163F09-BFEB-4F23-9A52-D7CC52DE8EEB}"/>
    <cellStyle name="Обычный 3 2 2 4 3 2 2 3" xfId="2376" xr:uid="{F4866C16-C3F0-43A1-AD1E-0E985147CFDA}"/>
    <cellStyle name="Обычный 3 2 2 4 3 2 3" xfId="1496" xr:uid="{0F6DE327-8F1B-4BCA-BE20-35D4A1DFE767}"/>
    <cellStyle name="Обычный 3 2 2 4 3 2 3 2" xfId="2377" xr:uid="{478851FA-99B9-477C-93A3-68EA44CC1269}"/>
    <cellStyle name="Обычный 3 2 2 4 3 2 4" xfId="2378" xr:uid="{F645105E-EC7D-4ABF-870A-757E5BEFA6B5}"/>
    <cellStyle name="Обычный 3 2 2 4 3 3" xfId="728" xr:uid="{A56D9D19-586C-4EEF-95B8-4090474D9CB8}"/>
    <cellStyle name="Обычный 3 2 2 4 3 3 2" xfId="1752" xr:uid="{17F00582-ACCA-4DC6-8539-5A6997DCDAD8}"/>
    <cellStyle name="Обычный 3 2 2 4 3 3 2 2" xfId="2379" xr:uid="{D903E7F0-69E8-4797-B8A8-14527785E1CC}"/>
    <cellStyle name="Обычный 3 2 2 4 3 3 3" xfId="2380" xr:uid="{7ABD48D5-CB06-46BA-8CE3-D3017E30053B}"/>
    <cellStyle name="Обычный 3 2 2 4 3 4" xfId="1240" xr:uid="{AF834145-89D8-42EA-B5C2-8C8030B8BBA5}"/>
    <cellStyle name="Обычный 3 2 2 4 3 4 2" xfId="2381" xr:uid="{0D84C948-7867-4A94-8ED8-135012ACEF28}"/>
    <cellStyle name="Обычный 3 2 2 4 3 5" xfId="2382" xr:uid="{C4EDDE99-6984-48D8-A201-250F8620BB77}"/>
    <cellStyle name="Обычный 3 2 2 4 4" xfId="344" xr:uid="{78534E70-5966-4D7B-9F47-D92B31990BC7}"/>
    <cellStyle name="Обычный 3 2 2 4 4 2" xfId="856" xr:uid="{8F83D724-9B53-4B30-AB2A-DEFE3D6A15B0}"/>
    <cellStyle name="Обычный 3 2 2 4 4 2 2" xfId="1880" xr:uid="{D20EBA91-9834-4730-9082-9512906BA6CE}"/>
    <cellStyle name="Обычный 3 2 2 4 4 2 2 2" xfId="2383" xr:uid="{F3A9CA82-A55D-45A8-B435-A113D9E3EAD7}"/>
    <cellStyle name="Обычный 3 2 2 4 4 2 3" xfId="2384" xr:uid="{79416188-9502-44BF-9C30-97616109718E}"/>
    <cellStyle name="Обычный 3 2 2 4 4 3" xfId="1368" xr:uid="{46F5FC6C-736A-4B00-AED8-CEE8A279FE9D}"/>
    <cellStyle name="Обычный 3 2 2 4 4 3 2" xfId="2385" xr:uid="{A600A97A-9C94-455F-9290-E64171A0960A}"/>
    <cellStyle name="Обычный 3 2 2 4 4 4" xfId="2386" xr:uid="{8EE55560-0BFB-4052-ACC4-8E121A0710EE}"/>
    <cellStyle name="Обычный 3 2 2 4 5" xfId="600" xr:uid="{25A43FB4-D2D9-4D6E-8F22-24DC322F6275}"/>
    <cellStyle name="Обычный 3 2 2 4 5 2" xfId="1624" xr:uid="{4DD0025B-0D05-48D4-BA4F-6EC274D456E4}"/>
    <cellStyle name="Обычный 3 2 2 4 5 2 2" xfId="2387" xr:uid="{C7FB0113-16AC-4EC4-BCE0-926242F92523}"/>
    <cellStyle name="Обычный 3 2 2 4 5 3" xfId="2388" xr:uid="{84F3AC66-586C-4126-833B-42A795AE4E0F}"/>
    <cellStyle name="Обычный 3 2 2 4 6" xfId="1112" xr:uid="{6DD46519-000F-45F3-9D81-123F6F24E16A}"/>
    <cellStyle name="Обычный 3 2 2 4 6 2" xfId="2389" xr:uid="{83630F81-D7B9-4575-9B35-7DAB2A56E047}"/>
    <cellStyle name="Обычный 3 2 2 4 7" xfId="2390" xr:uid="{6F9B9067-66BC-432B-A8EB-1C918B322480}"/>
    <cellStyle name="Обычный 3 2 2 5" xfId="120" xr:uid="{92CDC628-5F9C-4238-8F52-0F1E15473F56}"/>
    <cellStyle name="Обычный 3 2 2 5 2" xfId="248" xr:uid="{813EE626-2DE6-41FE-AE2E-61F47E0D7CCE}"/>
    <cellStyle name="Обычный 3 2 2 5 2 2" xfId="504" xr:uid="{0761D652-AFA0-490B-9B8D-A264E232A6BA}"/>
    <cellStyle name="Обычный 3 2 2 5 2 2 2" xfId="1016" xr:uid="{EAEAD27B-962A-4095-9EE6-188302699DD7}"/>
    <cellStyle name="Обычный 3 2 2 5 2 2 2 2" xfId="2040" xr:uid="{CFC246D9-A20D-4366-A1F7-A47B6BB26CA4}"/>
    <cellStyle name="Обычный 3 2 2 5 2 2 2 2 2" xfId="2391" xr:uid="{BBF05B61-CF1A-4C9D-95A4-152180D4A312}"/>
    <cellStyle name="Обычный 3 2 2 5 2 2 2 3" xfId="2392" xr:uid="{8CB0D769-6E46-4CB1-BE90-901713670DB9}"/>
    <cellStyle name="Обычный 3 2 2 5 2 2 3" xfId="1528" xr:uid="{F7CA004E-57A8-4A5A-9255-4A84EE10896C}"/>
    <cellStyle name="Обычный 3 2 2 5 2 2 3 2" xfId="2393" xr:uid="{78F40596-FC09-41B7-89C1-E9FCBB7C1B8F}"/>
    <cellStyle name="Обычный 3 2 2 5 2 2 4" xfId="2394" xr:uid="{83789C2A-08B9-4B48-8489-1F95EB055BC5}"/>
    <cellStyle name="Обычный 3 2 2 5 2 3" xfId="760" xr:uid="{692B4CC8-C569-4AE5-B6AA-65729F084413}"/>
    <cellStyle name="Обычный 3 2 2 5 2 3 2" xfId="1784" xr:uid="{429F152F-A4A2-4466-B016-B10D414AE534}"/>
    <cellStyle name="Обычный 3 2 2 5 2 3 2 2" xfId="2395" xr:uid="{4E268CE7-9C57-4739-965C-473690480EEC}"/>
    <cellStyle name="Обычный 3 2 2 5 2 3 3" xfId="2396" xr:uid="{54ED2BF3-EA37-4908-A5D0-DDD38C107536}"/>
    <cellStyle name="Обычный 3 2 2 5 2 4" xfId="1272" xr:uid="{87854C46-B542-43FB-8D7A-E73E27D6BBB5}"/>
    <cellStyle name="Обычный 3 2 2 5 2 4 2" xfId="2397" xr:uid="{44524BFA-9D01-41C3-93FA-29E5A4F76C1D}"/>
    <cellStyle name="Обычный 3 2 2 5 2 5" xfId="2398" xr:uid="{FA261357-1383-4F08-9241-FDBD76BEEC9D}"/>
    <cellStyle name="Обычный 3 2 2 5 3" xfId="376" xr:uid="{6CFA3D9A-CB33-4DC5-8B9E-6E239165F52D}"/>
    <cellStyle name="Обычный 3 2 2 5 3 2" xfId="888" xr:uid="{A62CD3AB-FF69-40CB-BC39-8334ED0BA38F}"/>
    <cellStyle name="Обычный 3 2 2 5 3 2 2" xfId="1912" xr:uid="{AD7F2870-A2FE-44B8-81C3-D7A2D04FF206}"/>
    <cellStyle name="Обычный 3 2 2 5 3 2 2 2" xfId="2399" xr:uid="{07E1E575-592D-43DE-BB45-1A3418489C25}"/>
    <cellStyle name="Обычный 3 2 2 5 3 2 3" xfId="2400" xr:uid="{09635378-85C1-4841-839F-2148BFDC1ADF}"/>
    <cellStyle name="Обычный 3 2 2 5 3 3" xfId="1400" xr:uid="{8A8B6E8A-95C4-4FD6-A363-ED3240EA9EED}"/>
    <cellStyle name="Обычный 3 2 2 5 3 3 2" xfId="2401" xr:uid="{6F5379DC-6436-458D-BB81-C7701E1FBA6C}"/>
    <cellStyle name="Обычный 3 2 2 5 3 4" xfId="2402" xr:uid="{BEF41498-FB01-4BB9-BDBA-BC632FEBA09A}"/>
    <cellStyle name="Обычный 3 2 2 5 4" xfId="632" xr:uid="{3913319B-578D-4B83-A173-3AC551377A56}"/>
    <cellStyle name="Обычный 3 2 2 5 4 2" xfId="1656" xr:uid="{6FD201BA-3423-4E93-B83E-1212A03A4FC2}"/>
    <cellStyle name="Обычный 3 2 2 5 4 2 2" xfId="2403" xr:uid="{8F5D52FC-16FE-497D-BD14-C67F42DA6048}"/>
    <cellStyle name="Обычный 3 2 2 5 4 3" xfId="2404" xr:uid="{FE610EC7-D1FB-4650-B7D9-CAF2AD4DB877}"/>
    <cellStyle name="Обычный 3 2 2 5 5" xfId="1144" xr:uid="{BF6A4FAC-8933-4D1D-B76C-A22C05B2F0B1}"/>
    <cellStyle name="Обычный 3 2 2 5 5 2" xfId="2405" xr:uid="{B35B3980-63BD-4012-B016-138235042198}"/>
    <cellStyle name="Обычный 3 2 2 5 6" xfId="2406" xr:uid="{9A4A432F-78B4-4869-B519-3159FDB7A12C}"/>
    <cellStyle name="Обычный 3 2 2 6" xfId="184" xr:uid="{0B404A54-FA63-4AA8-A7B1-D489E44C3C44}"/>
    <cellStyle name="Обычный 3 2 2 6 2" xfId="440" xr:uid="{22312EBA-85A9-42B7-B7A8-5249607B9ADF}"/>
    <cellStyle name="Обычный 3 2 2 6 2 2" xfId="952" xr:uid="{FE0D1D13-C5AD-4E46-9DBE-A327DBAF3B58}"/>
    <cellStyle name="Обычный 3 2 2 6 2 2 2" xfId="1976" xr:uid="{9787ED00-D498-4509-BF68-F62C0E73F35E}"/>
    <cellStyle name="Обычный 3 2 2 6 2 2 2 2" xfId="2407" xr:uid="{F824CF9F-7D48-4702-A72F-911899CAE104}"/>
    <cellStyle name="Обычный 3 2 2 6 2 2 3" xfId="2408" xr:uid="{2A7BA1BE-32B6-43B7-9692-DF3A5D2F1001}"/>
    <cellStyle name="Обычный 3 2 2 6 2 3" xfId="1464" xr:uid="{DF38E5D0-DFF0-41C1-A5F6-705EBE74E443}"/>
    <cellStyle name="Обычный 3 2 2 6 2 3 2" xfId="2409" xr:uid="{9E8E841D-B4F6-4478-BE7F-A249C2F711F6}"/>
    <cellStyle name="Обычный 3 2 2 6 2 4" xfId="2410" xr:uid="{5B8CBDEA-A568-42A7-8D23-3C2129AF7C0E}"/>
    <cellStyle name="Обычный 3 2 2 6 3" xfId="696" xr:uid="{0F22F26C-C994-4575-971E-FE18C4CB9DD9}"/>
    <cellStyle name="Обычный 3 2 2 6 3 2" xfId="1720" xr:uid="{02EA90B5-AB8C-44BC-8B08-2D90AF6EFE8D}"/>
    <cellStyle name="Обычный 3 2 2 6 3 2 2" xfId="2411" xr:uid="{917D4036-276C-4A31-B81C-55D662F2DE79}"/>
    <cellStyle name="Обычный 3 2 2 6 3 3" xfId="2412" xr:uid="{0D7845B9-DF57-4BEA-B0D4-BE0C67A3C7A9}"/>
    <cellStyle name="Обычный 3 2 2 6 4" xfId="1208" xr:uid="{99E35D69-F29B-4B5C-8233-AFF7B77CFA47}"/>
    <cellStyle name="Обычный 3 2 2 6 4 2" xfId="2413" xr:uid="{A6AEAFB0-7219-4250-A5D2-D58A6D648341}"/>
    <cellStyle name="Обычный 3 2 2 6 5" xfId="2414" xr:uid="{82BE71CE-EEC6-4A92-93D5-EB533627A0AA}"/>
    <cellStyle name="Обычный 3 2 2 7" xfId="312" xr:uid="{296195AC-23FD-4387-91BA-39B1516A30F7}"/>
    <cellStyle name="Обычный 3 2 2 7 2" xfId="824" xr:uid="{1E7F3F96-907F-4CF2-8389-35BEDFB440A2}"/>
    <cellStyle name="Обычный 3 2 2 7 2 2" xfId="1848" xr:uid="{9C0F9E91-4C83-423B-9EEE-1F3BF34E302E}"/>
    <cellStyle name="Обычный 3 2 2 7 2 2 2" xfId="2415" xr:uid="{1E77C082-FB96-49DD-85B1-538AD848B8FA}"/>
    <cellStyle name="Обычный 3 2 2 7 2 3" xfId="2416" xr:uid="{F4E29EC8-38DA-481A-9692-AACC49A70187}"/>
    <cellStyle name="Обычный 3 2 2 7 3" xfId="1336" xr:uid="{CAB43FF0-1F8A-4383-BA3D-C812F7146CDE}"/>
    <cellStyle name="Обычный 3 2 2 7 3 2" xfId="2417" xr:uid="{FCA6E957-4D51-48E2-94F5-9F152041E01C}"/>
    <cellStyle name="Обычный 3 2 2 7 4" xfId="2418" xr:uid="{82C707C2-AED5-457C-9946-0E076AD3D61E}"/>
    <cellStyle name="Обычный 3 2 2 8" xfId="568" xr:uid="{5A0FD278-7D8C-4988-B6AF-2522F0B34787}"/>
    <cellStyle name="Обычный 3 2 2 8 2" xfId="1592" xr:uid="{66B355DB-FE0C-42DF-B10A-C8563C806932}"/>
    <cellStyle name="Обычный 3 2 2 8 2 2" xfId="2419" xr:uid="{DE74BC80-3184-466D-9088-72B529003102}"/>
    <cellStyle name="Обычный 3 2 2 8 3" xfId="2420" xr:uid="{103E076B-864D-451C-8176-7121AE277852}"/>
    <cellStyle name="Обычный 3 2 2 9" xfId="1080" xr:uid="{3BC8368F-E1D9-414E-9D6B-3A1CE50C7988}"/>
    <cellStyle name="Обычный 3 2 2 9 2" xfId="2421" xr:uid="{5425FF4F-C5DF-4E34-B323-6F94BB21DBD3}"/>
    <cellStyle name="Обычный 3 2 3" xfId="59" xr:uid="{9880B453-5E0C-434D-92E8-57E1663B35C8}"/>
    <cellStyle name="Обычный 3 2 3 2" xfId="75" xr:uid="{173C5962-9B60-4736-A10B-193F8C0797E4}"/>
    <cellStyle name="Обычный 3 2 3 2 2" xfId="108" xr:uid="{7BC5D7CD-EFA7-4D30-B321-D44831A83C83}"/>
    <cellStyle name="Обычный 3 2 3 2 2 2" xfId="172" xr:uid="{DEC68EC9-C20B-4872-91FC-B40441FE88AE}"/>
    <cellStyle name="Обычный 3 2 3 2 2 2 2" xfId="300" xr:uid="{58415FC4-C961-4B0E-BA04-7D3C6A2882B1}"/>
    <cellStyle name="Обычный 3 2 3 2 2 2 2 2" xfId="556" xr:uid="{5A6F22BE-0276-4F3F-8F85-81158508B75E}"/>
    <cellStyle name="Обычный 3 2 3 2 2 2 2 2 2" xfId="1068" xr:uid="{5F8A7B44-24C6-4BAF-AC71-4F15E71A7DA2}"/>
    <cellStyle name="Обычный 3 2 3 2 2 2 2 2 2 2" xfId="2092" xr:uid="{A4429419-7BBD-4D08-95A3-EFB565F0EADA}"/>
    <cellStyle name="Обычный 3 2 3 2 2 2 2 2 2 2 2" xfId="2422" xr:uid="{F5FB86AA-C9F2-4179-950E-5A53949F17CC}"/>
    <cellStyle name="Обычный 3 2 3 2 2 2 2 2 2 3" xfId="2423" xr:uid="{A095231B-3DB5-4E66-83B4-B79006CAC2D5}"/>
    <cellStyle name="Обычный 3 2 3 2 2 2 2 2 3" xfId="1580" xr:uid="{A68C9D47-0F5A-4ABA-99A7-A107FC23A1C9}"/>
    <cellStyle name="Обычный 3 2 3 2 2 2 2 2 3 2" xfId="2424" xr:uid="{BAB0B6DD-2965-44B4-AAC3-F97D2B2F2A1B}"/>
    <cellStyle name="Обычный 3 2 3 2 2 2 2 2 4" xfId="2425" xr:uid="{C580BCF4-656E-43D3-A1A7-56A404A4ACB0}"/>
    <cellStyle name="Обычный 3 2 3 2 2 2 2 3" xfId="812" xr:uid="{FE51404C-CC14-409C-AAC1-5A1F70DDCE77}"/>
    <cellStyle name="Обычный 3 2 3 2 2 2 2 3 2" xfId="1836" xr:uid="{9F82B4C2-F1D4-400B-894E-7023E801E742}"/>
    <cellStyle name="Обычный 3 2 3 2 2 2 2 3 2 2" xfId="2426" xr:uid="{7064299B-F29F-46FB-822B-57C2C704EA54}"/>
    <cellStyle name="Обычный 3 2 3 2 2 2 2 3 3" xfId="2427" xr:uid="{0D59D2D4-60A2-46E4-90B9-7DAED09655AA}"/>
    <cellStyle name="Обычный 3 2 3 2 2 2 2 4" xfId="1324" xr:uid="{3F574610-DA1D-4BD3-9524-6F4608F57A49}"/>
    <cellStyle name="Обычный 3 2 3 2 2 2 2 4 2" xfId="2428" xr:uid="{0D7A4560-E3B1-45AA-B01C-7BFDAEE9E45C}"/>
    <cellStyle name="Обычный 3 2 3 2 2 2 2 5" xfId="2429" xr:uid="{0749234C-5C35-4885-951C-1DDDC37723A7}"/>
    <cellStyle name="Обычный 3 2 3 2 2 2 3" xfId="428" xr:uid="{9F448BCC-4A73-41C2-BFC0-4B04573CFB4B}"/>
    <cellStyle name="Обычный 3 2 3 2 2 2 3 2" xfId="940" xr:uid="{9D18F14F-8F25-494A-9738-F2DE2FCC9EF8}"/>
    <cellStyle name="Обычный 3 2 3 2 2 2 3 2 2" xfId="1964" xr:uid="{FEC3156C-84FC-4D00-AAD8-55610D4B8BB4}"/>
    <cellStyle name="Обычный 3 2 3 2 2 2 3 2 2 2" xfId="2430" xr:uid="{19D55EF4-AD65-4035-B182-796887D592E1}"/>
    <cellStyle name="Обычный 3 2 3 2 2 2 3 2 3" xfId="2431" xr:uid="{8E5D9FD4-5CF2-4323-8C11-4E249EDEE26A}"/>
    <cellStyle name="Обычный 3 2 3 2 2 2 3 3" xfId="1452" xr:uid="{A518B712-1D9F-43B8-A932-56651A374DFF}"/>
    <cellStyle name="Обычный 3 2 3 2 2 2 3 3 2" xfId="2432" xr:uid="{10B42ACF-05AD-4851-BE13-5916E622B0A9}"/>
    <cellStyle name="Обычный 3 2 3 2 2 2 3 4" xfId="2433" xr:uid="{65F37C2E-ED77-4C60-BF9A-6741DA102D01}"/>
    <cellStyle name="Обычный 3 2 3 2 2 2 4" xfId="684" xr:uid="{9F5B85C6-76AA-4640-A830-2E8BFCAAA9BB}"/>
    <cellStyle name="Обычный 3 2 3 2 2 2 4 2" xfId="1708" xr:uid="{2012AE08-AEA4-468B-B2D1-9A91B8602245}"/>
    <cellStyle name="Обычный 3 2 3 2 2 2 4 2 2" xfId="2434" xr:uid="{5B7BFC61-73AE-4F2F-8B0B-BBAF7B230A93}"/>
    <cellStyle name="Обычный 3 2 3 2 2 2 4 3" xfId="2435" xr:uid="{6C0DD208-230C-4C5A-8A8A-A6D93620A292}"/>
    <cellStyle name="Обычный 3 2 3 2 2 2 5" xfId="1196" xr:uid="{71FAA444-E638-4745-A8F5-4420BE5CD7BD}"/>
    <cellStyle name="Обычный 3 2 3 2 2 2 5 2" xfId="2436" xr:uid="{4BD5BB36-2FAE-48CD-B0F8-A19CBD879E5F}"/>
    <cellStyle name="Обычный 3 2 3 2 2 2 6" xfId="2437" xr:uid="{9BE72E6A-E55B-4B52-B391-F51921EAE8C4}"/>
    <cellStyle name="Обычный 3 2 3 2 2 3" xfId="236" xr:uid="{A55AB1CA-0DBF-4828-9151-E804AD4C9927}"/>
    <cellStyle name="Обычный 3 2 3 2 2 3 2" xfId="492" xr:uid="{CA023AF0-020A-49D2-8DCD-019904F6169B}"/>
    <cellStyle name="Обычный 3 2 3 2 2 3 2 2" xfId="1004" xr:uid="{ADF50E35-4687-436C-96FF-7F1C88A89611}"/>
    <cellStyle name="Обычный 3 2 3 2 2 3 2 2 2" xfId="2028" xr:uid="{973A2B59-41D9-4B93-A901-B91D4FC7C385}"/>
    <cellStyle name="Обычный 3 2 3 2 2 3 2 2 2 2" xfId="2438" xr:uid="{6B0A5D8A-E9DF-45BB-9440-078C07D97693}"/>
    <cellStyle name="Обычный 3 2 3 2 2 3 2 2 3" xfId="2439" xr:uid="{57CFB38E-9A24-4ACD-9321-5E61A04E6EDD}"/>
    <cellStyle name="Обычный 3 2 3 2 2 3 2 3" xfId="1516" xr:uid="{C29A90E4-62CB-4132-AE9C-D8F40559BCB4}"/>
    <cellStyle name="Обычный 3 2 3 2 2 3 2 3 2" xfId="2440" xr:uid="{D9F75DCD-C55F-4D6C-99AE-5BA5F1DDA47D}"/>
    <cellStyle name="Обычный 3 2 3 2 2 3 2 4" xfId="2441" xr:uid="{562916D7-1CC2-4A27-8E62-5BF9A087F6CF}"/>
    <cellStyle name="Обычный 3 2 3 2 2 3 3" xfId="748" xr:uid="{CDC66154-7F0D-4A7F-9B78-7F5C9AEE7D2E}"/>
    <cellStyle name="Обычный 3 2 3 2 2 3 3 2" xfId="1772" xr:uid="{6DC6D0E3-4A57-4E7B-9C43-9F14E8B95B2F}"/>
    <cellStyle name="Обычный 3 2 3 2 2 3 3 2 2" xfId="2442" xr:uid="{0F2D59CE-C97B-47BE-B836-AF59978C9C3B}"/>
    <cellStyle name="Обычный 3 2 3 2 2 3 3 3" xfId="2443" xr:uid="{D7C96B28-45B0-4F30-BFBA-196C711AE484}"/>
    <cellStyle name="Обычный 3 2 3 2 2 3 4" xfId="1260" xr:uid="{7A5D923B-489C-4165-BD74-A6374669FBC7}"/>
    <cellStyle name="Обычный 3 2 3 2 2 3 4 2" xfId="2444" xr:uid="{FDAC7C30-EEF4-4256-BC2A-F2C8152F558D}"/>
    <cellStyle name="Обычный 3 2 3 2 2 3 5" xfId="2445" xr:uid="{D310784A-39D5-4407-BB3E-70FEC9FE980F}"/>
    <cellStyle name="Обычный 3 2 3 2 2 4" xfId="364" xr:uid="{7130EF77-80BE-4AC1-BE85-0304B870A4D7}"/>
    <cellStyle name="Обычный 3 2 3 2 2 4 2" xfId="876" xr:uid="{7F0C0A7C-4D75-4810-A6FC-754A2DDB0FAE}"/>
    <cellStyle name="Обычный 3 2 3 2 2 4 2 2" xfId="1900" xr:uid="{7CBFA736-34BC-4822-8D75-2EA840CFF063}"/>
    <cellStyle name="Обычный 3 2 3 2 2 4 2 2 2" xfId="2446" xr:uid="{A1F01E5B-9971-4548-89CA-1586BBB9366F}"/>
    <cellStyle name="Обычный 3 2 3 2 2 4 2 3" xfId="2447" xr:uid="{907A69C3-60F8-4721-A5EA-1C3F2A462826}"/>
    <cellStyle name="Обычный 3 2 3 2 2 4 3" xfId="1388" xr:uid="{0CDEEC11-DA9F-42FF-8A39-C1B9965B8ADA}"/>
    <cellStyle name="Обычный 3 2 3 2 2 4 3 2" xfId="2448" xr:uid="{900A6EF6-74F3-4213-9024-0FA8D21EB806}"/>
    <cellStyle name="Обычный 3 2 3 2 2 4 4" xfId="2449" xr:uid="{6A3A6F42-DBA3-4C95-954D-8AB1F3DD7226}"/>
    <cellStyle name="Обычный 3 2 3 2 2 5" xfId="620" xr:uid="{00D712EA-7995-40FF-9B4F-72B58470D744}"/>
    <cellStyle name="Обычный 3 2 3 2 2 5 2" xfId="1644" xr:uid="{BBF02A3D-637C-4F4D-9500-C7D383517BC0}"/>
    <cellStyle name="Обычный 3 2 3 2 2 5 2 2" xfId="2450" xr:uid="{3116AFAB-E772-4BD3-BC61-D746E0B7A390}"/>
    <cellStyle name="Обычный 3 2 3 2 2 5 3" xfId="2451" xr:uid="{745F368C-66B2-4051-A127-421A524CD14E}"/>
    <cellStyle name="Обычный 3 2 3 2 2 6" xfId="1132" xr:uid="{9DF8E21B-67F2-4CC8-8985-A2D18917B9CF}"/>
    <cellStyle name="Обычный 3 2 3 2 2 6 2" xfId="2452" xr:uid="{66F29149-12B6-4FCB-BB6E-9F05350CDB42}"/>
    <cellStyle name="Обычный 3 2 3 2 2 7" xfId="2453" xr:uid="{C26AE930-1F99-40F9-951B-78BDA458D49F}"/>
    <cellStyle name="Обычный 3 2 3 2 3" xfId="140" xr:uid="{8385AB6A-0621-47F9-B74F-DABCFB2D977B}"/>
    <cellStyle name="Обычный 3 2 3 2 3 2" xfId="268" xr:uid="{9973DF3B-6CEB-48DE-B5C3-44756BFC3F0F}"/>
    <cellStyle name="Обычный 3 2 3 2 3 2 2" xfId="524" xr:uid="{2B3C46EB-CE77-41FB-81B7-B763A0C2230C}"/>
    <cellStyle name="Обычный 3 2 3 2 3 2 2 2" xfId="1036" xr:uid="{2C885B7D-D25E-4DD1-B7F1-78307BCD5E9F}"/>
    <cellStyle name="Обычный 3 2 3 2 3 2 2 2 2" xfId="2060" xr:uid="{8E4D3F59-6C95-4286-98C0-3222C5881429}"/>
    <cellStyle name="Обычный 3 2 3 2 3 2 2 2 2 2" xfId="2454" xr:uid="{31E5C03E-B78B-4C8C-B06F-0641133C3604}"/>
    <cellStyle name="Обычный 3 2 3 2 3 2 2 2 3" xfId="2455" xr:uid="{7A4281A9-9CF4-4CC1-AE23-8910524D13A3}"/>
    <cellStyle name="Обычный 3 2 3 2 3 2 2 3" xfId="1548" xr:uid="{88CEB9B3-8A8D-4750-85EC-6CE366AAD691}"/>
    <cellStyle name="Обычный 3 2 3 2 3 2 2 3 2" xfId="2456" xr:uid="{DF31E79B-41CF-4675-9329-79136F9853FC}"/>
    <cellStyle name="Обычный 3 2 3 2 3 2 2 4" xfId="2457" xr:uid="{2D1FC2A5-C6A2-473B-90E2-68EEBC7B4338}"/>
    <cellStyle name="Обычный 3 2 3 2 3 2 3" xfId="780" xr:uid="{868A170E-03AD-4DBD-95B6-BEF95E35FD09}"/>
    <cellStyle name="Обычный 3 2 3 2 3 2 3 2" xfId="1804" xr:uid="{82B3F6CE-52C7-44BB-9E62-0A587B4E7D45}"/>
    <cellStyle name="Обычный 3 2 3 2 3 2 3 2 2" xfId="2458" xr:uid="{C6CD24DA-6552-4846-83CE-18F741846B44}"/>
    <cellStyle name="Обычный 3 2 3 2 3 2 3 3" xfId="2459" xr:uid="{04870BB3-51E5-4FE7-BB9D-0E7D377E0A89}"/>
    <cellStyle name="Обычный 3 2 3 2 3 2 4" xfId="1292" xr:uid="{785C7EA3-5431-4EA9-81B1-33D22203D571}"/>
    <cellStyle name="Обычный 3 2 3 2 3 2 4 2" xfId="2460" xr:uid="{B4688F9C-52F6-4EBA-BA34-8F887BBA916E}"/>
    <cellStyle name="Обычный 3 2 3 2 3 2 5" xfId="2461" xr:uid="{CE17664F-6881-44D8-BD25-D841BDA94E1C}"/>
    <cellStyle name="Обычный 3 2 3 2 3 3" xfId="396" xr:uid="{36CFB16F-DA9F-415C-B247-BB2157C63B0A}"/>
    <cellStyle name="Обычный 3 2 3 2 3 3 2" xfId="908" xr:uid="{DDB36383-5602-41C7-A542-10003CA25088}"/>
    <cellStyle name="Обычный 3 2 3 2 3 3 2 2" xfId="1932" xr:uid="{03EE751F-08B8-4E3A-9F27-2ED57153B855}"/>
    <cellStyle name="Обычный 3 2 3 2 3 3 2 2 2" xfId="2462" xr:uid="{82B96FEF-BA9A-49DC-BBF0-FF9D5F2E5C82}"/>
    <cellStyle name="Обычный 3 2 3 2 3 3 2 3" xfId="2463" xr:uid="{6091370B-9057-40F4-B7C7-348A264438FD}"/>
    <cellStyle name="Обычный 3 2 3 2 3 3 3" xfId="1420" xr:uid="{83F09E8D-9E41-4205-AE54-36F831C5A2CB}"/>
    <cellStyle name="Обычный 3 2 3 2 3 3 3 2" xfId="2464" xr:uid="{8AA5460B-E8F9-486F-BC61-A812C76A3C68}"/>
    <cellStyle name="Обычный 3 2 3 2 3 3 4" xfId="2465" xr:uid="{7EEB37D3-9368-46A5-984A-F9675B15D374}"/>
    <cellStyle name="Обычный 3 2 3 2 3 4" xfId="652" xr:uid="{A68A6D86-3FCA-459C-9A3A-D683864FA8A2}"/>
    <cellStyle name="Обычный 3 2 3 2 3 4 2" xfId="1676" xr:uid="{67AE2BFD-BB41-4AF3-BCEE-18B4584003B7}"/>
    <cellStyle name="Обычный 3 2 3 2 3 4 2 2" xfId="2466" xr:uid="{78956372-0CCB-41AD-8F9F-9F8BDCF1C7D5}"/>
    <cellStyle name="Обычный 3 2 3 2 3 4 3" xfId="2467" xr:uid="{170C7E7D-6444-4C6C-80F5-73E10E9F8654}"/>
    <cellStyle name="Обычный 3 2 3 2 3 5" xfId="1164" xr:uid="{87F629C8-2085-4407-ADCB-38C5E02C47CF}"/>
    <cellStyle name="Обычный 3 2 3 2 3 5 2" xfId="2468" xr:uid="{6CF5D0B2-32F1-4CC6-9CF5-3E0F2621D542}"/>
    <cellStyle name="Обычный 3 2 3 2 3 6" xfId="2469" xr:uid="{2D31AC40-38F8-46C6-BB5D-1F12BB60A716}"/>
    <cellStyle name="Обычный 3 2 3 2 4" xfId="204" xr:uid="{5B8C8DD0-A7A0-49D6-B129-1B9C5016FEA6}"/>
    <cellStyle name="Обычный 3 2 3 2 4 2" xfId="460" xr:uid="{4FC299EF-2331-4339-9005-BAF5F7FAA292}"/>
    <cellStyle name="Обычный 3 2 3 2 4 2 2" xfId="972" xr:uid="{551E044F-B051-47C5-B769-5BC25A39ED8A}"/>
    <cellStyle name="Обычный 3 2 3 2 4 2 2 2" xfId="1996" xr:uid="{80D6DBD7-EA47-4B66-93D0-A823D37092C1}"/>
    <cellStyle name="Обычный 3 2 3 2 4 2 2 2 2" xfId="2470" xr:uid="{4C711592-81D2-4220-9E09-EAA346C0D22B}"/>
    <cellStyle name="Обычный 3 2 3 2 4 2 2 3" xfId="2471" xr:uid="{BCBC69D2-DEAB-4963-8C92-4639F4F1DFED}"/>
    <cellStyle name="Обычный 3 2 3 2 4 2 3" xfId="1484" xr:uid="{2B4BC916-A491-439B-8513-6A6ADED92C50}"/>
    <cellStyle name="Обычный 3 2 3 2 4 2 3 2" xfId="2472" xr:uid="{B4BC5FC7-B4D4-4CE5-BC33-5103E5F411FE}"/>
    <cellStyle name="Обычный 3 2 3 2 4 2 4" xfId="2473" xr:uid="{A4B7971D-CA62-4718-9364-F59BFDE8E673}"/>
    <cellStyle name="Обычный 3 2 3 2 4 3" xfId="716" xr:uid="{9F7E2826-130D-41FD-82C4-8DE59E0C21E1}"/>
    <cellStyle name="Обычный 3 2 3 2 4 3 2" xfId="1740" xr:uid="{439A5101-602E-422F-8716-9F3FDFFBBC0D}"/>
    <cellStyle name="Обычный 3 2 3 2 4 3 2 2" xfId="2474" xr:uid="{0D745C08-A8D0-481E-A959-FC709E104BA5}"/>
    <cellStyle name="Обычный 3 2 3 2 4 3 3" xfId="2475" xr:uid="{6BA73870-CD5B-45E3-8007-F03410AFF6B9}"/>
    <cellStyle name="Обычный 3 2 3 2 4 4" xfId="1228" xr:uid="{D80EC295-B830-42AA-ABAF-EE20ADB36FBB}"/>
    <cellStyle name="Обычный 3 2 3 2 4 4 2" xfId="2476" xr:uid="{1015A665-91E6-4CFD-927F-03B9E920503E}"/>
    <cellStyle name="Обычный 3 2 3 2 4 5" xfId="2477" xr:uid="{B4187B76-214E-48BF-9A70-77A357F24635}"/>
    <cellStyle name="Обычный 3 2 3 2 5" xfId="332" xr:uid="{BF11E71A-3EF0-4480-841A-4DE2DA3C65BE}"/>
    <cellStyle name="Обычный 3 2 3 2 5 2" xfId="844" xr:uid="{6506DF2E-2463-461D-A1B0-3D9734EBAD7A}"/>
    <cellStyle name="Обычный 3 2 3 2 5 2 2" xfId="1868" xr:uid="{A2BDFA30-A2DF-44C3-BA70-76F3C5E0EDDA}"/>
    <cellStyle name="Обычный 3 2 3 2 5 2 2 2" xfId="2478" xr:uid="{931772CD-94A0-4BC5-ACD0-9F202BCF9A5C}"/>
    <cellStyle name="Обычный 3 2 3 2 5 2 3" xfId="2479" xr:uid="{4F1703F7-CFA4-45F2-B6DD-DE2D3A123EC8}"/>
    <cellStyle name="Обычный 3 2 3 2 5 3" xfId="1356" xr:uid="{C6832292-F454-4B80-8929-3441CC3DA721}"/>
    <cellStyle name="Обычный 3 2 3 2 5 3 2" xfId="2480" xr:uid="{D4168586-E05B-4F7A-9830-E400B6902245}"/>
    <cellStyle name="Обычный 3 2 3 2 5 4" xfId="2481" xr:uid="{F1E69687-493A-4DDE-982A-037E88B76E72}"/>
    <cellStyle name="Обычный 3 2 3 2 6" xfId="588" xr:uid="{8BD7917B-E1AA-49E7-91A9-C039B6B46AD3}"/>
    <cellStyle name="Обычный 3 2 3 2 6 2" xfId="1612" xr:uid="{59C0E640-304E-471C-B4D8-68EA791ABC29}"/>
    <cellStyle name="Обычный 3 2 3 2 6 2 2" xfId="2482" xr:uid="{5881AAF9-43C3-487F-A744-5113141F1377}"/>
    <cellStyle name="Обычный 3 2 3 2 6 3" xfId="2483" xr:uid="{C231D8F2-FA48-4A4C-BBD9-87085C71F81A}"/>
    <cellStyle name="Обычный 3 2 3 2 7" xfId="1100" xr:uid="{9892E836-ECF3-493D-8FA8-BC22FF2AA394}"/>
    <cellStyle name="Обычный 3 2 3 2 7 2" xfId="2484" xr:uid="{0ECA0C14-A094-47A2-B992-A6F2B20906EB}"/>
    <cellStyle name="Обычный 3 2 3 2 8" xfId="2485" xr:uid="{EE20C1D2-9C3A-471A-902A-46F77F1F5E5E}"/>
    <cellStyle name="Обычный 3 2 3 3" xfId="92" xr:uid="{95613F25-1AB3-4B33-94AD-35A213C2B395}"/>
    <cellStyle name="Обычный 3 2 3 3 2" xfId="156" xr:uid="{5FC8A6AF-0811-4936-8E53-DBA7C1F3FA10}"/>
    <cellStyle name="Обычный 3 2 3 3 2 2" xfId="284" xr:uid="{24B12931-B288-4F9D-817F-33DEDAD4061C}"/>
    <cellStyle name="Обычный 3 2 3 3 2 2 2" xfId="540" xr:uid="{3B7125B5-7A92-4DC1-82DA-D905AF91601A}"/>
    <cellStyle name="Обычный 3 2 3 3 2 2 2 2" xfId="1052" xr:uid="{8C7025B0-1B9F-4BE7-A4BA-6014304BF605}"/>
    <cellStyle name="Обычный 3 2 3 3 2 2 2 2 2" xfId="2076" xr:uid="{CC039A3F-E305-404B-9FC2-68B0EBC9EE34}"/>
    <cellStyle name="Обычный 3 2 3 3 2 2 2 2 2 2" xfId="2486" xr:uid="{5792AFC5-3757-4579-AF47-CF2EEF4FB490}"/>
    <cellStyle name="Обычный 3 2 3 3 2 2 2 2 3" xfId="2487" xr:uid="{A8E7BB6F-F535-492A-8F3D-D3E3BD16A481}"/>
    <cellStyle name="Обычный 3 2 3 3 2 2 2 3" xfId="1564" xr:uid="{DE0FE1AB-C4D4-4DC9-A56A-1F89773677D7}"/>
    <cellStyle name="Обычный 3 2 3 3 2 2 2 3 2" xfId="2488" xr:uid="{D987A9AE-752D-4B4E-A48D-EC3DD3DB207B}"/>
    <cellStyle name="Обычный 3 2 3 3 2 2 2 4" xfId="2489" xr:uid="{D2451B4E-1D21-446F-AAA2-D4E4BFB41C0F}"/>
    <cellStyle name="Обычный 3 2 3 3 2 2 3" xfId="796" xr:uid="{D1D55955-A023-4EDD-B168-BD8F44F6928B}"/>
    <cellStyle name="Обычный 3 2 3 3 2 2 3 2" xfId="1820" xr:uid="{49925038-A3B3-4EF0-A982-6A4DF12BA308}"/>
    <cellStyle name="Обычный 3 2 3 3 2 2 3 2 2" xfId="2490" xr:uid="{87BAA92F-5EAE-4B70-938E-8DED97BF48C8}"/>
    <cellStyle name="Обычный 3 2 3 3 2 2 3 3" xfId="2491" xr:uid="{0D3383DB-D12D-4892-9AD2-AB26D7042515}"/>
    <cellStyle name="Обычный 3 2 3 3 2 2 4" xfId="1308" xr:uid="{D949C2FA-D6D7-4BBC-885C-ED9256C4EE81}"/>
    <cellStyle name="Обычный 3 2 3 3 2 2 4 2" xfId="2492" xr:uid="{65C53CD5-CCBB-4852-8660-70A177098B8E}"/>
    <cellStyle name="Обычный 3 2 3 3 2 2 5" xfId="2493" xr:uid="{BA85A7F2-8F78-423F-89B6-B20ECAE84821}"/>
    <cellStyle name="Обычный 3 2 3 3 2 3" xfId="412" xr:uid="{B9FB03B4-1647-4FB8-B920-21C4212663FE}"/>
    <cellStyle name="Обычный 3 2 3 3 2 3 2" xfId="924" xr:uid="{938E3FF3-2387-48BD-AEF7-2B98070A9152}"/>
    <cellStyle name="Обычный 3 2 3 3 2 3 2 2" xfId="1948" xr:uid="{3F8FCB3E-7A09-4376-B94B-0AEC5808E2AD}"/>
    <cellStyle name="Обычный 3 2 3 3 2 3 2 2 2" xfId="2494" xr:uid="{B6F14ADE-B66E-4B18-BB56-68CB249AB643}"/>
    <cellStyle name="Обычный 3 2 3 3 2 3 2 3" xfId="2495" xr:uid="{ED1832B8-A69F-41D7-984B-E44FA67AED5C}"/>
    <cellStyle name="Обычный 3 2 3 3 2 3 3" xfId="1436" xr:uid="{43205414-7BAB-401C-A519-089D1C0D0AB3}"/>
    <cellStyle name="Обычный 3 2 3 3 2 3 3 2" xfId="2496" xr:uid="{1C04340C-284D-443F-8866-1893872B1B9E}"/>
    <cellStyle name="Обычный 3 2 3 3 2 3 4" xfId="2497" xr:uid="{2A05EAA8-1A9A-4CCF-891B-A00036A49FB0}"/>
    <cellStyle name="Обычный 3 2 3 3 2 4" xfId="668" xr:uid="{D31A2ADD-3260-4441-8828-37F74B5930CB}"/>
    <cellStyle name="Обычный 3 2 3 3 2 4 2" xfId="1692" xr:uid="{E51E07C9-97E7-4390-B83D-4D001AA9C01B}"/>
    <cellStyle name="Обычный 3 2 3 3 2 4 2 2" xfId="2498" xr:uid="{E74117D2-E39B-44D8-B650-C0D160A340A0}"/>
    <cellStyle name="Обычный 3 2 3 3 2 4 3" xfId="2499" xr:uid="{3C658C6F-3BC8-4200-9669-C352D553D8C6}"/>
    <cellStyle name="Обычный 3 2 3 3 2 5" xfId="1180" xr:uid="{813F21AD-D067-4161-B46F-D552F9F298E7}"/>
    <cellStyle name="Обычный 3 2 3 3 2 5 2" xfId="2500" xr:uid="{4C51A1AE-3297-4FDB-81CE-4F8C4920836B}"/>
    <cellStyle name="Обычный 3 2 3 3 2 6" xfId="2501" xr:uid="{1F7C4778-D3AE-4709-894B-1D65C9FDE311}"/>
    <cellStyle name="Обычный 3 2 3 3 3" xfId="220" xr:uid="{E8910E2B-0B3D-4092-9C5A-EAEB010474AA}"/>
    <cellStyle name="Обычный 3 2 3 3 3 2" xfId="476" xr:uid="{1BEF8B0D-666E-45EF-8C3B-F02C131ADF0D}"/>
    <cellStyle name="Обычный 3 2 3 3 3 2 2" xfId="988" xr:uid="{66237133-86CB-45F3-9D02-D1FB965C5D93}"/>
    <cellStyle name="Обычный 3 2 3 3 3 2 2 2" xfId="2012" xr:uid="{051AB55B-0606-4C87-A61F-FF103E6386BA}"/>
    <cellStyle name="Обычный 3 2 3 3 3 2 2 2 2" xfId="2502" xr:uid="{1D7C8ACB-2DC6-4F35-9B73-4D614961BB54}"/>
    <cellStyle name="Обычный 3 2 3 3 3 2 2 3" xfId="2503" xr:uid="{4931EEE8-FD9B-44F2-8A79-5F797EBFFBF9}"/>
    <cellStyle name="Обычный 3 2 3 3 3 2 3" xfId="1500" xr:uid="{5506BE6E-7807-4689-A548-12C0DA512989}"/>
    <cellStyle name="Обычный 3 2 3 3 3 2 3 2" xfId="2504" xr:uid="{4B853011-61FC-4370-833B-46AE2E213813}"/>
    <cellStyle name="Обычный 3 2 3 3 3 2 4" xfId="2505" xr:uid="{0960DE91-ED0A-4CD1-8982-C6AF874EC0E4}"/>
    <cellStyle name="Обычный 3 2 3 3 3 3" xfId="732" xr:uid="{80AFC7CB-B054-4973-AB82-92CBCEF8EFED}"/>
    <cellStyle name="Обычный 3 2 3 3 3 3 2" xfId="1756" xr:uid="{4D378BA2-85BE-4B79-A5EF-40A887296A5B}"/>
    <cellStyle name="Обычный 3 2 3 3 3 3 2 2" xfId="2506" xr:uid="{F102B746-193F-4DC6-994B-EDF375114DAC}"/>
    <cellStyle name="Обычный 3 2 3 3 3 3 3" xfId="2507" xr:uid="{C43311BF-A2CC-4630-9BCB-B3F3C71505BF}"/>
    <cellStyle name="Обычный 3 2 3 3 3 4" xfId="1244" xr:uid="{FD7B923A-9857-44F4-A787-C34F1430A27E}"/>
    <cellStyle name="Обычный 3 2 3 3 3 4 2" xfId="2508" xr:uid="{2173C2C8-761A-4074-A0A7-05AF31365070}"/>
    <cellStyle name="Обычный 3 2 3 3 3 5" xfId="2509" xr:uid="{18E313FE-466F-4D20-BA70-A291273B7B39}"/>
    <cellStyle name="Обычный 3 2 3 3 4" xfId="348" xr:uid="{AA995341-E2FE-4FD5-94A6-339D505D4D1C}"/>
    <cellStyle name="Обычный 3 2 3 3 4 2" xfId="860" xr:uid="{7F9BA3FD-8137-4D14-8F64-DF19D5A392E8}"/>
    <cellStyle name="Обычный 3 2 3 3 4 2 2" xfId="1884" xr:uid="{D2AC44C8-2A52-402D-BE02-6C89FAE8BCA3}"/>
    <cellStyle name="Обычный 3 2 3 3 4 2 2 2" xfId="2510" xr:uid="{B31307CB-5046-4D70-B38E-5418E5144D79}"/>
    <cellStyle name="Обычный 3 2 3 3 4 2 3" xfId="2511" xr:uid="{12BA4554-A30F-4703-B7F0-6423032D9C9B}"/>
    <cellStyle name="Обычный 3 2 3 3 4 3" xfId="1372" xr:uid="{FCC6BB3D-2562-4ECB-A856-0E7FD56B9085}"/>
    <cellStyle name="Обычный 3 2 3 3 4 3 2" xfId="2512" xr:uid="{40CA593A-E658-4551-843D-8B334A6CE3B3}"/>
    <cellStyle name="Обычный 3 2 3 3 4 4" xfId="2513" xr:uid="{DFFF162E-28F9-49BD-94B3-0500040F6FE1}"/>
    <cellStyle name="Обычный 3 2 3 3 5" xfId="604" xr:uid="{996BAE21-0651-49F6-B34B-CED818914675}"/>
    <cellStyle name="Обычный 3 2 3 3 5 2" xfId="1628" xr:uid="{DE314CC5-819F-4D52-8971-C517BF5C70A9}"/>
    <cellStyle name="Обычный 3 2 3 3 5 2 2" xfId="2514" xr:uid="{469F882D-A4A3-4414-979E-C500DF7A0B73}"/>
    <cellStyle name="Обычный 3 2 3 3 5 3" xfId="2515" xr:uid="{200300AA-8617-4343-BC94-AE15EDFCABF1}"/>
    <cellStyle name="Обычный 3 2 3 3 6" xfId="1116" xr:uid="{3451B0A6-7458-4F53-A0F2-15D90373D6B2}"/>
    <cellStyle name="Обычный 3 2 3 3 6 2" xfId="2516" xr:uid="{9E9C5B22-2367-4C66-87D2-8196823BFC72}"/>
    <cellStyle name="Обычный 3 2 3 3 7" xfId="2517" xr:uid="{CFDEA207-BC7F-4C83-8960-4BD2466B0B3D}"/>
    <cellStyle name="Обычный 3 2 3 4" xfId="124" xr:uid="{A05466E6-0B09-409F-B4E2-368C1361701F}"/>
    <cellStyle name="Обычный 3 2 3 4 2" xfId="252" xr:uid="{B985F5BE-F15E-4023-9CE0-4C19FA938AB9}"/>
    <cellStyle name="Обычный 3 2 3 4 2 2" xfId="508" xr:uid="{5BBCEF35-D123-4C0E-A7CD-68247EE47725}"/>
    <cellStyle name="Обычный 3 2 3 4 2 2 2" xfId="1020" xr:uid="{F33471B5-D866-472A-BB46-4323BB79B2B4}"/>
    <cellStyle name="Обычный 3 2 3 4 2 2 2 2" xfId="2044" xr:uid="{C9829054-85BE-462C-A297-EB65A1D90CCC}"/>
    <cellStyle name="Обычный 3 2 3 4 2 2 2 2 2" xfId="2518" xr:uid="{9910C442-FD2E-4E1F-B129-44DD0FA8573B}"/>
    <cellStyle name="Обычный 3 2 3 4 2 2 2 3" xfId="2519" xr:uid="{D7566807-E53A-4BA0-893D-3119D1B75DE2}"/>
    <cellStyle name="Обычный 3 2 3 4 2 2 3" xfId="1532" xr:uid="{3139F150-F10E-41D7-B692-3FD4B5CA63DC}"/>
    <cellStyle name="Обычный 3 2 3 4 2 2 3 2" xfId="2520" xr:uid="{4637FA15-9D0F-4922-8689-5B0F8D9A24C4}"/>
    <cellStyle name="Обычный 3 2 3 4 2 2 4" xfId="2521" xr:uid="{38679408-DC2B-41B2-9FA6-0AE8721D6C25}"/>
    <cellStyle name="Обычный 3 2 3 4 2 3" xfId="764" xr:uid="{08D2CD09-583B-4996-90C4-2C83F943BF08}"/>
    <cellStyle name="Обычный 3 2 3 4 2 3 2" xfId="1788" xr:uid="{E664449D-D862-437F-AF78-C25594B9A787}"/>
    <cellStyle name="Обычный 3 2 3 4 2 3 2 2" xfId="2522" xr:uid="{B5184F46-80C7-4888-8040-8C7754447A40}"/>
    <cellStyle name="Обычный 3 2 3 4 2 3 3" xfId="2523" xr:uid="{F76C56CD-1B6E-4B1C-A9C0-6BECF6E4F82D}"/>
    <cellStyle name="Обычный 3 2 3 4 2 4" xfId="1276" xr:uid="{B78A7AE5-183A-41E9-9C34-24908633A70E}"/>
    <cellStyle name="Обычный 3 2 3 4 2 4 2" xfId="2524" xr:uid="{17CDC200-3FE4-4D3E-A9EA-66B1CC0D2EE2}"/>
    <cellStyle name="Обычный 3 2 3 4 2 5" xfId="2525" xr:uid="{A8E86150-66B4-44D3-B06A-76E28CBB4428}"/>
    <cellStyle name="Обычный 3 2 3 4 3" xfId="380" xr:uid="{6E9EE035-E193-4AD2-81B7-AB7918B0E1B5}"/>
    <cellStyle name="Обычный 3 2 3 4 3 2" xfId="892" xr:uid="{40313068-5511-4437-AE68-6C4907AB0687}"/>
    <cellStyle name="Обычный 3 2 3 4 3 2 2" xfId="1916" xr:uid="{EC944CFF-1A3E-4AB1-969A-EFF07DE23271}"/>
    <cellStyle name="Обычный 3 2 3 4 3 2 2 2" xfId="2526" xr:uid="{3D6B8FCB-C8F7-4E14-A0C2-8C983B3B22E3}"/>
    <cellStyle name="Обычный 3 2 3 4 3 2 3" xfId="2527" xr:uid="{11D82A2F-6EDD-4E40-8696-D800C5589776}"/>
    <cellStyle name="Обычный 3 2 3 4 3 3" xfId="1404" xr:uid="{E09F1A05-F080-49AD-BF82-8A15BA449A6D}"/>
    <cellStyle name="Обычный 3 2 3 4 3 3 2" xfId="2528" xr:uid="{1E0A2887-0BD0-49F7-AFAD-C1B26BC6E10D}"/>
    <cellStyle name="Обычный 3 2 3 4 3 4" xfId="2529" xr:uid="{E167F524-E222-4AAD-9C11-49D22CA3AD71}"/>
    <cellStyle name="Обычный 3 2 3 4 4" xfId="636" xr:uid="{199AC368-DB23-4277-A135-01EA83D3C610}"/>
    <cellStyle name="Обычный 3 2 3 4 4 2" xfId="1660" xr:uid="{BDCC5361-8796-46D2-8FFB-2A3C535922FF}"/>
    <cellStyle name="Обычный 3 2 3 4 4 2 2" xfId="2530" xr:uid="{34FBA134-019D-4439-A411-034877437253}"/>
    <cellStyle name="Обычный 3 2 3 4 4 3" xfId="2531" xr:uid="{08CE105A-E5EA-4CF3-B4AA-D409FB1B5C05}"/>
    <cellStyle name="Обычный 3 2 3 4 5" xfId="1148" xr:uid="{526F6328-5642-40BC-9247-8C4DB3272644}"/>
    <cellStyle name="Обычный 3 2 3 4 5 2" xfId="2532" xr:uid="{47243D51-BC16-40D7-B7B5-B67D5013B0FA}"/>
    <cellStyle name="Обычный 3 2 3 4 6" xfId="2533" xr:uid="{B5192CF6-6EE4-478A-A74B-593739AE9801}"/>
    <cellStyle name="Обычный 3 2 3 5" xfId="188" xr:uid="{9CC4598F-AED2-4DFD-A54A-7B976BF2146D}"/>
    <cellStyle name="Обычный 3 2 3 5 2" xfId="444" xr:uid="{883124B5-FCEF-4957-ACA1-2166A398972D}"/>
    <cellStyle name="Обычный 3 2 3 5 2 2" xfId="956" xr:uid="{ABC15BA2-EF89-4ABB-A401-9FA64A0BA4F1}"/>
    <cellStyle name="Обычный 3 2 3 5 2 2 2" xfId="1980" xr:uid="{AC045238-1099-435D-940E-CDCAEEF7A45D}"/>
    <cellStyle name="Обычный 3 2 3 5 2 2 2 2" xfId="2534" xr:uid="{83CEA006-8FD9-4AFD-9602-219C82082761}"/>
    <cellStyle name="Обычный 3 2 3 5 2 2 3" xfId="2535" xr:uid="{99E9455B-40D4-4C3E-B4EA-40CFEBEE3ADC}"/>
    <cellStyle name="Обычный 3 2 3 5 2 3" xfId="1468" xr:uid="{68CB1AA6-458A-43A8-8B4A-A7C42BEC8563}"/>
    <cellStyle name="Обычный 3 2 3 5 2 3 2" xfId="2536" xr:uid="{E18A2D79-B852-4789-85BB-F2C03FD33F02}"/>
    <cellStyle name="Обычный 3 2 3 5 2 4" xfId="2537" xr:uid="{1A259A46-0C66-4CE1-AEF9-A7C24E0DD567}"/>
    <cellStyle name="Обычный 3 2 3 5 3" xfId="700" xr:uid="{F61EBF44-4615-40D5-895A-7830344ABA71}"/>
    <cellStyle name="Обычный 3 2 3 5 3 2" xfId="1724" xr:uid="{2418AD09-D6EB-4501-8BB5-8C51427D042A}"/>
    <cellStyle name="Обычный 3 2 3 5 3 2 2" xfId="2538" xr:uid="{E9CB07B2-E47D-43C8-AB49-FCD8D69086A8}"/>
    <cellStyle name="Обычный 3 2 3 5 3 3" xfId="2539" xr:uid="{AF1F1575-6DE6-4F33-B384-F73BC48A564B}"/>
    <cellStyle name="Обычный 3 2 3 5 4" xfId="1212" xr:uid="{F36FBFB4-72E4-4B98-94AB-69D0DB8B05D8}"/>
    <cellStyle name="Обычный 3 2 3 5 4 2" xfId="2540" xr:uid="{5F50B3E1-B332-450C-89E6-839D5395CDD8}"/>
    <cellStyle name="Обычный 3 2 3 5 5" xfId="2541" xr:uid="{02FDEF22-01EF-481B-B003-BA7C63C6CCFD}"/>
    <cellStyle name="Обычный 3 2 3 6" xfId="316" xr:uid="{25311282-72C3-4F44-80BE-C67AE5F05283}"/>
    <cellStyle name="Обычный 3 2 3 6 2" xfId="828" xr:uid="{D3894A39-21A8-4150-9E7F-4A25BFE6F048}"/>
    <cellStyle name="Обычный 3 2 3 6 2 2" xfId="1852" xr:uid="{30B6A55F-9126-4BDF-BA62-7D2CAA653465}"/>
    <cellStyle name="Обычный 3 2 3 6 2 2 2" xfId="2542" xr:uid="{51B37D4B-4391-4254-B0C2-F8674E8BEAE9}"/>
    <cellStyle name="Обычный 3 2 3 6 2 3" xfId="2543" xr:uid="{556AA9CD-A30E-463B-B5BC-9456A45F2C6E}"/>
    <cellStyle name="Обычный 3 2 3 6 3" xfId="1340" xr:uid="{3EE391E0-5431-4837-AC2B-F7E7A4D30680}"/>
    <cellStyle name="Обычный 3 2 3 6 3 2" xfId="2544" xr:uid="{810CB9B0-D91C-44D9-9E82-0BE42DDC1A6B}"/>
    <cellStyle name="Обычный 3 2 3 6 4" xfId="2545" xr:uid="{811DF8E4-2DE7-4786-8962-6A40363E4CBE}"/>
    <cellStyle name="Обычный 3 2 3 7" xfId="572" xr:uid="{CA29D549-5EE9-4334-A361-53262FB00B01}"/>
    <cellStyle name="Обычный 3 2 3 7 2" xfId="1596" xr:uid="{046B0F3B-BE77-4E88-B13B-DC13D6D9B3E1}"/>
    <cellStyle name="Обычный 3 2 3 7 2 2" xfId="2546" xr:uid="{51E89EA1-D93E-4B4B-A1CE-8E7572EBDBA2}"/>
    <cellStyle name="Обычный 3 2 3 7 3" xfId="2547" xr:uid="{89962AA4-FF7A-454C-ACFC-DF0F1C7D1380}"/>
    <cellStyle name="Обычный 3 2 3 8" xfId="1084" xr:uid="{5B7789CF-BC5C-4DB0-91D8-4B9E632DB1C8}"/>
    <cellStyle name="Обычный 3 2 3 8 2" xfId="2548" xr:uid="{760F3F6D-3266-450A-96BE-27BFFBF2F33A}"/>
    <cellStyle name="Обычный 3 2 3 9" xfId="2549" xr:uid="{6C0688C9-64AE-4C5E-B2EE-87103C981E95}"/>
    <cellStyle name="Обычный 3 2 4" xfId="67" xr:uid="{1DBE2D66-4F93-42D2-86A8-6D5168BEE9CB}"/>
    <cellStyle name="Обычный 3 2 4 2" xfId="100" xr:uid="{A9835F61-6908-4EF2-BDF2-BBA94E9E453D}"/>
    <cellStyle name="Обычный 3 2 4 2 2" xfId="164" xr:uid="{181488B6-5930-4BA5-9925-19BC8A25A2FA}"/>
    <cellStyle name="Обычный 3 2 4 2 2 2" xfId="292" xr:uid="{0C786C5C-7ABC-477D-809D-B9EB05A90E43}"/>
    <cellStyle name="Обычный 3 2 4 2 2 2 2" xfId="548" xr:uid="{D206805A-1946-418A-AE12-1677EE0D7E37}"/>
    <cellStyle name="Обычный 3 2 4 2 2 2 2 2" xfId="1060" xr:uid="{6033F79D-87A5-47DD-AEFA-9479897F1C1B}"/>
    <cellStyle name="Обычный 3 2 4 2 2 2 2 2 2" xfId="2084" xr:uid="{021CFD78-F82C-4EAC-9E6B-FF4B3483D478}"/>
    <cellStyle name="Обычный 3 2 4 2 2 2 2 2 2 2" xfId="2550" xr:uid="{4ECB9EF8-5CEC-4C60-99D4-7BD81C4EC332}"/>
    <cellStyle name="Обычный 3 2 4 2 2 2 2 2 3" xfId="2551" xr:uid="{20CB5090-52A8-4F17-AECB-26498DBB8111}"/>
    <cellStyle name="Обычный 3 2 4 2 2 2 2 3" xfId="1572" xr:uid="{39424B1F-1C3F-42B3-8754-FA4A53468B7B}"/>
    <cellStyle name="Обычный 3 2 4 2 2 2 2 3 2" xfId="2552" xr:uid="{E51048F8-A226-4BBB-BB78-936F40F58976}"/>
    <cellStyle name="Обычный 3 2 4 2 2 2 2 4" xfId="2553" xr:uid="{00DA9664-999B-46B2-9B08-7C679B420507}"/>
    <cellStyle name="Обычный 3 2 4 2 2 2 3" xfId="804" xr:uid="{825094C9-AC1D-4246-A28F-D9A447B26C24}"/>
    <cellStyle name="Обычный 3 2 4 2 2 2 3 2" xfId="1828" xr:uid="{78BB8E8B-976F-4AEB-B2B2-1072F36FBF75}"/>
    <cellStyle name="Обычный 3 2 4 2 2 2 3 2 2" xfId="2554" xr:uid="{B70D49FF-F669-44FB-A998-38B11FDA3F6E}"/>
    <cellStyle name="Обычный 3 2 4 2 2 2 3 3" xfId="2555" xr:uid="{E60738FB-144D-46B8-A4E8-675B939E0F5A}"/>
    <cellStyle name="Обычный 3 2 4 2 2 2 4" xfId="1316" xr:uid="{616E1196-94BA-439A-B094-8D2C8938ACF8}"/>
    <cellStyle name="Обычный 3 2 4 2 2 2 4 2" xfId="2556" xr:uid="{625F6E8E-94F6-42F1-8AA8-03253C3BBE7C}"/>
    <cellStyle name="Обычный 3 2 4 2 2 2 5" xfId="2557" xr:uid="{6CD13538-E943-4BCE-B4EE-1DCD963836DF}"/>
    <cellStyle name="Обычный 3 2 4 2 2 3" xfId="420" xr:uid="{D79BC90E-72E4-46FB-8AF2-42CA2F9A56EA}"/>
    <cellStyle name="Обычный 3 2 4 2 2 3 2" xfId="932" xr:uid="{C5185630-07F0-4D28-BF81-11D12E502949}"/>
    <cellStyle name="Обычный 3 2 4 2 2 3 2 2" xfId="1956" xr:uid="{541B4D94-7D22-47E6-A27E-EDA5908BF1EB}"/>
    <cellStyle name="Обычный 3 2 4 2 2 3 2 2 2" xfId="2558" xr:uid="{2F0645C5-1ADB-46EB-A2E5-DDBAF994CD10}"/>
    <cellStyle name="Обычный 3 2 4 2 2 3 2 3" xfId="2559" xr:uid="{2B968209-5FA0-42EB-A242-DCE2707D6F36}"/>
    <cellStyle name="Обычный 3 2 4 2 2 3 3" xfId="1444" xr:uid="{11DC8CAE-04B2-4576-BF8F-1BF99B6D88AA}"/>
    <cellStyle name="Обычный 3 2 4 2 2 3 3 2" xfId="2560" xr:uid="{26A26945-9A4A-4B56-B505-A246A1F675FA}"/>
    <cellStyle name="Обычный 3 2 4 2 2 3 4" xfId="2561" xr:uid="{4158EDDC-D4C0-4DE2-AF4C-9E4988913571}"/>
    <cellStyle name="Обычный 3 2 4 2 2 4" xfId="676" xr:uid="{632BF80F-D385-4840-AC12-8DFC88FBAB88}"/>
    <cellStyle name="Обычный 3 2 4 2 2 4 2" xfId="1700" xr:uid="{F7C0E1E9-9F1C-4A68-959C-EDA3C7723A3A}"/>
    <cellStyle name="Обычный 3 2 4 2 2 4 2 2" xfId="2562" xr:uid="{FD6BD646-8EEE-4A58-A7B7-DD136A7A7EB6}"/>
    <cellStyle name="Обычный 3 2 4 2 2 4 3" xfId="2563" xr:uid="{AFF30F36-FEB6-49F0-8E8D-7664B960F2C4}"/>
    <cellStyle name="Обычный 3 2 4 2 2 5" xfId="1188" xr:uid="{73732594-F9EA-48FE-9B25-07683D5DC366}"/>
    <cellStyle name="Обычный 3 2 4 2 2 5 2" xfId="2564" xr:uid="{C5A02C5D-B4F8-472E-B05E-6EE67D8C0961}"/>
    <cellStyle name="Обычный 3 2 4 2 2 6" xfId="2565" xr:uid="{AF560896-8B65-48C9-B6CA-BB1D5E196714}"/>
    <cellStyle name="Обычный 3 2 4 2 3" xfId="228" xr:uid="{B0C1C776-6BFB-49ED-9849-5AFE0A8D11A7}"/>
    <cellStyle name="Обычный 3 2 4 2 3 2" xfId="484" xr:uid="{429503A7-15D4-40DB-A129-FC4E693D63C2}"/>
    <cellStyle name="Обычный 3 2 4 2 3 2 2" xfId="996" xr:uid="{CF4E3A5C-9CA5-4E24-B579-B7A9B1F74799}"/>
    <cellStyle name="Обычный 3 2 4 2 3 2 2 2" xfId="2020" xr:uid="{270A4E9C-261C-4092-9530-57F3E56A8F75}"/>
    <cellStyle name="Обычный 3 2 4 2 3 2 2 2 2" xfId="2566" xr:uid="{A6DF11C1-7458-44A0-88E4-3B8041886E49}"/>
    <cellStyle name="Обычный 3 2 4 2 3 2 2 3" xfId="2567" xr:uid="{FFE1FB91-1D87-4F5C-B454-10A9984A12B2}"/>
    <cellStyle name="Обычный 3 2 4 2 3 2 3" xfId="1508" xr:uid="{F6A83B2A-3932-4E6B-9C44-5FB0BC4D533E}"/>
    <cellStyle name="Обычный 3 2 4 2 3 2 3 2" xfId="2568" xr:uid="{40E0CCF7-36DD-4972-AC4C-AF505C8C7A0A}"/>
    <cellStyle name="Обычный 3 2 4 2 3 2 4" xfId="2569" xr:uid="{BBFD753B-E654-482B-BCF7-B90A3E3B7A94}"/>
    <cellStyle name="Обычный 3 2 4 2 3 3" xfId="740" xr:uid="{A60299F7-8EE5-45AF-BCEC-98C1B0767620}"/>
    <cellStyle name="Обычный 3 2 4 2 3 3 2" xfId="1764" xr:uid="{9DD745DF-52D0-40F1-9379-E9ADF6B98876}"/>
    <cellStyle name="Обычный 3 2 4 2 3 3 2 2" xfId="2570" xr:uid="{77154A17-E664-4A21-BA51-032C88CC59A0}"/>
    <cellStyle name="Обычный 3 2 4 2 3 3 3" xfId="2571" xr:uid="{E6D7C190-2D64-454C-A2BB-D6B8DD34CF8F}"/>
    <cellStyle name="Обычный 3 2 4 2 3 4" xfId="1252" xr:uid="{663A8DB0-6DC4-48C9-BB84-CD695885A032}"/>
    <cellStyle name="Обычный 3 2 4 2 3 4 2" xfId="2572" xr:uid="{C53D76D2-BF0D-4B7E-AF55-12E89F058984}"/>
    <cellStyle name="Обычный 3 2 4 2 3 5" xfId="2573" xr:uid="{82D5F8B9-F44A-4124-9D31-11BF93710C59}"/>
    <cellStyle name="Обычный 3 2 4 2 4" xfId="356" xr:uid="{44C0ADFE-65C6-43A7-A278-4603D351FCBC}"/>
    <cellStyle name="Обычный 3 2 4 2 4 2" xfId="868" xr:uid="{EDC56B37-97D9-4709-811B-C03405A30026}"/>
    <cellStyle name="Обычный 3 2 4 2 4 2 2" xfId="1892" xr:uid="{8212F8E4-0A0B-482D-9586-8087C95AB2DA}"/>
    <cellStyle name="Обычный 3 2 4 2 4 2 2 2" xfId="2574" xr:uid="{04DA6EE0-1424-4E01-A7DB-33C8ECDBB31A}"/>
    <cellStyle name="Обычный 3 2 4 2 4 2 3" xfId="2575" xr:uid="{F94F4DE0-8507-4A46-BC61-7B8759629ED1}"/>
    <cellStyle name="Обычный 3 2 4 2 4 3" xfId="1380" xr:uid="{D32788DC-172C-4A36-9C69-7DCF42316F3C}"/>
    <cellStyle name="Обычный 3 2 4 2 4 3 2" xfId="2576" xr:uid="{D09F8942-7D87-40D1-BA67-163602EBCC71}"/>
    <cellStyle name="Обычный 3 2 4 2 4 4" xfId="2577" xr:uid="{0BACA7E9-8A79-4939-9BC0-3D9900FBB1CE}"/>
    <cellStyle name="Обычный 3 2 4 2 5" xfId="612" xr:uid="{7C95DB80-5EEC-4CE5-A3E5-B6C07DF51E30}"/>
    <cellStyle name="Обычный 3 2 4 2 5 2" xfId="1636" xr:uid="{29687E0D-627F-48DA-8DF6-D001B5B4FEAD}"/>
    <cellStyle name="Обычный 3 2 4 2 5 2 2" xfId="2578" xr:uid="{4E7A1703-BCC8-4315-A944-9CAFCAF1DC9D}"/>
    <cellStyle name="Обычный 3 2 4 2 5 3" xfId="2579" xr:uid="{0107AD22-DA10-408B-A0EC-C802E460BB17}"/>
    <cellStyle name="Обычный 3 2 4 2 6" xfId="1124" xr:uid="{9EB1A78F-273E-4DA9-9816-69D3F4720192}"/>
    <cellStyle name="Обычный 3 2 4 2 6 2" xfId="2580" xr:uid="{FAB8B6BB-E0CC-43AC-AA95-755C9536B14A}"/>
    <cellStyle name="Обычный 3 2 4 2 7" xfId="2581" xr:uid="{A0247A0F-F12B-41C2-B8D8-F6DFED6DF49D}"/>
    <cellStyle name="Обычный 3 2 4 3" xfId="132" xr:uid="{BE892496-E52A-4571-B2F0-9E30BB48D134}"/>
    <cellStyle name="Обычный 3 2 4 3 2" xfId="260" xr:uid="{8AF0BE12-9A59-4F45-AC76-FFFBB833AE05}"/>
    <cellStyle name="Обычный 3 2 4 3 2 2" xfId="516" xr:uid="{C46FDFDA-D4BF-40FB-9FC9-0803A16686AA}"/>
    <cellStyle name="Обычный 3 2 4 3 2 2 2" xfId="1028" xr:uid="{9DE6CB74-75C6-4676-9508-1CA00881047E}"/>
    <cellStyle name="Обычный 3 2 4 3 2 2 2 2" xfId="2052" xr:uid="{F266E009-C384-4B80-BFAE-7BB2F4CC067C}"/>
    <cellStyle name="Обычный 3 2 4 3 2 2 2 2 2" xfId="2582" xr:uid="{FEC67203-E860-4A1C-AB55-7355FF67F1D5}"/>
    <cellStyle name="Обычный 3 2 4 3 2 2 2 3" xfId="2583" xr:uid="{B28EC146-38CA-4D7A-A19F-1ED018DC517C}"/>
    <cellStyle name="Обычный 3 2 4 3 2 2 3" xfId="1540" xr:uid="{93976008-19A7-40F6-8D52-9C1CAC34D306}"/>
    <cellStyle name="Обычный 3 2 4 3 2 2 3 2" xfId="2584" xr:uid="{4DEBDA6A-6D7D-4706-A0D4-9BA7CA4E0F73}"/>
    <cellStyle name="Обычный 3 2 4 3 2 2 4" xfId="2585" xr:uid="{3822B649-0481-4AF1-93EA-5EAA3F38EAA3}"/>
    <cellStyle name="Обычный 3 2 4 3 2 3" xfId="772" xr:uid="{68205E59-DFD8-4E12-A443-AEC6AC7D9AE2}"/>
    <cellStyle name="Обычный 3 2 4 3 2 3 2" xfId="1796" xr:uid="{834CC455-5C1F-4395-ADAE-C541E45A0762}"/>
    <cellStyle name="Обычный 3 2 4 3 2 3 2 2" xfId="2586" xr:uid="{D44F8E16-E5F3-4636-870B-EA840556B076}"/>
    <cellStyle name="Обычный 3 2 4 3 2 3 3" xfId="2587" xr:uid="{904754EA-C3DB-4AC6-BE3A-5E2738273D12}"/>
    <cellStyle name="Обычный 3 2 4 3 2 4" xfId="1284" xr:uid="{378AA22D-F8DD-44AA-8162-52D114D396AF}"/>
    <cellStyle name="Обычный 3 2 4 3 2 4 2" xfId="2588" xr:uid="{CA17B6CE-DDE9-442D-BA55-5CF27265D35A}"/>
    <cellStyle name="Обычный 3 2 4 3 2 5" xfId="2589" xr:uid="{F7E10E65-F97A-482D-96DD-38B5BF056C33}"/>
    <cellStyle name="Обычный 3 2 4 3 3" xfId="388" xr:uid="{E6EF3C4C-66D1-4639-93F3-3B0A0B86F817}"/>
    <cellStyle name="Обычный 3 2 4 3 3 2" xfId="900" xr:uid="{2F4C2FCB-5052-4C4B-8A30-AB1055285906}"/>
    <cellStyle name="Обычный 3 2 4 3 3 2 2" xfId="1924" xr:uid="{B8935F56-6073-4B37-BE01-2AEFF5AD4F91}"/>
    <cellStyle name="Обычный 3 2 4 3 3 2 2 2" xfId="2590" xr:uid="{6518E2E1-5997-4500-96C1-6990E834A973}"/>
    <cellStyle name="Обычный 3 2 4 3 3 2 3" xfId="2591" xr:uid="{802343DE-1B75-4AF5-95A8-45BCABFD322B}"/>
    <cellStyle name="Обычный 3 2 4 3 3 3" xfId="1412" xr:uid="{8573EFFD-95F8-48A1-A49E-8A2201091814}"/>
    <cellStyle name="Обычный 3 2 4 3 3 3 2" xfId="2592" xr:uid="{9F206784-31EA-4354-803F-53944D81FE39}"/>
    <cellStyle name="Обычный 3 2 4 3 3 4" xfId="2593" xr:uid="{2ACACB1C-1A3F-4969-9C1A-FAA761530067}"/>
    <cellStyle name="Обычный 3 2 4 3 4" xfId="644" xr:uid="{E40B735B-1DFB-4056-AE70-ABDCD62028E1}"/>
    <cellStyle name="Обычный 3 2 4 3 4 2" xfId="1668" xr:uid="{4ECD850E-4946-4564-8E5E-AA7A14514137}"/>
    <cellStyle name="Обычный 3 2 4 3 4 2 2" xfId="2594" xr:uid="{28D9A502-3A6F-4BB3-B9E7-A7B72C3B846D}"/>
    <cellStyle name="Обычный 3 2 4 3 4 3" xfId="2595" xr:uid="{118DDCEE-9ED6-4C2C-B147-AB8A22F48FE6}"/>
    <cellStyle name="Обычный 3 2 4 3 5" xfId="1156" xr:uid="{B4573D69-AACF-4BBD-AFD7-BB05A2508B85}"/>
    <cellStyle name="Обычный 3 2 4 3 5 2" xfId="2596" xr:uid="{F722CD79-13F0-4A44-B3B4-0EEEC757F949}"/>
    <cellStyle name="Обычный 3 2 4 3 6" xfId="2597" xr:uid="{F304CC8C-6323-46C6-9ECD-C0096BC76EA9}"/>
    <cellStyle name="Обычный 3 2 4 4" xfId="196" xr:uid="{58A21A3C-D553-4BE3-8ED3-262C6F714ED4}"/>
    <cellStyle name="Обычный 3 2 4 4 2" xfId="452" xr:uid="{E1CE4D0D-1D03-4F95-8D7E-5C24290A1309}"/>
    <cellStyle name="Обычный 3 2 4 4 2 2" xfId="964" xr:uid="{512A9737-3514-416C-B57F-D6070B99C98B}"/>
    <cellStyle name="Обычный 3 2 4 4 2 2 2" xfId="1988" xr:uid="{9CF72D51-3921-4570-87B3-BF0E37EB18F8}"/>
    <cellStyle name="Обычный 3 2 4 4 2 2 2 2" xfId="2598" xr:uid="{72B2F8D7-F6AF-4CF5-BDB5-5BB81008D9EC}"/>
    <cellStyle name="Обычный 3 2 4 4 2 2 3" xfId="2599" xr:uid="{EB4FCE3E-18A8-42A9-B245-C1D4C107BA64}"/>
    <cellStyle name="Обычный 3 2 4 4 2 3" xfId="1476" xr:uid="{C43EA7FB-9198-4790-A254-13980A350A7B}"/>
    <cellStyle name="Обычный 3 2 4 4 2 3 2" xfId="2600" xr:uid="{7E406E9A-040C-41F3-882A-DE2608B41636}"/>
    <cellStyle name="Обычный 3 2 4 4 2 4" xfId="2601" xr:uid="{C4C99FE9-6FE9-4E37-935F-A5F09A61AB2D}"/>
    <cellStyle name="Обычный 3 2 4 4 3" xfId="708" xr:uid="{89880DAA-8072-4285-AD70-E75002C7D31B}"/>
    <cellStyle name="Обычный 3 2 4 4 3 2" xfId="1732" xr:uid="{F8732FFF-EE34-4777-9C70-D03C7D8E51EF}"/>
    <cellStyle name="Обычный 3 2 4 4 3 2 2" xfId="2602" xr:uid="{31966212-BBE5-4E0C-94C2-A0F8AA81C65B}"/>
    <cellStyle name="Обычный 3 2 4 4 3 3" xfId="2603" xr:uid="{08AC2437-0802-4238-A3BC-7F2B9B51A8CE}"/>
    <cellStyle name="Обычный 3 2 4 4 4" xfId="1220" xr:uid="{60034502-D6E2-4004-9AF5-5F8A961AE3D6}"/>
    <cellStyle name="Обычный 3 2 4 4 4 2" xfId="2604" xr:uid="{6AAF0126-4512-437A-99ED-CA1105426587}"/>
    <cellStyle name="Обычный 3 2 4 4 5" xfId="2605" xr:uid="{F36933C0-7479-41DB-9BDC-E2F6493E6FE0}"/>
    <cellStyle name="Обычный 3 2 4 5" xfId="324" xr:uid="{4F383D94-5993-49A7-B942-B5742378DB13}"/>
    <cellStyle name="Обычный 3 2 4 5 2" xfId="836" xr:uid="{FDA3B2A7-FDFE-4178-9AE2-7E1FA0EA4F1B}"/>
    <cellStyle name="Обычный 3 2 4 5 2 2" xfId="1860" xr:uid="{9D3E01F0-23B6-4546-A3B7-4C79A7206277}"/>
    <cellStyle name="Обычный 3 2 4 5 2 2 2" xfId="2606" xr:uid="{F8806FF1-A982-4FD5-97E3-E4250808C2AB}"/>
    <cellStyle name="Обычный 3 2 4 5 2 3" xfId="2607" xr:uid="{B51FECB9-99A5-4028-A77F-6AF4A61D66BE}"/>
    <cellStyle name="Обычный 3 2 4 5 3" xfId="1348" xr:uid="{A07B6610-EE4B-4B0A-B6A3-A9C49888C040}"/>
    <cellStyle name="Обычный 3 2 4 5 3 2" xfId="2608" xr:uid="{78634120-1BAB-465C-B075-48C722B40184}"/>
    <cellStyle name="Обычный 3 2 4 5 4" xfId="2609" xr:uid="{93D128B0-DB7F-4EED-9345-701328F5FDE4}"/>
    <cellStyle name="Обычный 3 2 4 6" xfId="580" xr:uid="{E9649D05-7456-41E6-B180-1F792BE21A04}"/>
    <cellStyle name="Обычный 3 2 4 6 2" xfId="1604" xr:uid="{F57F6272-7006-4125-90BF-9010E624AFDB}"/>
    <cellStyle name="Обычный 3 2 4 6 2 2" xfId="2610" xr:uid="{E1A54FB3-54C0-4B54-95B4-C3A9A29C0ED9}"/>
    <cellStyle name="Обычный 3 2 4 6 3" xfId="2611" xr:uid="{7A06FB27-135D-4D1B-8356-2B22662A5272}"/>
    <cellStyle name="Обычный 3 2 4 7" xfId="1092" xr:uid="{BC02F5F5-517E-4706-A3F1-2846FBD1E197}"/>
    <cellStyle name="Обычный 3 2 4 7 2" xfId="2612" xr:uid="{BE4A5F78-01A1-4626-9825-F8EBF48103EF}"/>
    <cellStyle name="Обычный 3 2 4 8" xfId="2613" xr:uid="{074C08A6-3A34-428B-B8B5-A27B2ED028DC}"/>
    <cellStyle name="Обычный 3 2 5" xfId="84" xr:uid="{65545391-24E1-40AE-821B-C27A61A0A2D8}"/>
    <cellStyle name="Обычный 3 2 5 2" xfId="148" xr:uid="{D171A7A9-DCFF-459B-A5FA-8A0BB31F92CE}"/>
    <cellStyle name="Обычный 3 2 5 2 2" xfId="276" xr:uid="{B6157572-EB38-4290-997F-FD1C19D9FEE2}"/>
    <cellStyle name="Обычный 3 2 5 2 2 2" xfId="532" xr:uid="{649DEE47-8537-46D3-B6E1-B9825231E585}"/>
    <cellStyle name="Обычный 3 2 5 2 2 2 2" xfId="1044" xr:uid="{053ADB16-8003-45BD-9EB3-1EEFEFFCEA53}"/>
    <cellStyle name="Обычный 3 2 5 2 2 2 2 2" xfId="2068" xr:uid="{5D89936B-8343-484B-A28A-57F501A9C3F1}"/>
    <cellStyle name="Обычный 3 2 5 2 2 2 2 2 2" xfId="2614" xr:uid="{A280983A-461E-4EA6-973D-020438EAF49A}"/>
    <cellStyle name="Обычный 3 2 5 2 2 2 2 3" xfId="2615" xr:uid="{2F64CB7F-8287-4CB5-B5CE-6E0FA9A19475}"/>
    <cellStyle name="Обычный 3 2 5 2 2 2 3" xfId="1556" xr:uid="{043E7F0E-2152-421A-9731-EF0F62E239D4}"/>
    <cellStyle name="Обычный 3 2 5 2 2 2 3 2" xfId="2616" xr:uid="{BE8B71B1-F09F-4A8F-B66F-BE22A25B45ED}"/>
    <cellStyle name="Обычный 3 2 5 2 2 2 4" xfId="2617" xr:uid="{6D03C7B9-22F2-4CB5-8A61-E456D074A5A1}"/>
    <cellStyle name="Обычный 3 2 5 2 2 3" xfId="788" xr:uid="{ADE98E54-885D-4A05-B4C4-E3F4D21E71DF}"/>
    <cellStyle name="Обычный 3 2 5 2 2 3 2" xfId="1812" xr:uid="{B952283B-935F-4DA3-B299-3047C88EC1FA}"/>
    <cellStyle name="Обычный 3 2 5 2 2 3 2 2" xfId="2618" xr:uid="{ED0F8CFB-ED1D-48EF-87E5-E79869BCEF6C}"/>
    <cellStyle name="Обычный 3 2 5 2 2 3 3" xfId="2619" xr:uid="{EF3927DE-B4B1-4235-8167-101F27E8FDA6}"/>
    <cellStyle name="Обычный 3 2 5 2 2 4" xfId="1300" xr:uid="{240322FC-B3F7-4FAD-83F1-A1FCC5D8A528}"/>
    <cellStyle name="Обычный 3 2 5 2 2 4 2" xfId="2620" xr:uid="{618CE414-C146-4C73-84A4-64103948FA51}"/>
    <cellStyle name="Обычный 3 2 5 2 2 5" xfId="2621" xr:uid="{92E29A92-2B06-4157-9398-468945ACCCCB}"/>
    <cellStyle name="Обычный 3 2 5 2 3" xfId="404" xr:uid="{4BF75A18-6AAB-4957-927B-FE903FBFD9AA}"/>
    <cellStyle name="Обычный 3 2 5 2 3 2" xfId="916" xr:uid="{7AB1E99B-EB82-4698-9559-F5A8CB61EEF4}"/>
    <cellStyle name="Обычный 3 2 5 2 3 2 2" xfId="1940" xr:uid="{90E0537E-0124-4318-AA5F-79E14CBAAAE0}"/>
    <cellStyle name="Обычный 3 2 5 2 3 2 2 2" xfId="2622" xr:uid="{4F0B7FD3-ADFB-4362-A3C6-D18DE2D464D5}"/>
    <cellStyle name="Обычный 3 2 5 2 3 2 3" xfId="2623" xr:uid="{F1DCF766-D489-42EB-98E0-965562D8D1A7}"/>
    <cellStyle name="Обычный 3 2 5 2 3 3" xfId="1428" xr:uid="{941DB94D-2C90-4391-A835-3BF9E047E5BD}"/>
    <cellStyle name="Обычный 3 2 5 2 3 3 2" xfId="2624" xr:uid="{B5C7ABCB-35F5-4B24-A195-3626FF465FEB}"/>
    <cellStyle name="Обычный 3 2 5 2 3 4" xfId="2625" xr:uid="{122EBA0E-291F-46CF-B389-5450517A90D7}"/>
    <cellStyle name="Обычный 3 2 5 2 4" xfId="660" xr:uid="{9A38691B-FB99-42B5-A687-5CC35500A6F2}"/>
    <cellStyle name="Обычный 3 2 5 2 4 2" xfId="1684" xr:uid="{ACFB3453-2BA7-4EF7-831D-1AF6FD73AFE5}"/>
    <cellStyle name="Обычный 3 2 5 2 4 2 2" xfId="2626" xr:uid="{09AB0608-DE45-45B7-A95D-B33EFC87EFD7}"/>
    <cellStyle name="Обычный 3 2 5 2 4 3" xfId="2627" xr:uid="{8533DB0E-0C2F-40C3-A91A-61B9B3BA1291}"/>
    <cellStyle name="Обычный 3 2 5 2 5" xfId="1172" xr:uid="{9BFD490C-9219-4DA0-A0E9-9E39B313FD34}"/>
    <cellStyle name="Обычный 3 2 5 2 5 2" xfId="2628" xr:uid="{CE9E4B58-E50F-45BD-8214-CC712B08B4AA}"/>
    <cellStyle name="Обычный 3 2 5 2 6" xfId="2629" xr:uid="{52C36A87-5A6A-4206-A049-567ABA93FA6C}"/>
    <cellStyle name="Обычный 3 2 5 3" xfId="212" xr:uid="{AEB9BDBC-6E64-4C9C-B509-05E095DC0875}"/>
    <cellStyle name="Обычный 3 2 5 3 2" xfId="468" xr:uid="{36DB27D4-8817-4370-9730-274DA324F582}"/>
    <cellStyle name="Обычный 3 2 5 3 2 2" xfId="980" xr:uid="{0EB7AC7B-6FA6-4232-9157-80709FA658E8}"/>
    <cellStyle name="Обычный 3 2 5 3 2 2 2" xfId="2004" xr:uid="{FB506925-C150-49FD-8950-E851009213EB}"/>
    <cellStyle name="Обычный 3 2 5 3 2 2 2 2" xfId="2630" xr:uid="{290AD0E0-9819-499C-B3C8-6D8C058C1CDA}"/>
    <cellStyle name="Обычный 3 2 5 3 2 2 3" xfId="2631" xr:uid="{9A679822-0E11-41D1-9C4D-ED1F1CA6570A}"/>
    <cellStyle name="Обычный 3 2 5 3 2 3" xfId="1492" xr:uid="{7509621D-1B99-4C6D-8217-533B98BE29E7}"/>
    <cellStyle name="Обычный 3 2 5 3 2 3 2" xfId="2632" xr:uid="{67CD5147-66FB-44F1-9942-FAD07EDCA1BD}"/>
    <cellStyle name="Обычный 3 2 5 3 2 4" xfId="2633" xr:uid="{A5C2FFCA-DD0A-4624-BECE-B7490D047EE3}"/>
    <cellStyle name="Обычный 3 2 5 3 3" xfId="724" xr:uid="{07C3B112-983A-4225-B652-81C531BE44EF}"/>
    <cellStyle name="Обычный 3 2 5 3 3 2" xfId="1748" xr:uid="{B6142B1A-D05B-402D-89BD-C03BD5351C2B}"/>
    <cellStyle name="Обычный 3 2 5 3 3 2 2" xfId="2634" xr:uid="{038EDA9F-1EBA-470B-A5FB-47C6684299C9}"/>
    <cellStyle name="Обычный 3 2 5 3 3 3" xfId="2635" xr:uid="{590E06FB-9D69-416F-9FB4-C74376D53EB6}"/>
    <cellStyle name="Обычный 3 2 5 3 4" xfId="1236" xr:uid="{BB9C19B4-5C1F-40F4-8A8D-2BDEC5E4EBD3}"/>
    <cellStyle name="Обычный 3 2 5 3 4 2" xfId="2636" xr:uid="{A6A588D9-5AD0-4C83-8ECA-EA94D2E6CDAB}"/>
    <cellStyle name="Обычный 3 2 5 3 5" xfId="2637" xr:uid="{2ECAD5B4-456B-4DE9-8779-3E0CDFF95F03}"/>
    <cellStyle name="Обычный 3 2 5 4" xfId="340" xr:uid="{C4BC2339-10BA-481C-8E99-D00096BE2971}"/>
    <cellStyle name="Обычный 3 2 5 4 2" xfId="852" xr:uid="{23BA9760-36D3-4E57-A95C-29A2E5885F8A}"/>
    <cellStyle name="Обычный 3 2 5 4 2 2" xfId="1876" xr:uid="{5899F0D4-9494-4E44-B177-85E276160BE0}"/>
    <cellStyle name="Обычный 3 2 5 4 2 2 2" xfId="2638" xr:uid="{99833CB1-01A6-4D87-9F86-972FD8406B02}"/>
    <cellStyle name="Обычный 3 2 5 4 2 3" xfId="2639" xr:uid="{79B65F00-3E45-4189-AD08-1CD7B15EC328}"/>
    <cellStyle name="Обычный 3 2 5 4 3" xfId="1364" xr:uid="{175220C8-F19E-4D4A-937A-84F4F28A1B3C}"/>
    <cellStyle name="Обычный 3 2 5 4 3 2" xfId="2640" xr:uid="{89AAD39D-F631-4A00-8F51-25AF5C7B16C7}"/>
    <cellStyle name="Обычный 3 2 5 4 4" xfId="2641" xr:uid="{36CE5F12-887E-4839-BF49-2D34E2715751}"/>
    <cellStyle name="Обычный 3 2 5 5" xfId="596" xr:uid="{B8AAE948-38D8-4559-ADD6-D638448B27C1}"/>
    <cellStyle name="Обычный 3 2 5 5 2" xfId="1620" xr:uid="{EA7DFFCF-BC98-4EC4-B9E8-A2EC4A3E5319}"/>
    <cellStyle name="Обычный 3 2 5 5 2 2" xfId="2642" xr:uid="{206CF2C2-6D93-4136-B1FB-D9B9BFE18213}"/>
    <cellStyle name="Обычный 3 2 5 5 3" xfId="2643" xr:uid="{3367ABB8-C78E-405C-881E-E192927E0EC4}"/>
    <cellStyle name="Обычный 3 2 5 6" xfId="1108" xr:uid="{C7F1A182-723E-44DE-AC5C-EBDFDF3D3E0E}"/>
    <cellStyle name="Обычный 3 2 5 6 2" xfId="2644" xr:uid="{0B7B813F-EC17-4434-AB7D-EFC8495D1FA0}"/>
    <cellStyle name="Обычный 3 2 5 7" xfId="2645" xr:uid="{1BB200BF-7847-4036-B53B-C90F36B8721F}"/>
    <cellStyle name="Обычный 3 2 6" xfId="116" xr:uid="{4B060287-B18D-4668-A2B1-97537195943D}"/>
    <cellStyle name="Обычный 3 2 6 2" xfId="244" xr:uid="{C3A0F6FF-862F-4F40-A147-0CFEA609B3EE}"/>
    <cellStyle name="Обычный 3 2 6 2 2" xfId="500" xr:uid="{CDA9E59C-B1C7-410D-9E1B-7407F4EDEC79}"/>
    <cellStyle name="Обычный 3 2 6 2 2 2" xfId="1012" xr:uid="{D2D4A10E-11F7-4A0D-AC6B-EB9A9A24161A}"/>
    <cellStyle name="Обычный 3 2 6 2 2 2 2" xfId="2036" xr:uid="{A8BC1E21-6FD3-4F27-ABBD-0A1B0F29D34E}"/>
    <cellStyle name="Обычный 3 2 6 2 2 2 2 2" xfId="2646" xr:uid="{E29D21AC-144A-4E3E-9E80-19D8AE934787}"/>
    <cellStyle name="Обычный 3 2 6 2 2 2 3" xfId="2647" xr:uid="{80C5069B-96C1-4757-A42E-A1AA1C32A979}"/>
    <cellStyle name="Обычный 3 2 6 2 2 3" xfId="1524" xr:uid="{BE593CB3-1C14-4004-9677-90EEDBCC20AF}"/>
    <cellStyle name="Обычный 3 2 6 2 2 3 2" xfId="2648" xr:uid="{C2EAD8A2-147B-469B-8AE8-635F898764B7}"/>
    <cellStyle name="Обычный 3 2 6 2 2 4" xfId="2649" xr:uid="{26DFFB3A-8B78-4EC1-AA9C-ED7F6CBCD9BF}"/>
    <cellStyle name="Обычный 3 2 6 2 3" xfId="756" xr:uid="{C6EE2E69-8EEE-4ED5-9E29-8046740F45A9}"/>
    <cellStyle name="Обычный 3 2 6 2 3 2" xfId="1780" xr:uid="{EC3008CE-4EC0-403B-8F17-71391D5A125B}"/>
    <cellStyle name="Обычный 3 2 6 2 3 2 2" xfId="2650" xr:uid="{34F30F2B-3C80-4DEC-8AEC-DAA45A2828E8}"/>
    <cellStyle name="Обычный 3 2 6 2 3 3" xfId="2651" xr:uid="{8AC19DF8-E725-4214-92E0-62AF5DD42EB6}"/>
    <cellStyle name="Обычный 3 2 6 2 4" xfId="1268" xr:uid="{A03EA151-4F0E-4854-9305-67F13992E92E}"/>
    <cellStyle name="Обычный 3 2 6 2 4 2" xfId="2652" xr:uid="{835985F4-73F8-4BE1-965B-7F5E522389FF}"/>
    <cellStyle name="Обычный 3 2 6 2 5" xfId="2653" xr:uid="{7BDDD83C-9155-42BA-9D67-15943B9FA076}"/>
    <cellStyle name="Обычный 3 2 6 3" xfId="372" xr:uid="{EADB01D5-3D44-4708-8B12-D6622A5ADBC3}"/>
    <cellStyle name="Обычный 3 2 6 3 2" xfId="884" xr:uid="{5BC3117C-74A0-4299-A22E-7190AA32FEA5}"/>
    <cellStyle name="Обычный 3 2 6 3 2 2" xfId="1908" xr:uid="{22FAECC5-4881-4AB4-BEBB-84461A39626C}"/>
    <cellStyle name="Обычный 3 2 6 3 2 2 2" xfId="2654" xr:uid="{5DF0D085-34FD-4266-BB29-C5EBC46930ED}"/>
    <cellStyle name="Обычный 3 2 6 3 2 3" xfId="2655" xr:uid="{28BBE4AD-4E53-4023-85C2-B9BAA3C1692D}"/>
    <cellStyle name="Обычный 3 2 6 3 3" xfId="1396" xr:uid="{C98B24F1-0CCA-40E3-85AE-B9D290DDD5E0}"/>
    <cellStyle name="Обычный 3 2 6 3 3 2" xfId="2656" xr:uid="{BEAA1887-23AD-4ECF-ADD6-4F6C575D94B3}"/>
    <cellStyle name="Обычный 3 2 6 3 4" xfId="2657" xr:uid="{CC560D23-DFFE-4B34-AF0F-D83EB347218B}"/>
    <cellStyle name="Обычный 3 2 6 4" xfId="628" xr:uid="{2E4FA8B2-D027-4E8F-960E-1AD8ECBCED1D}"/>
    <cellStyle name="Обычный 3 2 6 4 2" xfId="1652" xr:uid="{7840719F-4DF1-4B0D-9BAF-494DD7A80F8A}"/>
    <cellStyle name="Обычный 3 2 6 4 2 2" xfId="2658" xr:uid="{4E6ACD8F-8013-40F4-AEA1-912DAC3BE2E8}"/>
    <cellStyle name="Обычный 3 2 6 4 3" xfId="2659" xr:uid="{653665C4-6285-4299-912E-F457A09AA0BD}"/>
    <cellStyle name="Обычный 3 2 6 5" xfId="1140" xr:uid="{92C11F6B-64D6-4E63-BEC1-CF2E2B3A0794}"/>
    <cellStyle name="Обычный 3 2 6 5 2" xfId="2660" xr:uid="{15D38DE4-EEE0-4EAE-ACD6-C39B655104DD}"/>
    <cellStyle name="Обычный 3 2 6 6" xfId="2661" xr:uid="{25A65F92-EEBF-4DAF-896F-FA3C32ED951C}"/>
    <cellStyle name="Обычный 3 2 7" xfId="180" xr:uid="{7B8D201F-9C3A-4EFD-A436-C2905A9CF1D0}"/>
    <cellStyle name="Обычный 3 2 7 2" xfId="436" xr:uid="{BFA851A0-2B8D-4F26-9611-5CB68F17067A}"/>
    <cellStyle name="Обычный 3 2 7 2 2" xfId="948" xr:uid="{F0975E41-38B3-4A1C-A9A7-53FD57F95D61}"/>
    <cellStyle name="Обычный 3 2 7 2 2 2" xfId="1972" xr:uid="{E96763E0-F270-4059-AD51-1295BACC5ECB}"/>
    <cellStyle name="Обычный 3 2 7 2 2 2 2" xfId="2662" xr:uid="{D4915C0C-62FD-46A3-8E2B-A5258BACCE5F}"/>
    <cellStyle name="Обычный 3 2 7 2 2 3" xfId="2663" xr:uid="{19B25B51-3CAC-4B4A-8DFE-3A1C8463529B}"/>
    <cellStyle name="Обычный 3 2 7 2 3" xfId="1460" xr:uid="{0DA126D5-9F61-4539-8243-57AA56F4D203}"/>
    <cellStyle name="Обычный 3 2 7 2 3 2" xfId="2664" xr:uid="{814C63E8-23B6-47B5-961C-187FFCB92011}"/>
    <cellStyle name="Обычный 3 2 7 2 4" xfId="2665" xr:uid="{53A4CEF2-5E6F-4B8A-89DA-C18D8BB1FAF7}"/>
    <cellStyle name="Обычный 3 2 7 3" xfId="692" xr:uid="{7916AFAD-36C6-4DEB-82BC-0AF596B1AFC3}"/>
    <cellStyle name="Обычный 3 2 7 3 2" xfId="1716" xr:uid="{DB212D5B-6817-4A2F-8344-6003ADE26878}"/>
    <cellStyle name="Обычный 3 2 7 3 2 2" xfId="2666" xr:uid="{3646EE44-E1AF-4D95-BAB9-4AD143325597}"/>
    <cellStyle name="Обычный 3 2 7 3 3" xfId="2667" xr:uid="{0A657473-B751-44D0-8ACE-18AE30793891}"/>
    <cellStyle name="Обычный 3 2 7 4" xfId="1204" xr:uid="{DBD83413-EB74-40AF-AD30-0BA71F9B200F}"/>
    <cellStyle name="Обычный 3 2 7 4 2" xfId="2668" xr:uid="{E950DB68-98C9-4637-8E9B-642166E4F32C}"/>
    <cellStyle name="Обычный 3 2 7 5" xfId="2669" xr:uid="{6780C2D5-A95A-42B9-A721-A77595A0282E}"/>
    <cellStyle name="Обычный 3 2 8" xfId="308" xr:uid="{43C6DB97-1129-4DBC-9F06-26164DDF4BFB}"/>
    <cellStyle name="Обычный 3 2 8 2" xfId="820" xr:uid="{68D81568-1C3B-42CB-810D-2ABCA4804A56}"/>
    <cellStyle name="Обычный 3 2 8 2 2" xfId="1844" xr:uid="{0276178A-FDFE-4137-B240-3C409701F553}"/>
    <cellStyle name="Обычный 3 2 8 2 2 2" xfId="2670" xr:uid="{64B0A4EE-065F-4D38-94A1-31D46AE825F9}"/>
    <cellStyle name="Обычный 3 2 8 2 3" xfId="2671" xr:uid="{88D9AD50-A33B-4B78-BB04-0D961EDFEFD3}"/>
    <cellStyle name="Обычный 3 2 8 3" xfId="1332" xr:uid="{9A31A3F3-A8BE-4D2B-B0F7-0573318D671C}"/>
    <cellStyle name="Обычный 3 2 8 3 2" xfId="2672" xr:uid="{1E47EAE1-02C1-47F0-ADAE-D381C0239E89}"/>
    <cellStyle name="Обычный 3 2 8 4" xfId="2673" xr:uid="{77D0FA1C-7273-43D1-8716-A18BB23DFD3C}"/>
    <cellStyle name="Обычный 3 2 9" xfId="564" xr:uid="{CFAACA33-6699-45D5-8BE7-FFD239FC5E38}"/>
    <cellStyle name="Обычный 3 2 9 2" xfId="1588" xr:uid="{BED9D7AC-F0B9-43ED-999B-C06A180A8DAF}"/>
    <cellStyle name="Обычный 3 2 9 2 2" xfId="2674" xr:uid="{D4D911BE-4583-469E-95C2-7E1BA56B57E1}"/>
    <cellStyle name="Обычный 3 2 9 3" xfId="2675" xr:uid="{286B92E4-572F-4F5A-B093-72E8FB183754}"/>
    <cellStyle name="Обычный 3 3" xfId="52" xr:uid="{8D1A7D6C-3492-4AB5-A731-42D825396FFF}"/>
    <cellStyle name="Обычный 3 3 10" xfId="2676" xr:uid="{530245EA-9D15-4C43-B53D-78C6CC06ACCD}"/>
    <cellStyle name="Обычный 3 3 2" xfId="61" xr:uid="{09087ED7-A0F2-4EDE-8A59-1235289B5123}"/>
    <cellStyle name="Обычный 3 3 2 2" xfId="77" xr:uid="{9E6F34A8-A771-4A70-898C-D407576E2B19}"/>
    <cellStyle name="Обычный 3 3 2 2 2" xfId="110" xr:uid="{6594A22E-0CD1-4492-BD4E-83B890AC847F}"/>
    <cellStyle name="Обычный 3 3 2 2 2 2" xfId="174" xr:uid="{F871999B-1EBC-42D4-9849-852B16C68EBA}"/>
    <cellStyle name="Обычный 3 3 2 2 2 2 2" xfId="302" xr:uid="{6F4B7483-7228-4D44-9CFF-0066F0AC2EE0}"/>
    <cellStyle name="Обычный 3 3 2 2 2 2 2 2" xfId="558" xr:uid="{2E6A47CC-1986-47DE-9007-056950AF6C2A}"/>
    <cellStyle name="Обычный 3 3 2 2 2 2 2 2 2" xfId="1070" xr:uid="{FCFC67A0-4018-4CC9-B46A-3E08C96E36CC}"/>
    <cellStyle name="Обычный 3 3 2 2 2 2 2 2 2 2" xfId="2094" xr:uid="{735098A9-3BD0-400C-BFE3-40BDE91B0A15}"/>
    <cellStyle name="Обычный 3 3 2 2 2 2 2 2 2 2 2" xfId="2677" xr:uid="{0FB45228-FCDD-447D-834D-58EE334E213B}"/>
    <cellStyle name="Обычный 3 3 2 2 2 2 2 2 2 3" xfId="2678" xr:uid="{34D2E5D2-0DDF-413D-AFAD-4F50FCE7A5A2}"/>
    <cellStyle name="Обычный 3 3 2 2 2 2 2 2 3" xfId="1582" xr:uid="{37955A1D-36BC-42ED-8C27-2E22C3C61455}"/>
    <cellStyle name="Обычный 3 3 2 2 2 2 2 2 3 2" xfId="2679" xr:uid="{F13D5415-1820-4B61-9DB1-EDF7E8490F0F}"/>
    <cellStyle name="Обычный 3 3 2 2 2 2 2 2 4" xfId="2680" xr:uid="{5D7C2165-408A-4913-814D-FFC237683EBA}"/>
    <cellStyle name="Обычный 3 3 2 2 2 2 2 3" xfId="814" xr:uid="{2D5EEEDF-0F5B-48B8-B0C2-DF32BAC816B6}"/>
    <cellStyle name="Обычный 3 3 2 2 2 2 2 3 2" xfId="1838" xr:uid="{E70505B9-2D88-408E-98D0-B283EA0DFA81}"/>
    <cellStyle name="Обычный 3 3 2 2 2 2 2 3 2 2" xfId="2681" xr:uid="{AF963927-36E7-49F7-8E8E-96818C66ADC4}"/>
    <cellStyle name="Обычный 3 3 2 2 2 2 2 3 3" xfId="2682" xr:uid="{68FFF4E9-A953-4840-B1E1-A184836A0DAA}"/>
    <cellStyle name="Обычный 3 3 2 2 2 2 2 4" xfId="1326" xr:uid="{BC3C6A15-92A7-4DDE-8699-44D3B927DFD5}"/>
    <cellStyle name="Обычный 3 3 2 2 2 2 2 4 2" xfId="2683" xr:uid="{D68B8C77-8DA1-4FA9-9CAA-9F507FB16A68}"/>
    <cellStyle name="Обычный 3 3 2 2 2 2 2 5" xfId="2684" xr:uid="{FAAD8F2C-8FA1-4E7B-9465-76702BF015DF}"/>
    <cellStyle name="Обычный 3 3 2 2 2 2 3" xfId="430" xr:uid="{6861197F-DABA-4B17-8CD8-0BC5376FE787}"/>
    <cellStyle name="Обычный 3 3 2 2 2 2 3 2" xfId="942" xr:uid="{0B9D3458-C22D-4DD6-B186-AE27486B450C}"/>
    <cellStyle name="Обычный 3 3 2 2 2 2 3 2 2" xfId="1966" xr:uid="{6E8A11EB-81BC-4365-98D8-80DBB20DAAE6}"/>
    <cellStyle name="Обычный 3 3 2 2 2 2 3 2 2 2" xfId="2685" xr:uid="{892EFB12-F4A8-4861-9B9C-1A3EB722223B}"/>
    <cellStyle name="Обычный 3 3 2 2 2 2 3 2 3" xfId="2686" xr:uid="{2F579333-D3A6-48A1-872D-AE57276B9152}"/>
    <cellStyle name="Обычный 3 3 2 2 2 2 3 3" xfId="1454" xr:uid="{53F802B0-A17F-46BA-A58E-887A8E44A007}"/>
    <cellStyle name="Обычный 3 3 2 2 2 2 3 3 2" xfId="2687" xr:uid="{67E880F2-E399-45AD-9022-3D3330772D03}"/>
    <cellStyle name="Обычный 3 3 2 2 2 2 3 4" xfId="2688" xr:uid="{69F2FA1D-C8A8-4D87-9DDD-51F04968D825}"/>
    <cellStyle name="Обычный 3 3 2 2 2 2 4" xfId="686" xr:uid="{3746C85D-C284-47A1-BF6F-13DBED9F8AC3}"/>
    <cellStyle name="Обычный 3 3 2 2 2 2 4 2" xfId="1710" xr:uid="{E533CEB8-CAFB-44A6-886A-EDC13F16E16E}"/>
    <cellStyle name="Обычный 3 3 2 2 2 2 4 2 2" xfId="2689" xr:uid="{737E8808-7874-44D6-821A-87C000B4BB9D}"/>
    <cellStyle name="Обычный 3 3 2 2 2 2 4 3" xfId="2690" xr:uid="{BBA9F01D-CE3B-4778-BB70-C0957364458A}"/>
    <cellStyle name="Обычный 3 3 2 2 2 2 5" xfId="1198" xr:uid="{4DBC33B6-2EED-45C3-AAAC-DE6E0CEBE5E9}"/>
    <cellStyle name="Обычный 3 3 2 2 2 2 5 2" xfId="2691" xr:uid="{D6CE8A9F-A399-4098-9ED1-A3F0B08D5665}"/>
    <cellStyle name="Обычный 3 3 2 2 2 2 6" xfId="2692" xr:uid="{6E35CCFC-F550-4912-AA6C-02E460B9D509}"/>
    <cellStyle name="Обычный 3 3 2 2 2 3" xfId="238" xr:uid="{EA747BAF-9435-4A04-B40B-70868C59DBBC}"/>
    <cellStyle name="Обычный 3 3 2 2 2 3 2" xfId="494" xr:uid="{1F795A2C-5148-46C0-BF81-C4C412ACC0B3}"/>
    <cellStyle name="Обычный 3 3 2 2 2 3 2 2" xfId="1006" xr:uid="{3581F888-8805-43E0-8087-70A3C72A9D14}"/>
    <cellStyle name="Обычный 3 3 2 2 2 3 2 2 2" xfId="2030" xr:uid="{1E113E10-9636-450B-9688-1F9C2AFC80D0}"/>
    <cellStyle name="Обычный 3 3 2 2 2 3 2 2 2 2" xfId="2693" xr:uid="{BF74F8BF-5441-440E-968B-4940B78520D9}"/>
    <cellStyle name="Обычный 3 3 2 2 2 3 2 2 3" xfId="2694" xr:uid="{56E566D2-FFAD-4014-A557-24C7CC09EBA7}"/>
    <cellStyle name="Обычный 3 3 2 2 2 3 2 3" xfId="1518" xr:uid="{A010BA36-2B5F-4E8F-AA72-E130B4BDA8F1}"/>
    <cellStyle name="Обычный 3 3 2 2 2 3 2 3 2" xfId="2695" xr:uid="{7C5BC8DD-D305-4769-AE11-CB039FA13EDC}"/>
    <cellStyle name="Обычный 3 3 2 2 2 3 2 4" xfId="2696" xr:uid="{D6D81CC9-007F-4573-944D-D8517B89B8AF}"/>
    <cellStyle name="Обычный 3 3 2 2 2 3 3" xfId="750" xr:uid="{B8DA13C7-199F-4D60-A97B-DCA3F49B65CF}"/>
    <cellStyle name="Обычный 3 3 2 2 2 3 3 2" xfId="1774" xr:uid="{1636D652-74AE-4FD0-802D-E5908D6AE685}"/>
    <cellStyle name="Обычный 3 3 2 2 2 3 3 2 2" xfId="2697" xr:uid="{5E977BF2-82F3-4A97-B3F7-47E238A2F6D6}"/>
    <cellStyle name="Обычный 3 3 2 2 2 3 3 3" xfId="2698" xr:uid="{06B18377-95F5-42B8-804F-DD7BD08B0A6E}"/>
    <cellStyle name="Обычный 3 3 2 2 2 3 4" xfId="1262" xr:uid="{59AC3975-708E-457C-A7AF-177DA8555402}"/>
    <cellStyle name="Обычный 3 3 2 2 2 3 4 2" xfId="2699" xr:uid="{8D1B9788-AC01-4CC3-B22B-D373895771D3}"/>
    <cellStyle name="Обычный 3 3 2 2 2 3 5" xfId="2700" xr:uid="{4D9E46C2-3250-4653-AA9D-5AB34427E699}"/>
    <cellStyle name="Обычный 3 3 2 2 2 4" xfId="366" xr:uid="{0FE160CE-03B0-4DE9-A09B-D57EA49625C3}"/>
    <cellStyle name="Обычный 3 3 2 2 2 4 2" xfId="878" xr:uid="{A1D9ACA9-B00D-4649-80F5-E88CEA17E1FA}"/>
    <cellStyle name="Обычный 3 3 2 2 2 4 2 2" xfId="1902" xr:uid="{F023F283-27E0-4FE4-AF08-79D2D4C75FD6}"/>
    <cellStyle name="Обычный 3 3 2 2 2 4 2 2 2" xfId="2701" xr:uid="{A1378D89-AD9D-4177-B681-68F406CCF2E3}"/>
    <cellStyle name="Обычный 3 3 2 2 2 4 2 3" xfId="2702" xr:uid="{A00996B4-3078-4065-A4D0-35E5A3479FAE}"/>
    <cellStyle name="Обычный 3 3 2 2 2 4 3" xfId="1390" xr:uid="{1EA4E1EF-C208-485A-B537-247ED8BB6EB3}"/>
    <cellStyle name="Обычный 3 3 2 2 2 4 3 2" xfId="2703" xr:uid="{063FE80C-1051-4E14-B86C-5378343D93D0}"/>
    <cellStyle name="Обычный 3 3 2 2 2 4 4" xfId="2704" xr:uid="{BD9988B7-6DE0-4980-9BB5-C86180F5B095}"/>
    <cellStyle name="Обычный 3 3 2 2 2 5" xfId="622" xr:uid="{B6FEEBC8-780C-4D41-8E43-8E4823FFF90F}"/>
    <cellStyle name="Обычный 3 3 2 2 2 5 2" xfId="1646" xr:uid="{21CC2A7D-B00B-4353-A5FA-D70012AAB14F}"/>
    <cellStyle name="Обычный 3 3 2 2 2 5 2 2" xfId="2705" xr:uid="{2FF6BDD7-0D0E-41FE-A396-F6213861A3A1}"/>
    <cellStyle name="Обычный 3 3 2 2 2 5 3" xfId="2706" xr:uid="{8A0F599C-4025-4133-BD1C-8DEF93117533}"/>
    <cellStyle name="Обычный 3 3 2 2 2 6" xfId="1134" xr:uid="{A1BA7182-D348-4BD4-B22A-8F4C075F3FAD}"/>
    <cellStyle name="Обычный 3 3 2 2 2 6 2" xfId="2707" xr:uid="{05518086-5AA0-4B22-9756-3DE1E93E2B98}"/>
    <cellStyle name="Обычный 3 3 2 2 2 7" xfId="2708" xr:uid="{84CD1B34-8C5C-4DDD-B591-8A72D79A3AD9}"/>
    <cellStyle name="Обычный 3 3 2 2 3" xfId="142" xr:uid="{F542CC9C-F8E2-4A93-85E8-CD81BE57ACDC}"/>
    <cellStyle name="Обычный 3 3 2 2 3 2" xfId="270" xr:uid="{3F6454EA-4358-4B29-9D3A-973DFBE37A00}"/>
    <cellStyle name="Обычный 3 3 2 2 3 2 2" xfId="526" xr:uid="{E5F2CCD5-3BB2-4C0D-9861-F960F34B9821}"/>
    <cellStyle name="Обычный 3 3 2 2 3 2 2 2" xfId="1038" xr:uid="{4B212B2F-6857-4BB4-930C-8014FE3206DB}"/>
    <cellStyle name="Обычный 3 3 2 2 3 2 2 2 2" xfId="2062" xr:uid="{7A7C14A7-2675-4731-9588-A10A7C6FCE42}"/>
    <cellStyle name="Обычный 3 3 2 2 3 2 2 2 2 2" xfId="2709" xr:uid="{CDDAB1AA-CA8D-413E-8C9F-F32F29C443C2}"/>
    <cellStyle name="Обычный 3 3 2 2 3 2 2 2 3" xfId="2710" xr:uid="{C105D57F-B8D3-49F5-A280-648677CE0DAC}"/>
    <cellStyle name="Обычный 3 3 2 2 3 2 2 3" xfId="1550" xr:uid="{AB18AF4B-F592-417D-B908-0722AAB76B0B}"/>
    <cellStyle name="Обычный 3 3 2 2 3 2 2 3 2" xfId="2711" xr:uid="{954A6121-172B-4C8B-A9EB-428B6D26F8A7}"/>
    <cellStyle name="Обычный 3 3 2 2 3 2 2 4" xfId="2712" xr:uid="{B8C2AA9D-1CF5-4545-85CC-9036B62AC26F}"/>
    <cellStyle name="Обычный 3 3 2 2 3 2 3" xfId="782" xr:uid="{5A09CB3F-0FCC-40F5-8D24-BC354F6031DA}"/>
    <cellStyle name="Обычный 3 3 2 2 3 2 3 2" xfId="1806" xr:uid="{EF159B52-2DA0-45C6-A409-6847919F2060}"/>
    <cellStyle name="Обычный 3 3 2 2 3 2 3 2 2" xfId="2713" xr:uid="{B1F041A1-725A-497F-965D-8733D8079B5F}"/>
    <cellStyle name="Обычный 3 3 2 2 3 2 3 3" xfId="2714" xr:uid="{34216B04-7A19-43D6-844F-A648261D7120}"/>
    <cellStyle name="Обычный 3 3 2 2 3 2 4" xfId="1294" xr:uid="{7F9E7BE0-A124-42E9-B2E4-8718F241D241}"/>
    <cellStyle name="Обычный 3 3 2 2 3 2 4 2" xfId="2715" xr:uid="{659D3FFC-2177-4AF8-A74D-379B95613718}"/>
    <cellStyle name="Обычный 3 3 2 2 3 2 5" xfId="2716" xr:uid="{E22C015A-EC3E-4475-8402-0E3F3157602B}"/>
    <cellStyle name="Обычный 3 3 2 2 3 3" xfId="398" xr:uid="{31E3A417-7962-43DB-A92F-E96AC8D427EF}"/>
    <cellStyle name="Обычный 3 3 2 2 3 3 2" xfId="910" xr:uid="{4CB46828-88F3-40E7-91CA-CE3CF2C4E209}"/>
    <cellStyle name="Обычный 3 3 2 2 3 3 2 2" xfId="1934" xr:uid="{43B16A10-AF03-458D-AF07-7DD554077983}"/>
    <cellStyle name="Обычный 3 3 2 2 3 3 2 2 2" xfId="2717" xr:uid="{5E0400FC-9536-4CB3-9969-5699D85BEF6A}"/>
    <cellStyle name="Обычный 3 3 2 2 3 3 2 3" xfId="2718" xr:uid="{D8473B70-586C-4D5C-8BAC-31BEFBDA268D}"/>
    <cellStyle name="Обычный 3 3 2 2 3 3 3" xfId="1422" xr:uid="{A3B1AA11-AACB-4800-BDE4-35B6D9268B4A}"/>
    <cellStyle name="Обычный 3 3 2 2 3 3 3 2" xfId="2719" xr:uid="{9C7DC805-E46F-4087-967C-B493828F3AB3}"/>
    <cellStyle name="Обычный 3 3 2 2 3 3 4" xfId="2720" xr:uid="{ED5C6331-E086-499A-BE44-580F0FD75457}"/>
    <cellStyle name="Обычный 3 3 2 2 3 4" xfId="654" xr:uid="{A4286E34-AA91-47CF-BE2A-435AA5A6903B}"/>
    <cellStyle name="Обычный 3 3 2 2 3 4 2" xfId="1678" xr:uid="{00BAA38E-1C87-462C-9E5D-B2BCF0902D10}"/>
    <cellStyle name="Обычный 3 3 2 2 3 4 2 2" xfId="2721" xr:uid="{AACC29ED-223B-4FA2-B5D4-48F63FCDC6D4}"/>
    <cellStyle name="Обычный 3 3 2 2 3 4 3" xfId="2722" xr:uid="{3D55468B-AB93-4252-A827-A568BEB35BA2}"/>
    <cellStyle name="Обычный 3 3 2 2 3 5" xfId="1166" xr:uid="{746C3E49-4CB2-40FD-B4E6-C34F2789C4BB}"/>
    <cellStyle name="Обычный 3 3 2 2 3 5 2" xfId="2723" xr:uid="{1E6B6DCE-ED19-4C7C-ADA3-1416131A6870}"/>
    <cellStyle name="Обычный 3 3 2 2 3 6" xfId="2724" xr:uid="{3B4AD196-09AF-4701-B68C-8517AD11781F}"/>
    <cellStyle name="Обычный 3 3 2 2 4" xfId="206" xr:uid="{2F80D105-81A9-4579-900D-231D478E8CAD}"/>
    <cellStyle name="Обычный 3 3 2 2 4 2" xfId="462" xr:uid="{8D3B6F43-C923-4D9B-B2EC-5BB0B7FD7C82}"/>
    <cellStyle name="Обычный 3 3 2 2 4 2 2" xfId="974" xr:uid="{45DB598C-99B6-4782-93F3-C8E30E64DC6A}"/>
    <cellStyle name="Обычный 3 3 2 2 4 2 2 2" xfId="1998" xr:uid="{299B5976-63FE-4DC0-875A-2F7CADB66B6C}"/>
    <cellStyle name="Обычный 3 3 2 2 4 2 2 2 2" xfId="2725" xr:uid="{A01F7015-1DBE-43FD-A53E-E353BE3F9091}"/>
    <cellStyle name="Обычный 3 3 2 2 4 2 2 3" xfId="2726" xr:uid="{B378C113-13CC-485F-9ED6-AD7894794071}"/>
    <cellStyle name="Обычный 3 3 2 2 4 2 3" xfId="1486" xr:uid="{7B8327A3-8A51-41FD-8529-3F454921137D}"/>
    <cellStyle name="Обычный 3 3 2 2 4 2 3 2" xfId="2727" xr:uid="{D384D90F-BE6E-4846-A952-782D5CAB7890}"/>
    <cellStyle name="Обычный 3 3 2 2 4 2 4" xfId="2728" xr:uid="{AA655AC2-4F7D-4BFD-B7E0-A8F94B1AB3FB}"/>
    <cellStyle name="Обычный 3 3 2 2 4 3" xfId="718" xr:uid="{87CFF726-D55C-4FAF-BF37-F578838FA9E2}"/>
    <cellStyle name="Обычный 3 3 2 2 4 3 2" xfId="1742" xr:uid="{B62DAB4A-AB7B-449D-9847-8BDAC047D407}"/>
    <cellStyle name="Обычный 3 3 2 2 4 3 2 2" xfId="2729" xr:uid="{EE160CA3-91CC-4339-A3F5-2126FFD3FC31}"/>
    <cellStyle name="Обычный 3 3 2 2 4 3 3" xfId="2730" xr:uid="{97A04BBE-E493-4EBB-A5D7-AC0D2A2FD3A1}"/>
    <cellStyle name="Обычный 3 3 2 2 4 4" xfId="1230" xr:uid="{7855E693-FFA4-4215-A89A-DD9876F2FE50}"/>
    <cellStyle name="Обычный 3 3 2 2 4 4 2" xfId="2731" xr:uid="{03713884-CA13-4920-98CB-0BB07CA1FF4C}"/>
    <cellStyle name="Обычный 3 3 2 2 4 5" xfId="2732" xr:uid="{6C6058B9-35EB-49E0-8B50-E3771E586A90}"/>
    <cellStyle name="Обычный 3 3 2 2 5" xfId="334" xr:uid="{A3BD94C2-E678-4B62-A0D7-C37ED944DBB6}"/>
    <cellStyle name="Обычный 3 3 2 2 5 2" xfId="846" xr:uid="{23832B8C-106A-497F-8818-77A910CBA566}"/>
    <cellStyle name="Обычный 3 3 2 2 5 2 2" xfId="1870" xr:uid="{173C031C-B2A6-4BB2-9855-4AEEC82490CE}"/>
    <cellStyle name="Обычный 3 3 2 2 5 2 2 2" xfId="2733" xr:uid="{BE1703FB-FF6E-4A6B-98B0-7F08BB202DE1}"/>
    <cellStyle name="Обычный 3 3 2 2 5 2 3" xfId="2734" xr:uid="{3641DA58-80BB-410C-9127-1D262246FB8C}"/>
    <cellStyle name="Обычный 3 3 2 2 5 3" xfId="1358" xr:uid="{93032C20-4623-47E7-AEC3-E0C9837CBC30}"/>
    <cellStyle name="Обычный 3 3 2 2 5 3 2" xfId="2735" xr:uid="{2AAF6C62-7DE4-4FBD-A9E6-A94C925DB583}"/>
    <cellStyle name="Обычный 3 3 2 2 5 4" xfId="2736" xr:uid="{47C39230-8A9D-4BF3-BFF4-FE8493A88325}"/>
    <cellStyle name="Обычный 3 3 2 2 6" xfId="590" xr:uid="{C0311A79-D588-4E3C-B29C-38A01F90D408}"/>
    <cellStyle name="Обычный 3 3 2 2 6 2" xfId="1614" xr:uid="{D3F6D39A-104F-4602-B5B8-C9B3B6924FD4}"/>
    <cellStyle name="Обычный 3 3 2 2 6 2 2" xfId="2737" xr:uid="{E0B33A6E-CF35-4408-AA3F-FEAE8FC5CFDC}"/>
    <cellStyle name="Обычный 3 3 2 2 6 3" xfId="2738" xr:uid="{182A652B-D5C6-4DC1-9B40-D4BDB7273CD5}"/>
    <cellStyle name="Обычный 3 3 2 2 7" xfId="1102" xr:uid="{16F08942-6D6E-4A6B-8D0F-17B28B0B12C3}"/>
    <cellStyle name="Обычный 3 3 2 2 7 2" xfId="2739" xr:uid="{1C69E0E0-7A9B-4CA5-9C86-8628CDA92D72}"/>
    <cellStyle name="Обычный 3 3 2 2 8" xfId="2740" xr:uid="{B2806BF2-2B8E-4EE9-9D12-405C9A2CB716}"/>
    <cellStyle name="Обычный 3 3 2 3" xfId="94" xr:uid="{388EF889-1524-4EDA-9426-B7E4D29E4C3C}"/>
    <cellStyle name="Обычный 3 3 2 3 2" xfId="158" xr:uid="{72C7BD82-C354-4999-9E68-E7CB792225FE}"/>
    <cellStyle name="Обычный 3 3 2 3 2 2" xfId="286" xr:uid="{175399C5-59EF-4A9B-AAFC-9B9C9124A634}"/>
    <cellStyle name="Обычный 3 3 2 3 2 2 2" xfId="542" xr:uid="{C3E8E1EB-8855-4BC4-A388-5BC8DA56C17E}"/>
    <cellStyle name="Обычный 3 3 2 3 2 2 2 2" xfId="1054" xr:uid="{88A8676C-4140-43BC-8C20-C74F5D345773}"/>
    <cellStyle name="Обычный 3 3 2 3 2 2 2 2 2" xfId="2078" xr:uid="{CF999F66-2FDE-469A-90D7-09E7AF5A8D9E}"/>
    <cellStyle name="Обычный 3 3 2 3 2 2 2 2 2 2" xfId="2741" xr:uid="{931E5031-8511-4645-844A-5DB24795F7F6}"/>
    <cellStyle name="Обычный 3 3 2 3 2 2 2 2 3" xfId="2742" xr:uid="{9AF2AED6-9307-4E79-9C17-CE627BB79961}"/>
    <cellStyle name="Обычный 3 3 2 3 2 2 2 3" xfId="1566" xr:uid="{615C82D6-5A7C-4A06-A429-AC3151064A7B}"/>
    <cellStyle name="Обычный 3 3 2 3 2 2 2 3 2" xfId="2743" xr:uid="{9D280067-FAD0-458A-A6AE-A672E2DFC3C0}"/>
    <cellStyle name="Обычный 3 3 2 3 2 2 2 4" xfId="2744" xr:uid="{12706E6A-1726-46A3-9EAE-5372F852FB8C}"/>
    <cellStyle name="Обычный 3 3 2 3 2 2 3" xfId="798" xr:uid="{9A3A700B-958C-42F7-99CF-57B0BD297EE9}"/>
    <cellStyle name="Обычный 3 3 2 3 2 2 3 2" xfId="1822" xr:uid="{AD2B2F6E-0A6A-4E33-9B14-072DC67E8BDB}"/>
    <cellStyle name="Обычный 3 3 2 3 2 2 3 2 2" xfId="2745" xr:uid="{32E27711-D7A3-4B8B-B91E-08FAA6B1E785}"/>
    <cellStyle name="Обычный 3 3 2 3 2 2 3 3" xfId="2746" xr:uid="{65A49D62-0AAC-4C9A-9D67-2C10ABDF627F}"/>
    <cellStyle name="Обычный 3 3 2 3 2 2 4" xfId="1310" xr:uid="{CAA0E1CA-B2EF-44B5-B707-D26529F5C1C7}"/>
    <cellStyle name="Обычный 3 3 2 3 2 2 4 2" xfId="2747" xr:uid="{487DCDC5-BB32-426A-B794-1F3CF2683E91}"/>
    <cellStyle name="Обычный 3 3 2 3 2 2 5" xfId="2748" xr:uid="{46F2A352-17D2-4119-82B1-192A61321C11}"/>
    <cellStyle name="Обычный 3 3 2 3 2 3" xfId="414" xr:uid="{44B740A2-9E4E-4A9E-AD75-44ECACC346DD}"/>
    <cellStyle name="Обычный 3 3 2 3 2 3 2" xfId="926" xr:uid="{0FAD4C9B-7119-4A4A-83F5-FD62EF458D77}"/>
    <cellStyle name="Обычный 3 3 2 3 2 3 2 2" xfId="1950" xr:uid="{E94D8734-3ED5-4386-8D13-FA499F64DDCC}"/>
    <cellStyle name="Обычный 3 3 2 3 2 3 2 2 2" xfId="2749" xr:uid="{E4676505-DAF5-4ED0-B44F-73536DD681C9}"/>
    <cellStyle name="Обычный 3 3 2 3 2 3 2 3" xfId="2750" xr:uid="{3A144F78-7C02-449F-B14F-F17F7115BA3B}"/>
    <cellStyle name="Обычный 3 3 2 3 2 3 3" xfId="1438" xr:uid="{77EC207E-829E-464B-B8DA-84D3D759247F}"/>
    <cellStyle name="Обычный 3 3 2 3 2 3 3 2" xfId="2751" xr:uid="{716954CF-5CA6-4490-B69F-4E1426280F73}"/>
    <cellStyle name="Обычный 3 3 2 3 2 3 4" xfId="2752" xr:uid="{F58992C0-E390-49E6-9058-7FD11982BC54}"/>
    <cellStyle name="Обычный 3 3 2 3 2 4" xfId="670" xr:uid="{FB5A84F4-3FE0-411A-89D8-1D16D84F189D}"/>
    <cellStyle name="Обычный 3 3 2 3 2 4 2" xfId="1694" xr:uid="{EC107B15-96EA-4F33-BA80-5D7ED3B196AD}"/>
    <cellStyle name="Обычный 3 3 2 3 2 4 2 2" xfId="2753" xr:uid="{224E416B-BDF3-497A-A537-F5912BDE6618}"/>
    <cellStyle name="Обычный 3 3 2 3 2 4 3" xfId="2754" xr:uid="{3EE4F754-35AD-4892-8AF2-61EFF52DF159}"/>
    <cellStyle name="Обычный 3 3 2 3 2 5" xfId="1182" xr:uid="{A7EBFDB8-BAC2-4ABE-AA13-E14BC4343980}"/>
    <cellStyle name="Обычный 3 3 2 3 2 5 2" xfId="2755" xr:uid="{C0D3F7F3-1142-490B-8206-00EC888EBFB7}"/>
    <cellStyle name="Обычный 3 3 2 3 2 6" xfId="2756" xr:uid="{1B81AC14-68BE-47B5-A248-D47F596E81A4}"/>
    <cellStyle name="Обычный 3 3 2 3 3" xfId="222" xr:uid="{20885F27-9253-4B3C-82D4-2FD63243B843}"/>
    <cellStyle name="Обычный 3 3 2 3 3 2" xfId="478" xr:uid="{F5170E6D-EED1-4753-BFC8-353CCA21F8C5}"/>
    <cellStyle name="Обычный 3 3 2 3 3 2 2" xfId="990" xr:uid="{0F6B9E05-37C6-421C-9339-8E4F6817B1C3}"/>
    <cellStyle name="Обычный 3 3 2 3 3 2 2 2" xfId="2014" xr:uid="{4C3C884D-B440-4118-ACC5-98A26F5FF64B}"/>
    <cellStyle name="Обычный 3 3 2 3 3 2 2 2 2" xfId="2757" xr:uid="{C7B4B9D8-7928-4B0F-B904-085E8D75338B}"/>
    <cellStyle name="Обычный 3 3 2 3 3 2 2 3" xfId="2758" xr:uid="{5A9B551C-BAD9-4EE5-9760-E993FCDE1FB9}"/>
    <cellStyle name="Обычный 3 3 2 3 3 2 3" xfId="1502" xr:uid="{FF3FB9CD-F4A4-4AC9-AAC8-1C73E55B0AEE}"/>
    <cellStyle name="Обычный 3 3 2 3 3 2 3 2" xfId="2759" xr:uid="{3FB16CFE-B63E-49EC-89D6-40C529B86BD0}"/>
    <cellStyle name="Обычный 3 3 2 3 3 2 4" xfId="2760" xr:uid="{9FB738A1-D73E-4A10-9B60-B4AEE7576430}"/>
    <cellStyle name="Обычный 3 3 2 3 3 3" xfId="734" xr:uid="{90620273-C24C-4013-B5CD-D7D9B897B78D}"/>
    <cellStyle name="Обычный 3 3 2 3 3 3 2" xfId="1758" xr:uid="{CB8902AF-A4E3-45C4-B317-D5EDF6B4CBE0}"/>
    <cellStyle name="Обычный 3 3 2 3 3 3 2 2" xfId="2761" xr:uid="{B07660F8-E37A-4C43-85AF-FE84E6A51C60}"/>
    <cellStyle name="Обычный 3 3 2 3 3 3 3" xfId="2762" xr:uid="{8EAD0A20-601E-44EE-901F-8FCF6B93C601}"/>
    <cellStyle name="Обычный 3 3 2 3 3 4" xfId="1246" xr:uid="{17BE0B22-F20E-4906-8812-017F0090DFA4}"/>
    <cellStyle name="Обычный 3 3 2 3 3 4 2" xfId="2763" xr:uid="{DDC2C9E5-B21B-4BA3-BFF3-FA209EF7E7F7}"/>
    <cellStyle name="Обычный 3 3 2 3 3 5" xfId="2764" xr:uid="{C02642BD-7509-4CB9-B5E1-1B469B07B80E}"/>
    <cellStyle name="Обычный 3 3 2 3 4" xfId="350" xr:uid="{78AB35A6-FB7C-4295-AFA1-F5D708A3B3A8}"/>
    <cellStyle name="Обычный 3 3 2 3 4 2" xfId="862" xr:uid="{586BBEFE-30A9-45DA-B8F6-B60939ABD2C1}"/>
    <cellStyle name="Обычный 3 3 2 3 4 2 2" xfId="1886" xr:uid="{3C2B0D5E-AC14-4A03-9963-1FBEE0E23372}"/>
    <cellStyle name="Обычный 3 3 2 3 4 2 2 2" xfId="2765" xr:uid="{87D4DF44-EFFD-4E03-BAF7-68EFA166CEE0}"/>
    <cellStyle name="Обычный 3 3 2 3 4 2 3" xfId="2766" xr:uid="{ED43DC32-AE2C-41B9-A375-F6128C0D66EF}"/>
    <cellStyle name="Обычный 3 3 2 3 4 3" xfId="1374" xr:uid="{3DD19DD1-E123-4AB2-A923-C921EC083424}"/>
    <cellStyle name="Обычный 3 3 2 3 4 3 2" xfId="2767" xr:uid="{31601DF5-E198-46C8-83F6-FD12E00287EF}"/>
    <cellStyle name="Обычный 3 3 2 3 4 4" xfId="2768" xr:uid="{0CAE7625-D568-4EE8-B092-594F6DE6E587}"/>
    <cellStyle name="Обычный 3 3 2 3 5" xfId="606" xr:uid="{4EA66084-0D54-4FBD-B0F6-AF1968A3B5B5}"/>
    <cellStyle name="Обычный 3 3 2 3 5 2" xfId="1630" xr:uid="{65D26818-EE97-4124-9DBA-BCDC997C4717}"/>
    <cellStyle name="Обычный 3 3 2 3 5 2 2" xfId="2769" xr:uid="{9D3E88B3-E24F-45A6-AEBE-5DB3954DC05B}"/>
    <cellStyle name="Обычный 3 3 2 3 5 3" xfId="2770" xr:uid="{3D2DDAD3-2B89-434B-BADA-46D502B921AA}"/>
    <cellStyle name="Обычный 3 3 2 3 6" xfId="1118" xr:uid="{D1AC83EB-4DA0-4D30-A198-55EB1C940EAC}"/>
    <cellStyle name="Обычный 3 3 2 3 6 2" xfId="2771" xr:uid="{840B6849-F4DC-4428-BF45-501CB82F14CF}"/>
    <cellStyle name="Обычный 3 3 2 3 7" xfId="2772" xr:uid="{020FC083-0F69-449F-8953-B3B46BEB9F03}"/>
    <cellStyle name="Обычный 3 3 2 4" xfId="126" xr:uid="{66734AB0-0A2C-4306-8AD7-131159D999CC}"/>
    <cellStyle name="Обычный 3 3 2 4 2" xfId="254" xr:uid="{784CA841-165B-4C77-A888-0FA6405362DD}"/>
    <cellStyle name="Обычный 3 3 2 4 2 2" xfId="510" xr:uid="{C614A125-49F5-43F9-A29F-B85C16EDD16D}"/>
    <cellStyle name="Обычный 3 3 2 4 2 2 2" xfId="1022" xr:uid="{E024BCCE-62A6-42A1-BB6A-5DF4A9D1AA74}"/>
    <cellStyle name="Обычный 3 3 2 4 2 2 2 2" xfId="2046" xr:uid="{0070994B-AB99-4B7E-8BDE-6A1A4BC7353C}"/>
    <cellStyle name="Обычный 3 3 2 4 2 2 2 2 2" xfId="2773" xr:uid="{AAA1A640-B0DD-450B-985C-3E15BF327603}"/>
    <cellStyle name="Обычный 3 3 2 4 2 2 2 3" xfId="2774" xr:uid="{3087881B-CB29-482E-A623-F590B08C05E3}"/>
    <cellStyle name="Обычный 3 3 2 4 2 2 3" xfId="1534" xr:uid="{7712D908-239B-41F8-9637-BC858299F558}"/>
    <cellStyle name="Обычный 3 3 2 4 2 2 3 2" xfId="2775" xr:uid="{C50E415C-F2C6-4CDC-A524-45E7BA6E76CF}"/>
    <cellStyle name="Обычный 3 3 2 4 2 2 4" xfId="2776" xr:uid="{81490A31-EB6E-4CBA-9F04-F9FD8045110B}"/>
    <cellStyle name="Обычный 3 3 2 4 2 3" xfId="766" xr:uid="{23B69425-206F-48C0-A3AE-7610398403F9}"/>
    <cellStyle name="Обычный 3 3 2 4 2 3 2" xfId="1790" xr:uid="{D783EC07-50C6-423E-B621-2B3710818B3F}"/>
    <cellStyle name="Обычный 3 3 2 4 2 3 2 2" xfId="2777" xr:uid="{0DF98527-255B-4D11-9671-1B9C187EDC65}"/>
    <cellStyle name="Обычный 3 3 2 4 2 3 3" xfId="2778" xr:uid="{1F90373A-410A-4FBA-8806-7669ADEB0FBE}"/>
    <cellStyle name="Обычный 3 3 2 4 2 4" xfId="1278" xr:uid="{60B9C6DF-CFE1-4E0E-8728-8B1F787BBD13}"/>
    <cellStyle name="Обычный 3 3 2 4 2 4 2" xfId="2779" xr:uid="{8C8B4112-D3A8-40CC-A084-6FEA84A373C8}"/>
    <cellStyle name="Обычный 3 3 2 4 2 5" xfId="2780" xr:uid="{089D816A-816B-4BBC-B11A-1747CA9D695D}"/>
    <cellStyle name="Обычный 3 3 2 4 3" xfId="382" xr:uid="{81A61C5B-9FEF-4FA6-AEA1-E0267D924884}"/>
    <cellStyle name="Обычный 3 3 2 4 3 2" xfId="894" xr:uid="{4DDC0F7F-4E29-4814-B3A4-6A4891B9B828}"/>
    <cellStyle name="Обычный 3 3 2 4 3 2 2" xfId="1918" xr:uid="{BF012F73-CF0C-4DC9-A222-2748BEBD2C4A}"/>
    <cellStyle name="Обычный 3 3 2 4 3 2 2 2" xfId="2781" xr:uid="{9EB4E749-B235-4C3F-B45F-71401BFEAC24}"/>
    <cellStyle name="Обычный 3 3 2 4 3 2 3" xfId="2782" xr:uid="{68B93974-9085-45D9-838E-B9B20F1B4FE5}"/>
    <cellStyle name="Обычный 3 3 2 4 3 3" xfId="1406" xr:uid="{663405E2-DA8C-4669-96D1-99EB55E6CFD9}"/>
    <cellStyle name="Обычный 3 3 2 4 3 3 2" xfId="2783" xr:uid="{88704AAD-B0AD-48B6-B094-B0D9CAF4060F}"/>
    <cellStyle name="Обычный 3 3 2 4 3 4" xfId="2784" xr:uid="{5F1D7537-643C-4969-BF94-AE17CFD44100}"/>
    <cellStyle name="Обычный 3 3 2 4 4" xfId="638" xr:uid="{A24066AF-EFA2-4600-97DD-C417D6B3CE78}"/>
    <cellStyle name="Обычный 3 3 2 4 4 2" xfId="1662" xr:uid="{A558E1CE-D647-4461-A26A-2BAF267CFB43}"/>
    <cellStyle name="Обычный 3 3 2 4 4 2 2" xfId="2785" xr:uid="{F29BA4E5-1239-4860-B764-0F14486C33A4}"/>
    <cellStyle name="Обычный 3 3 2 4 4 3" xfId="2786" xr:uid="{ECBEFDCE-BE48-4916-86FC-0248A67F061C}"/>
    <cellStyle name="Обычный 3 3 2 4 5" xfId="1150" xr:uid="{80ADA8EC-AE43-4E41-81DE-13474CC64A7C}"/>
    <cellStyle name="Обычный 3 3 2 4 5 2" xfId="2787" xr:uid="{C7B4042C-0FE4-48C1-AF52-A293AE3A7DE1}"/>
    <cellStyle name="Обычный 3 3 2 4 6" xfId="2788" xr:uid="{243FB7E6-9984-4260-AB7C-C9D9A1922B0E}"/>
    <cellStyle name="Обычный 3 3 2 5" xfId="190" xr:uid="{98C80FCD-0927-4F4E-A2E8-7889E3F4DF55}"/>
    <cellStyle name="Обычный 3 3 2 5 2" xfId="446" xr:uid="{26A4E0BB-A443-47E4-9557-7E3BA4DF8DA1}"/>
    <cellStyle name="Обычный 3 3 2 5 2 2" xfId="958" xr:uid="{D78BE119-30C5-4574-97BF-8C417A3FE01A}"/>
    <cellStyle name="Обычный 3 3 2 5 2 2 2" xfId="1982" xr:uid="{D2879245-C9B7-4242-8B8A-EBD1044D8A69}"/>
    <cellStyle name="Обычный 3 3 2 5 2 2 2 2" xfId="2789" xr:uid="{25734EDB-D9D4-4D3D-A796-BA5FF5C701C1}"/>
    <cellStyle name="Обычный 3 3 2 5 2 2 3" xfId="2790" xr:uid="{59EADB94-6E53-49D6-957B-7A75B3375B4D}"/>
    <cellStyle name="Обычный 3 3 2 5 2 3" xfId="1470" xr:uid="{6468E294-D96D-409D-9BAF-65932850383D}"/>
    <cellStyle name="Обычный 3 3 2 5 2 3 2" xfId="2791" xr:uid="{1B6F4E9D-C125-4596-BEA8-7414EE7381BD}"/>
    <cellStyle name="Обычный 3 3 2 5 2 4" xfId="2792" xr:uid="{A2E998C5-F5B0-42E8-B2FF-5B54C1B545B5}"/>
    <cellStyle name="Обычный 3 3 2 5 3" xfId="702" xr:uid="{F3BA4338-046F-4857-A5F0-7F7D599A60A9}"/>
    <cellStyle name="Обычный 3 3 2 5 3 2" xfId="1726" xr:uid="{024C0215-89D3-4891-A18B-5CF62D403F2E}"/>
    <cellStyle name="Обычный 3 3 2 5 3 2 2" xfId="2793" xr:uid="{59E038FC-E4EA-4EE3-B7B1-E8B68B1F2258}"/>
    <cellStyle name="Обычный 3 3 2 5 3 3" xfId="2794" xr:uid="{777DBC8A-F2E7-4042-910C-3D429FA1E657}"/>
    <cellStyle name="Обычный 3 3 2 5 4" xfId="1214" xr:uid="{D86E662A-C1DF-464E-9F34-23E50383C091}"/>
    <cellStyle name="Обычный 3 3 2 5 4 2" xfId="2795" xr:uid="{8ADB29A9-9E61-4773-B85D-194214EEF77E}"/>
    <cellStyle name="Обычный 3 3 2 5 5" xfId="2796" xr:uid="{DAA56583-1CD9-4C62-818D-9CCD4342FEA3}"/>
    <cellStyle name="Обычный 3 3 2 6" xfId="318" xr:uid="{2BAA84E0-75CB-41DA-B775-CA4BE03D47DB}"/>
    <cellStyle name="Обычный 3 3 2 6 2" xfId="830" xr:uid="{E5A1F433-C6D5-4061-8678-0D1192CB5829}"/>
    <cellStyle name="Обычный 3 3 2 6 2 2" xfId="1854" xr:uid="{7AD44514-F0A2-4F94-B6D0-F6CB21ADBF84}"/>
    <cellStyle name="Обычный 3 3 2 6 2 2 2" xfId="2797" xr:uid="{DB64063E-3962-4207-BFDE-5A57ED0BCB58}"/>
    <cellStyle name="Обычный 3 3 2 6 2 3" xfId="2798" xr:uid="{862DBB0A-0238-4478-806A-C9B7B2CAACE2}"/>
    <cellStyle name="Обычный 3 3 2 6 3" xfId="1342" xr:uid="{F7B8345D-C492-4E7E-8C7A-D78AE4F5106D}"/>
    <cellStyle name="Обычный 3 3 2 6 3 2" xfId="2799" xr:uid="{5A56F280-EC28-4038-9160-69ED6333134C}"/>
    <cellStyle name="Обычный 3 3 2 6 4" xfId="2800" xr:uid="{0DF1AE93-072A-4711-A9E4-D1421C54AB18}"/>
    <cellStyle name="Обычный 3 3 2 7" xfId="574" xr:uid="{31C03C0E-E041-4400-9F19-F33E17A2E56D}"/>
    <cellStyle name="Обычный 3 3 2 7 2" xfId="1598" xr:uid="{DF457F16-B6BE-4403-BCDA-E5D71B1C3824}"/>
    <cellStyle name="Обычный 3 3 2 7 2 2" xfId="2801" xr:uid="{458D285B-383E-42A3-8D96-5BBE6025FD91}"/>
    <cellStyle name="Обычный 3 3 2 7 3" xfId="2802" xr:uid="{B14EB1FE-2A49-4AFE-90F8-B17F165AF027}"/>
    <cellStyle name="Обычный 3 3 2 8" xfId="1086" xr:uid="{EBF74C70-1E30-44CD-BA1F-AEAF5D7A3EC5}"/>
    <cellStyle name="Обычный 3 3 2 8 2" xfId="2803" xr:uid="{49120321-26BA-4166-BA8F-A55818AE38CE}"/>
    <cellStyle name="Обычный 3 3 2 9" xfId="2804" xr:uid="{2CB5D36E-DB68-4131-94AF-976C6C31F19E}"/>
    <cellStyle name="Обычный 3 3 3" xfId="69" xr:uid="{04A7BB3C-4CD2-4DC8-83CF-876B3AD48B14}"/>
    <cellStyle name="Обычный 3 3 3 2" xfId="102" xr:uid="{7845C885-15DC-47D6-9494-3E13161E349D}"/>
    <cellStyle name="Обычный 3 3 3 2 2" xfId="166" xr:uid="{1269903C-25A6-4A0E-94B8-5245E39910D4}"/>
    <cellStyle name="Обычный 3 3 3 2 2 2" xfId="294" xr:uid="{0AE0D802-BD4F-47D4-8F58-8AAB13522404}"/>
    <cellStyle name="Обычный 3 3 3 2 2 2 2" xfId="550" xr:uid="{EEB4BA18-8EB7-4BEF-A1C4-2C0228558180}"/>
    <cellStyle name="Обычный 3 3 3 2 2 2 2 2" xfId="1062" xr:uid="{54C809E8-06F9-4A23-94A3-7230D6AAD43E}"/>
    <cellStyle name="Обычный 3 3 3 2 2 2 2 2 2" xfId="2086" xr:uid="{F3F2CD80-23D0-4779-A281-93719DDB1711}"/>
    <cellStyle name="Обычный 3 3 3 2 2 2 2 2 2 2" xfId="2805" xr:uid="{ADDF1C84-97E4-4766-9C9A-6947C288C7B6}"/>
    <cellStyle name="Обычный 3 3 3 2 2 2 2 2 3" xfId="2806" xr:uid="{59A5CF2E-AB8C-4763-87E3-1570970539A9}"/>
    <cellStyle name="Обычный 3 3 3 2 2 2 2 3" xfId="1574" xr:uid="{C1FDB80F-3240-4467-95F3-33F9BF6EB77E}"/>
    <cellStyle name="Обычный 3 3 3 2 2 2 2 3 2" xfId="2807" xr:uid="{9642D2C2-DD5D-4245-B8E5-71AF4EA32FF8}"/>
    <cellStyle name="Обычный 3 3 3 2 2 2 2 4" xfId="2808" xr:uid="{E2A7E31B-D7DC-4056-8300-0E62ACB711C9}"/>
    <cellStyle name="Обычный 3 3 3 2 2 2 3" xfId="806" xr:uid="{CB30EDAE-3169-45AD-BD64-46C97FCA6D97}"/>
    <cellStyle name="Обычный 3 3 3 2 2 2 3 2" xfId="1830" xr:uid="{AF2E4F0E-06D3-40D2-85F7-EFFF2D450A4A}"/>
    <cellStyle name="Обычный 3 3 3 2 2 2 3 2 2" xfId="2809" xr:uid="{14DFCD45-E911-4389-A2C4-15679B994BE4}"/>
    <cellStyle name="Обычный 3 3 3 2 2 2 3 3" xfId="2810" xr:uid="{8F71F367-F93B-4F53-BA44-95233A725F45}"/>
    <cellStyle name="Обычный 3 3 3 2 2 2 4" xfId="1318" xr:uid="{61EFBC8B-764E-4481-9B4B-B896D6CE0F72}"/>
    <cellStyle name="Обычный 3 3 3 2 2 2 4 2" xfId="2811" xr:uid="{B0C730D5-3589-4B33-B371-9A467E3CC39D}"/>
    <cellStyle name="Обычный 3 3 3 2 2 2 5" xfId="2812" xr:uid="{1BB20C11-63F5-4FD7-97FA-D2164F7A4986}"/>
    <cellStyle name="Обычный 3 3 3 2 2 3" xfId="422" xr:uid="{F2ED544C-DD17-4C0A-95B7-4917BF3EEC2C}"/>
    <cellStyle name="Обычный 3 3 3 2 2 3 2" xfId="934" xr:uid="{E9223DA5-4E91-479C-9621-4A3AF3DF8832}"/>
    <cellStyle name="Обычный 3 3 3 2 2 3 2 2" xfId="1958" xr:uid="{41D1E414-4E0F-4451-BA3E-9D56BB6B1D4B}"/>
    <cellStyle name="Обычный 3 3 3 2 2 3 2 2 2" xfId="2813" xr:uid="{E93BE08A-5537-4F16-9E0A-928A307FE3BA}"/>
    <cellStyle name="Обычный 3 3 3 2 2 3 2 3" xfId="2814" xr:uid="{ECBE46DB-522E-42C3-ACF0-F978A8FDEB0F}"/>
    <cellStyle name="Обычный 3 3 3 2 2 3 3" xfId="1446" xr:uid="{60BFD0AD-7E0B-4E41-9279-43EF93E96596}"/>
    <cellStyle name="Обычный 3 3 3 2 2 3 3 2" xfId="2815" xr:uid="{4CDD00AF-F77B-48C9-B893-9A998D3DFFAA}"/>
    <cellStyle name="Обычный 3 3 3 2 2 3 4" xfId="2816" xr:uid="{3231CEB5-84CF-45B0-929F-CD4389FCD035}"/>
    <cellStyle name="Обычный 3 3 3 2 2 4" xfId="678" xr:uid="{F69993DD-461E-4F4E-9A90-67E3A06CB9DA}"/>
    <cellStyle name="Обычный 3 3 3 2 2 4 2" xfId="1702" xr:uid="{640248FB-0630-4254-8370-1C4E658DCB79}"/>
    <cellStyle name="Обычный 3 3 3 2 2 4 2 2" xfId="2817" xr:uid="{93A8E338-025C-42F7-B212-A719C68E7F94}"/>
    <cellStyle name="Обычный 3 3 3 2 2 4 3" xfId="2818" xr:uid="{DDF44CD1-B3F5-402C-8CE9-E151B7582692}"/>
    <cellStyle name="Обычный 3 3 3 2 2 5" xfId="1190" xr:uid="{EF92A0A8-13D3-4632-9EBD-7780F840E5E2}"/>
    <cellStyle name="Обычный 3 3 3 2 2 5 2" xfId="2819" xr:uid="{C62F0F42-2114-4A83-A729-7A69F90CE785}"/>
    <cellStyle name="Обычный 3 3 3 2 2 6" xfId="2820" xr:uid="{26167328-C980-42CC-B351-9E39E3AF6809}"/>
    <cellStyle name="Обычный 3 3 3 2 3" xfId="230" xr:uid="{544C50A7-9A5A-485F-97E3-1CE15A52B96B}"/>
    <cellStyle name="Обычный 3 3 3 2 3 2" xfId="486" xr:uid="{9EFC2421-8236-4B77-B8FC-CDB061892AF9}"/>
    <cellStyle name="Обычный 3 3 3 2 3 2 2" xfId="998" xr:uid="{CC8C2185-4FEE-4588-B3C4-50A23D4C3FC9}"/>
    <cellStyle name="Обычный 3 3 3 2 3 2 2 2" xfId="2022" xr:uid="{05993508-F6D6-47F9-B431-46B567BC9AA3}"/>
    <cellStyle name="Обычный 3 3 3 2 3 2 2 2 2" xfId="2821" xr:uid="{1AC4E1BA-3552-4E7F-9F94-BF75BDF4854A}"/>
    <cellStyle name="Обычный 3 3 3 2 3 2 2 3" xfId="2822" xr:uid="{1803FB2A-6BFC-4721-98BE-567A1F4A5E33}"/>
    <cellStyle name="Обычный 3 3 3 2 3 2 3" xfId="1510" xr:uid="{B5223EE0-41DD-4562-9DF7-5E44DD108992}"/>
    <cellStyle name="Обычный 3 3 3 2 3 2 3 2" xfId="2823" xr:uid="{0503F480-45CA-49D7-9925-E59F932FDD2B}"/>
    <cellStyle name="Обычный 3 3 3 2 3 2 4" xfId="2824" xr:uid="{118C4FE8-90FF-4630-8136-998D3F6112E0}"/>
    <cellStyle name="Обычный 3 3 3 2 3 3" xfId="742" xr:uid="{B683793B-EDF8-45FA-A699-FB4F75ED44E5}"/>
    <cellStyle name="Обычный 3 3 3 2 3 3 2" xfId="1766" xr:uid="{C76739FB-C45A-4495-853A-4E24B9292C96}"/>
    <cellStyle name="Обычный 3 3 3 2 3 3 2 2" xfId="2825" xr:uid="{497025DE-4172-4667-BE33-5587B91516CF}"/>
    <cellStyle name="Обычный 3 3 3 2 3 3 3" xfId="2826" xr:uid="{3707FE87-A838-4F36-9871-DD9DA99986F4}"/>
    <cellStyle name="Обычный 3 3 3 2 3 4" xfId="1254" xr:uid="{E20F43B7-8ABC-41AF-B9D8-F5BC7464CD2E}"/>
    <cellStyle name="Обычный 3 3 3 2 3 4 2" xfId="2827" xr:uid="{40D1E304-FEAF-4F51-A14E-2446830A064A}"/>
    <cellStyle name="Обычный 3 3 3 2 3 5" xfId="2828" xr:uid="{99A5B5B7-D7C0-419E-861E-1BC89A864B36}"/>
    <cellStyle name="Обычный 3 3 3 2 4" xfId="358" xr:uid="{635209DF-A5C2-4913-A9E1-9EF3301AD6CC}"/>
    <cellStyle name="Обычный 3 3 3 2 4 2" xfId="870" xr:uid="{1099C163-D17A-45C9-BA73-AD3618635FC2}"/>
    <cellStyle name="Обычный 3 3 3 2 4 2 2" xfId="1894" xr:uid="{2CED97D5-5357-496A-BF9D-315C9C816DF6}"/>
    <cellStyle name="Обычный 3 3 3 2 4 2 2 2" xfId="2829" xr:uid="{F216A8A1-30BC-4EBE-99E2-B1D1D2DF8809}"/>
    <cellStyle name="Обычный 3 3 3 2 4 2 3" xfId="2830" xr:uid="{19063CAE-C92F-44E6-AE2A-659059637A24}"/>
    <cellStyle name="Обычный 3 3 3 2 4 3" xfId="1382" xr:uid="{297EDC77-CBE1-4068-A6E2-148F38A9BBAC}"/>
    <cellStyle name="Обычный 3 3 3 2 4 3 2" xfId="2831" xr:uid="{9C17154B-C5A6-4D67-B5D8-659C91D3C0AC}"/>
    <cellStyle name="Обычный 3 3 3 2 4 4" xfId="2832" xr:uid="{74AA795B-BE1E-4261-AAD7-6CFC2BB8323A}"/>
    <cellStyle name="Обычный 3 3 3 2 5" xfId="614" xr:uid="{3CEE909E-2190-4E5F-9B3B-368D219AEE4F}"/>
    <cellStyle name="Обычный 3 3 3 2 5 2" xfId="1638" xr:uid="{690C8C55-4766-4C32-BB1F-776F073154E5}"/>
    <cellStyle name="Обычный 3 3 3 2 5 2 2" xfId="2833" xr:uid="{186CBCC9-9D19-40D8-8920-AECB7ECB2466}"/>
    <cellStyle name="Обычный 3 3 3 2 5 3" xfId="2834" xr:uid="{224D1876-1875-4A96-A947-C094237826FD}"/>
    <cellStyle name="Обычный 3 3 3 2 6" xfId="1126" xr:uid="{F1BF8AC9-0AD8-4B29-BFBA-A6AC6999A25B}"/>
    <cellStyle name="Обычный 3 3 3 2 6 2" xfId="2835" xr:uid="{3291DD23-20F5-4671-8791-525F4182034A}"/>
    <cellStyle name="Обычный 3 3 3 2 7" xfId="2836" xr:uid="{BF101AC7-7841-473C-B3C9-3BF9C9A4A9B3}"/>
    <cellStyle name="Обычный 3 3 3 3" xfId="134" xr:uid="{CDA926D1-4F51-4620-87FE-64E09D3D1DE8}"/>
    <cellStyle name="Обычный 3 3 3 3 2" xfId="262" xr:uid="{F2C3D8E1-CC11-4A86-934C-B3450A65464D}"/>
    <cellStyle name="Обычный 3 3 3 3 2 2" xfId="518" xr:uid="{23A5DCA4-25BF-4888-A5E0-62155D0A7715}"/>
    <cellStyle name="Обычный 3 3 3 3 2 2 2" xfId="1030" xr:uid="{31BB1A72-F963-460A-ACC9-118C0EFFD4DC}"/>
    <cellStyle name="Обычный 3 3 3 3 2 2 2 2" xfId="2054" xr:uid="{FC99E527-9F2B-4796-A2D9-8B7CBE562885}"/>
    <cellStyle name="Обычный 3 3 3 3 2 2 2 2 2" xfId="2837" xr:uid="{BDA68982-8C18-408B-909C-CDB18AD488B9}"/>
    <cellStyle name="Обычный 3 3 3 3 2 2 2 3" xfId="2838" xr:uid="{E5D65518-D44C-4AE3-9F7B-939CC96C8B6C}"/>
    <cellStyle name="Обычный 3 3 3 3 2 2 3" xfId="1542" xr:uid="{18F53B1C-74A8-4887-838B-31360ABCE8D5}"/>
    <cellStyle name="Обычный 3 3 3 3 2 2 3 2" xfId="2839" xr:uid="{2E5D8888-0243-4DD6-A596-6125C4A76356}"/>
    <cellStyle name="Обычный 3 3 3 3 2 2 4" xfId="2840" xr:uid="{EF05E1EA-4DDA-4FDB-A9E1-A7C3DB78CFBE}"/>
    <cellStyle name="Обычный 3 3 3 3 2 3" xfId="774" xr:uid="{5C4E2F6D-5CBD-48C9-9BC4-573B280A20F0}"/>
    <cellStyle name="Обычный 3 3 3 3 2 3 2" xfId="1798" xr:uid="{681AFB0D-487E-4B12-8DCE-5683C47C752D}"/>
    <cellStyle name="Обычный 3 3 3 3 2 3 2 2" xfId="2841" xr:uid="{65C02E9D-E816-42E3-B328-B206599EEAA9}"/>
    <cellStyle name="Обычный 3 3 3 3 2 3 3" xfId="2842" xr:uid="{7F8545ED-B6D3-4FC1-8945-5B73307853A8}"/>
    <cellStyle name="Обычный 3 3 3 3 2 4" xfId="1286" xr:uid="{39B8242A-8CAB-4223-8A6B-1271E8714E0C}"/>
    <cellStyle name="Обычный 3 3 3 3 2 4 2" xfId="2843" xr:uid="{EB78B930-2B50-4186-8360-966D18FB6FD9}"/>
    <cellStyle name="Обычный 3 3 3 3 2 5" xfId="2844" xr:uid="{64C54BB9-CA1A-476B-AA4C-44A3FBBCC9C3}"/>
    <cellStyle name="Обычный 3 3 3 3 3" xfId="390" xr:uid="{CCC69831-7091-4F01-A366-F169E67AEE62}"/>
    <cellStyle name="Обычный 3 3 3 3 3 2" xfId="902" xr:uid="{B4DE89AD-4FB8-43D2-AFAF-0E4E34420481}"/>
    <cellStyle name="Обычный 3 3 3 3 3 2 2" xfId="1926" xr:uid="{FAE4A1DF-5126-4BFE-85B2-A2300369D9FC}"/>
    <cellStyle name="Обычный 3 3 3 3 3 2 2 2" xfId="2845" xr:uid="{516A504E-C55B-494B-83A7-C17495C92ADE}"/>
    <cellStyle name="Обычный 3 3 3 3 3 2 3" xfId="2846" xr:uid="{701EBA2B-00FE-4E93-9955-B3BFB6042260}"/>
    <cellStyle name="Обычный 3 3 3 3 3 3" xfId="1414" xr:uid="{4AE32E43-D794-4090-93D0-E1F0409C673C}"/>
    <cellStyle name="Обычный 3 3 3 3 3 3 2" xfId="2847" xr:uid="{067F6B2A-0A2E-42F8-B47A-FE6F1AA11C56}"/>
    <cellStyle name="Обычный 3 3 3 3 3 4" xfId="2848" xr:uid="{D4524C5A-4C1F-474B-B905-F235B8BED85F}"/>
    <cellStyle name="Обычный 3 3 3 3 4" xfId="646" xr:uid="{1F881D0D-C986-4DA2-A4AF-95F708244488}"/>
    <cellStyle name="Обычный 3 3 3 3 4 2" xfId="1670" xr:uid="{C40F5A0F-B394-40F1-BA8A-17ED077D3F35}"/>
    <cellStyle name="Обычный 3 3 3 3 4 2 2" xfId="2849" xr:uid="{3EC386FE-0046-49A4-9956-B6B2A45A4BF2}"/>
    <cellStyle name="Обычный 3 3 3 3 4 3" xfId="2850" xr:uid="{32EE8878-6AD9-4982-A09C-F26079E5C680}"/>
    <cellStyle name="Обычный 3 3 3 3 5" xfId="1158" xr:uid="{4D7EEC07-BD9F-4A1B-AA37-A18F4511304D}"/>
    <cellStyle name="Обычный 3 3 3 3 5 2" xfId="2851" xr:uid="{18D374BD-6334-45F5-B5B5-4DF0C92A672C}"/>
    <cellStyle name="Обычный 3 3 3 3 6" xfId="2852" xr:uid="{D0725179-2ECE-42D7-8F47-C10B543C65CB}"/>
    <cellStyle name="Обычный 3 3 3 4" xfId="198" xr:uid="{E0330C7E-BADF-44A1-82A7-067D819D6E7E}"/>
    <cellStyle name="Обычный 3 3 3 4 2" xfId="454" xr:uid="{BB31AC2E-4851-4CA0-9BFD-686437D355AC}"/>
    <cellStyle name="Обычный 3 3 3 4 2 2" xfId="966" xr:uid="{2549DC9D-B184-48E4-822A-7D484EB04EDC}"/>
    <cellStyle name="Обычный 3 3 3 4 2 2 2" xfId="1990" xr:uid="{66B55BB7-893E-4CF7-AF43-0E257BB45023}"/>
    <cellStyle name="Обычный 3 3 3 4 2 2 2 2" xfId="2853" xr:uid="{63890A3E-035B-4AEB-BD51-8DE8FC3DAD51}"/>
    <cellStyle name="Обычный 3 3 3 4 2 2 3" xfId="2854" xr:uid="{24884828-8F1D-481A-805A-7D6B421C596F}"/>
    <cellStyle name="Обычный 3 3 3 4 2 3" xfId="1478" xr:uid="{7E2BFCF3-ADF0-472B-B55E-EA70311E8E45}"/>
    <cellStyle name="Обычный 3 3 3 4 2 3 2" xfId="2855" xr:uid="{E6B2A82B-73DB-4120-984E-931B325D8D97}"/>
    <cellStyle name="Обычный 3 3 3 4 2 4" xfId="2856" xr:uid="{F92C720C-F8CD-43FE-835B-F7755CD990DC}"/>
    <cellStyle name="Обычный 3 3 3 4 3" xfId="710" xr:uid="{3ECB0E20-9657-4F46-BDD7-A8EE2BE31144}"/>
    <cellStyle name="Обычный 3 3 3 4 3 2" xfId="1734" xr:uid="{FEFF2507-64A7-4786-94DE-8410771E45EF}"/>
    <cellStyle name="Обычный 3 3 3 4 3 2 2" xfId="2857" xr:uid="{5E5D1EAB-63A3-4061-BF8D-7A5993F86B8D}"/>
    <cellStyle name="Обычный 3 3 3 4 3 3" xfId="2858" xr:uid="{63F1F090-6961-4382-A078-2EB4D2D1358B}"/>
    <cellStyle name="Обычный 3 3 3 4 4" xfId="1222" xr:uid="{F5A01121-1310-4718-97F7-C98CF1910138}"/>
    <cellStyle name="Обычный 3 3 3 4 4 2" xfId="2859" xr:uid="{F3B32563-B456-4CDF-8E8F-9D06A318125F}"/>
    <cellStyle name="Обычный 3 3 3 4 5" xfId="2860" xr:uid="{C2BA8436-5189-4836-8CA9-41E5DE0B9732}"/>
    <cellStyle name="Обычный 3 3 3 5" xfId="326" xr:uid="{C3D14A0D-B079-48B4-9E00-F392CA7C6807}"/>
    <cellStyle name="Обычный 3 3 3 5 2" xfId="838" xr:uid="{628623C9-2B46-4D21-BC37-D223AD07AA32}"/>
    <cellStyle name="Обычный 3 3 3 5 2 2" xfId="1862" xr:uid="{2E742332-AA8F-45A7-BC17-6FAC1E2BB742}"/>
    <cellStyle name="Обычный 3 3 3 5 2 2 2" xfId="2861" xr:uid="{3DB1208F-2870-4CE1-97AE-FE669E072E80}"/>
    <cellStyle name="Обычный 3 3 3 5 2 3" xfId="2862" xr:uid="{76648F1A-5F1D-44E5-893C-1537595EB338}"/>
    <cellStyle name="Обычный 3 3 3 5 3" xfId="1350" xr:uid="{E3AB7394-5956-42E2-8821-96889288699B}"/>
    <cellStyle name="Обычный 3 3 3 5 3 2" xfId="2863" xr:uid="{97E597CA-4F1D-4EC0-B865-CAFF9030EA5F}"/>
    <cellStyle name="Обычный 3 3 3 5 4" xfId="2864" xr:uid="{0050D81B-BE6E-4D37-A26E-32711C34AC76}"/>
    <cellStyle name="Обычный 3 3 3 6" xfId="582" xr:uid="{EAE49635-412D-4466-AE82-ACC18FDFBD14}"/>
    <cellStyle name="Обычный 3 3 3 6 2" xfId="1606" xr:uid="{E5FBB344-286A-423C-8CE9-1F66B2FA9A23}"/>
    <cellStyle name="Обычный 3 3 3 6 2 2" xfId="2865" xr:uid="{1C2C0DAF-8EC1-4646-BD2A-B9AEA7F3C44D}"/>
    <cellStyle name="Обычный 3 3 3 6 3" xfId="2866" xr:uid="{49A46352-361A-4D86-95A0-9134700B1F30}"/>
    <cellStyle name="Обычный 3 3 3 7" xfId="1094" xr:uid="{AEBA0319-6989-45B4-AC5A-6B3A2FAF6922}"/>
    <cellStyle name="Обычный 3 3 3 7 2" xfId="2867" xr:uid="{E96166F5-1F07-4890-B547-1ADD66F7B720}"/>
    <cellStyle name="Обычный 3 3 3 8" xfId="2868" xr:uid="{3B322716-F96B-48FC-8715-EB1E89E51EB6}"/>
    <cellStyle name="Обычный 3 3 4" xfId="86" xr:uid="{44B126FD-40BE-435D-B0EF-C6BC1926D2D8}"/>
    <cellStyle name="Обычный 3 3 4 2" xfId="150" xr:uid="{A21E7028-8852-4C0A-B6DC-89CFFE5A88E7}"/>
    <cellStyle name="Обычный 3 3 4 2 2" xfId="278" xr:uid="{8B473B45-762E-48B0-A671-F41101CBA585}"/>
    <cellStyle name="Обычный 3 3 4 2 2 2" xfId="534" xr:uid="{931C1270-F994-4A64-BD5D-4B53AE7D95AB}"/>
    <cellStyle name="Обычный 3 3 4 2 2 2 2" xfId="1046" xr:uid="{0FDE35B5-39A1-48CE-9D18-E60107551DCB}"/>
    <cellStyle name="Обычный 3 3 4 2 2 2 2 2" xfId="2070" xr:uid="{6307894E-74C6-4E5C-8321-37742A69A289}"/>
    <cellStyle name="Обычный 3 3 4 2 2 2 2 2 2" xfId="2869" xr:uid="{55A2DBBD-B4F2-4D9B-958A-33E4BD5B43E0}"/>
    <cellStyle name="Обычный 3 3 4 2 2 2 2 3" xfId="2870" xr:uid="{D4DE93B5-1BA1-409F-B73E-620441723249}"/>
    <cellStyle name="Обычный 3 3 4 2 2 2 3" xfId="1558" xr:uid="{FC153DD4-09E1-458B-B81C-DD8E221961E8}"/>
    <cellStyle name="Обычный 3 3 4 2 2 2 3 2" xfId="2871" xr:uid="{CC49A7B2-0C7A-4AAB-B2B8-55E02D4A1799}"/>
    <cellStyle name="Обычный 3 3 4 2 2 2 4" xfId="2872" xr:uid="{016DA58D-D8FA-4130-BA77-02643A1BF07B}"/>
    <cellStyle name="Обычный 3 3 4 2 2 3" xfId="790" xr:uid="{C195E465-48E1-446E-9DA7-E6F2591A9896}"/>
    <cellStyle name="Обычный 3 3 4 2 2 3 2" xfId="1814" xr:uid="{45740A8E-8682-47A8-B083-8D97C258162A}"/>
    <cellStyle name="Обычный 3 3 4 2 2 3 2 2" xfId="2873" xr:uid="{8BB2C8A8-803F-4139-B822-BEA1E8ECC152}"/>
    <cellStyle name="Обычный 3 3 4 2 2 3 3" xfId="2874" xr:uid="{A58E00CC-3FC6-4B43-97E8-1034E6263016}"/>
    <cellStyle name="Обычный 3 3 4 2 2 4" xfId="1302" xr:uid="{1973522E-A4EC-40F5-941B-5AEBE8E2E9D2}"/>
    <cellStyle name="Обычный 3 3 4 2 2 4 2" xfId="2875" xr:uid="{207F8DFA-6D1B-429E-BD9A-A8A9E7AE42B8}"/>
    <cellStyle name="Обычный 3 3 4 2 2 5" xfId="2876" xr:uid="{373F0A88-74FC-41F1-9E06-29CB6B1A7ACE}"/>
    <cellStyle name="Обычный 3 3 4 2 3" xfId="406" xr:uid="{00F765A5-6C7C-4A8F-A87A-DF933CD7DA80}"/>
    <cellStyle name="Обычный 3 3 4 2 3 2" xfId="918" xr:uid="{E8B04809-2490-41B0-83F3-68042078B7F5}"/>
    <cellStyle name="Обычный 3 3 4 2 3 2 2" xfId="1942" xr:uid="{A532BC98-0E0A-49EC-910C-46636599030E}"/>
    <cellStyle name="Обычный 3 3 4 2 3 2 2 2" xfId="2877" xr:uid="{D6A5B067-6571-4ABE-9AD0-EDB661861097}"/>
    <cellStyle name="Обычный 3 3 4 2 3 2 3" xfId="2878" xr:uid="{1A3C7531-DA3C-4DE0-AE61-5D01823F8EE2}"/>
    <cellStyle name="Обычный 3 3 4 2 3 3" xfId="1430" xr:uid="{251FBEBD-CC2A-4EF9-AA63-81E95E4B2C1C}"/>
    <cellStyle name="Обычный 3 3 4 2 3 3 2" xfId="2879" xr:uid="{2D410B6B-B583-4C28-8AA9-B160EF2256D1}"/>
    <cellStyle name="Обычный 3 3 4 2 3 4" xfId="2880" xr:uid="{E49E25B9-6BE4-47AD-9EEA-E8E858A5F49A}"/>
    <cellStyle name="Обычный 3 3 4 2 4" xfId="662" xr:uid="{FB6CF5E1-16AD-403B-84FF-40F9703290B8}"/>
    <cellStyle name="Обычный 3 3 4 2 4 2" xfId="1686" xr:uid="{1059AB3F-B52F-42F8-8F33-C15D5305746E}"/>
    <cellStyle name="Обычный 3 3 4 2 4 2 2" xfId="2881" xr:uid="{21E52E56-FD1B-43F9-8BFA-26A1B2F4BAB9}"/>
    <cellStyle name="Обычный 3 3 4 2 4 3" xfId="2882" xr:uid="{DC196E65-B44F-4A0F-AA03-0D9AD474D178}"/>
    <cellStyle name="Обычный 3 3 4 2 5" xfId="1174" xr:uid="{69A7E681-B933-49D4-873C-F742FF2E8359}"/>
    <cellStyle name="Обычный 3 3 4 2 5 2" xfId="2883" xr:uid="{034BBA3D-62AF-42A5-BA5F-7EF14E0658DF}"/>
    <cellStyle name="Обычный 3 3 4 2 6" xfId="2884" xr:uid="{A7E2D613-9618-4F49-86A6-2350C6ECB595}"/>
    <cellStyle name="Обычный 3 3 4 3" xfId="214" xr:uid="{113ADC1A-5A6B-4F19-B401-B52465159090}"/>
    <cellStyle name="Обычный 3 3 4 3 2" xfId="470" xr:uid="{AE8D312C-E2E7-40B5-92FC-449561B01592}"/>
    <cellStyle name="Обычный 3 3 4 3 2 2" xfId="982" xr:uid="{19F413D8-5525-4B17-B3F5-2E008B40B4E2}"/>
    <cellStyle name="Обычный 3 3 4 3 2 2 2" xfId="2006" xr:uid="{BF92C8DB-885C-4C62-A1BB-8219601F1741}"/>
    <cellStyle name="Обычный 3 3 4 3 2 2 2 2" xfId="2885" xr:uid="{36963FDB-10E5-494E-8D43-B1EF53C35CC3}"/>
    <cellStyle name="Обычный 3 3 4 3 2 2 3" xfId="2886" xr:uid="{F8AD62E5-A0C7-4E7B-9D6D-F00C788B5149}"/>
    <cellStyle name="Обычный 3 3 4 3 2 3" xfId="1494" xr:uid="{89C981CC-DE79-413F-9F58-6A1D7D646C4C}"/>
    <cellStyle name="Обычный 3 3 4 3 2 3 2" xfId="2887" xr:uid="{0FE7FACF-1945-4DCE-844B-8FDAF9729783}"/>
    <cellStyle name="Обычный 3 3 4 3 2 4" xfId="2888" xr:uid="{764D4743-F34A-4239-80FF-BA9D176AB7E6}"/>
    <cellStyle name="Обычный 3 3 4 3 3" xfId="726" xr:uid="{1D9DF062-A649-40B3-94C8-3E87A151D5C6}"/>
    <cellStyle name="Обычный 3 3 4 3 3 2" xfId="1750" xr:uid="{88CC609C-FCDA-450E-8E4E-5595DF28B797}"/>
    <cellStyle name="Обычный 3 3 4 3 3 2 2" xfId="2889" xr:uid="{D086057C-6482-4F07-B9C3-73A3D01B15BD}"/>
    <cellStyle name="Обычный 3 3 4 3 3 3" xfId="2890" xr:uid="{FB4A48FC-3B88-4B4C-BE01-82A4CB822417}"/>
    <cellStyle name="Обычный 3 3 4 3 4" xfId="1238" xr:uid="{E61FA985-20FE-4AD1-9E9E-E3319EE9A636}"/>
    <cellStyle name="Обычный 3 3 4 3 4 2" xfId="2891" xr:uid="{01309D36-D12F-4FC0-B660-50F6BF61F688}"/>
    <cellStyle name="Обычный 3 3 4 3 5" xfId="2892" xr:uid="{8407B5A6-E692-48EB-97CF-08CFC824778F}"/>
    <cellStyle name="Обычный 3 3 4 4" xfId="342" xr:uid="{8EDA2635-932C-440C-9541-51FADBD1E307}"/>
    <cellStyle name="Обычный 3 3 4 4 2" xfId="854" xr:uid="{00D5025E-1B9F-49F5-B0D6-34F113D934A3}"/>
    <cellStyle name="Обычный 3 3 4 4 2 2" xfId="1878" xr:uid="{193074B7-B794-4332-A65D-56D1F352AF55}"/>
    <cellStyle name="Обычный 3 3 4 4 2 2 2" xfId="2893" xr:uid="{A7121D1F-3123-4442-BB6E-A82CF0FB1839}"/>
    <cellStyle name="Обычный 3 3 4 4 2 3" xfId="2894" xr:uid="{D39D35D4-4999-496B-8CC4-8E44D007E6EE}"/>
    <cellStyle name="Обычный 3 3 4 4 3" xfId="1366" xr:uid="{B261FFE6-7649-458D-8CDD-6A05F2039111}"/>
    <cellStyle name="Обычный 3 3 4 4 3 2" xfId="2895" xr:uid="{85BBD125-7574-4CA8-BF96-BC2DFD1733F1}"/>
    <cellStyle name="Обычный 3 3 4 4 4" xfId="2896" xr:uid="{66971EA6-D33F-4AB9-AF7E-20FE1C59CA2D}"/>
    <cellStyle name="Обычный 3 3 4 5" xfId="598" xr:uid="{FCDE0F74-D5EA-4D87-AFF5-7B935EA4610C}"/>
    <cellStyle name="Обычный 3 3 4 5 2" xfId="1622" xr:uid="{DAFF3836-7DB7-4165-A41F-360EC275B986}"/>
    <cellStyle name="Обычный 3 3 4 5 2 2" xfId="2897" xr:uid="{96FB674D-EB1E-4CB5-A329-2C3EB3A11358}"/>
    <cellStyle name="Обычный 3 3 4 5 3" xfId="2898" xr:uid="{8C1FC8B2-7500-436F-A1F8-5E80D765F7DF}"/>
    <cellStyle name="Обычный 3 3 4 6" xfId="1110" xr:uid="{7D300A39-6BC3-40E0-928C-44A73112B82A}"/>
    <cellStyle name="Обычный 3 3 4 6 2" xfId="2899" xr:uid="{BA98EA09-7B28-437B-A7D1-2604D617A2C8}"/>
    <cellStyle name="Обычный 3 3 4 7" xfId="2900" xr:uid="{0E66D8EA-E899-4F77-920D-30C576DB33C2}"/>
    <cellStyle name="Обычный 3 3 5" xfId="118" xr:uid="{E33AA405-7F4F-44BC-B6BC-087BBD0474D4}"/>
    <cellStyle name="Обычный 3 3 5 2" xfId="246" xr:uid="{316E83BB-BDA5-4F68-AA95-336C55B8DEC8}"/>
    <cellStyle name="Обычный 3 3 5 2 2" xfId="502" xr:uid="{4480A633-D299-4EF3-8591-54FBCA4C8DD8}"/>
    <cellStyle name="Обычный 3 3 5 2 2 2" xfId="1014" xr:uid="{A60084E0-34F8-4216-A50B-D49172914A1F}"/>
    <cellStyle name="Обычный 3 3 5 2 2 2 2" xfId="2038" xr:uid="{4FA27175-43EB-474A-A26D-031A4CF6844C}"/>
    <cellStyle name="Обычный 3 3 5 2 2 2 2 2" xfId="2901" xr:uid="{636F5A74-D61E-4C2A-BA3F-262A2245B017}"/>
    <cellStyle name="Обычный 3 3 5 2 2 2 3" xfId="2902" xr:uid="{61F21573-B788-4BEB-B93F-28CFCC3526AE}"/>
    <cellStyle name="Обычный 3 3 5 2 2 3" xfId="1526" xr:uid="{697913FC-3E60-48E8-8653-2D5B0CA98AA0}"/>
    <cellStyle name="Обычный 3 3 5 2 2 3 2" xfId="2903" xr:uid="{F57BA56C-7A6F-4F53-8A59-69E5EA3E1E4B}"/>
    <cellStyle name="Обычный 3 3 5 2 2 4" xfId="2904" xr:uid="{F3B87CB0-F2FD-4974-9FE7-2295B656BCAC}"/>
    <cellStyle name="Обычный 3 3 5 2 3" xfId="758" xr:uid="{C94B7E18-B397-4A54-8F0A-C20498153792}"/>
    <cellStyle name="Обычный 3 3 5 2 3 2" xfId="1782" xr:uid="{50088BA9-3CB8-4F46-97C8-50C31D012A0A}"/>
    <cellStyle name="Обычный 3 3 5 2 3 2 2" xfId="2905" xr:uid="{48F97A3C-84CA-4C87-A847-A20F6674889C}"/>
    <cellStyle name="Обычный 3 3 5 2 3 3" xfId="2906" xr:uid="{FFA9B1AD-BE38-45A8-A130-8C1BC5B513B9}"/>
    <cellStyle name="Обычный 3 3 5 2 4" xfId="1270" xr:uid="{FC698DCD-C3CC-42BA-82E6-10DD880CBCDD}"/>
    <cellStyle name="Обычный 3 3 5 2 4 2" xfId="2907" xr:uid="{FE1ADF0E-D70E-4BC2-AA86-1BBDFA6F74B3}"/>
    <cellStyle name="Обычный 3 3 5 2 5" xfId="2908" xr:uid="{3E2CD7E0-2980-4A20-A107-A71A8B52D44A}"/>
    <cellStyle name="Обычный 3 3 5 3" xfId="374" xr:uid="{F6D8C940-CF47-40FC-A080-6A81B8B246A8}"/>
    <cellStyle name="Обычный 3 3 5 3 2" xfId="886" xr:uid="{75211D06-955B-4DDD-8DF5-5FD69CB34AE8}"/>
    <cellStyle name="Обычный 3 3 5 3 2 2" xfId="1910" xr:uid="{095AAAFC-1D08-450B-8C0E-C4C2A8AFEFD8}"/>
    <cellStyle name="Обычный 3 3 5 3 2 2 2" xfId="2909" xr:uid="{847CF24A-5CCA-4E2D-A083-C0C644B5E840}"/>
    <cellStyle name="Обычный 3 3 5 3 2 3" xfId="2910" xr:uid="{50D78FA0-F7A2-4014-8601-48CD774CAD86}"/>
    <cellStyle name="Обычный 3 3 5 3 3" xfId="1398" xr:uid="{AB3CDCAE-49E4-4A30-A0CF-7E77916241CC}"/>
    <cellStyle name="Обычный 3 3 5 3 3 2" xfId="2911" xr:uid="{F53595B2-E62C-4BF3-B4D5-5FC36E9B0A90}"/>
    <cellStyle name="Обычный 3 3 5 3 4" xfId="2912" xr:uid="{233CF8AE-9679-490E-823D-83B9927B0E7D}"/>
    <cellStyle name="Обычный 3 3 5 4" xfId="630" xr:uid="{F5EA11C6-CFA8-4657-8A55-8EDEC207D3F9}"/>
    <cellStyle name="Обычный 3 3 5 4 2" xfId="1654" xr:uid="{37AE043A-1A83-4215-AEA0-332EDE393AA1}"/>
    <cellStyle name="Обычный 3 3 5 4 2 2" xfId="2913" xr:uid="{EB9FB217-B635-43C8-ADF1-69A1C11F789A}"/>
    <cellStyle name="Обычный 3 3 5 4 3" xfId="2914" xr:uid="{A21E9AEB-0486-49ED-8311-69F329ED245A}"/>
    <cellStyle name="Обычный 3 3 5 5" xfId="1142" xr:uid="{F58B1B28-5135-4BA5-ABD8-064929A3D1EA}"/>
    <cellStyle name="Обычный 3 3 5 5 2" xfId="2915" xr:uid="{D16A1629-0E42-40C6-85B0-2CA318C5A3DF}"/>
    <cellStyle name="Обычный 3 3 5 6" xfId="2916" xr:uid="{6DC6151B-1DB1-42F8-A7CF-92875CD0E562}"/>
    <cellStyle name="Обычный 3 3 6" xfId="182" xr:uid="{956F8261-519C-48B8-B10C-B8C873D34177}"/>
    <cellStyle name="Обычный 3 3 6 2" xfId="438" xr:uid="{B6B88F4E-D1B0-4155-A369-EA73A580FD10}"/>
    <cellStyle name="Обычный 3 3 6 2 2" xfId="950" xr:uid="{5A7BD0B2-32DE-43B8-AFCA-BABAE140579F}"/>
    <cellStyle name="Обычный 3 3 6 2 2 2" xfId="1974" xr:uid="{375E3DEF-897F-4F5C-8F78-0E8908B9913E}"/>
    <cellStyle name="Обычный 3 3 6 2 2 2 2" xfId="2917" xr:uid="{C5783E71-8FFD-4651-83BA-05C2473E3DCB}"/>
    <cellStyle name="Обычный 3 3 6 2 2 3" xfId="2918" xr:uid="{CFDE7F4A-A83C-40B9-98E3-3AA582425239}"/>
    <cellStyle name="Обычный 3 3 6 2 3" xfId="1462" xr:uid="{74AC6694-2A58-408C-A6C7-9FC3F1C74693}"/>
    <cellStyle name="Обычный 3 3 6 2 3 2" xfId="2919" xr:uid="{F9A495A6-0540-4179-9F2B-5CD7BF92D3CC}"/>
    <cellStyle name="Обычный 3 3 6 2 4" xfId="2920" xr:uid="{91C28B77-D978-4DDF-94D5-C475539F9726}"/>
    <cellStyle name="Обычный 3 3 6 3" xfId="694" xr:uid="{4B42035E-F9D7-44F5-9D78-F2F046EFEE39}"/>
    <cellStyle name="Обычный 3 3 6 3 2" xfId="1718" xr:uid="{3D0989B6-BF04-4BBF-B964-2EE449D49BC8}"/>
    <cellStyle name="Обычный 3 3 6 3 2 2" xfId="2921" xr:uid="{6BEFF70F-7B45-44D8-8D19-6C0611E7BACB}"/>
    <cellStyle name="Обычный 3 3 6 3 3" xfId="2922" xr:uid="{98E36E56-EA8A-47AE-A8B9-E3BA50C4EB5D}"/>
    <cellStyle name="Обычный 3 3 6 4" xfId="1206" xr:uid="{6FCA9950-8C8F-44FF-8556-CBF658F02FEF}"/>
    <cellStyle name="Обычный 3 3 6 4 2" xfId="2923" xr:uid="{9CE57E95-DD4A-45B1-B312-53F227405EEB}"/>
    <cellStyle name="Обычный 3 3 6 5" xfId="2924" xr:uid="{18A3BA31-5C76-416B-B514-C0B00873F5B9}"/>
    <cellStyle name="Обычный 3 3 7" xfId="310" xr:uid="{08407170-1204-4778-9568-F39032211C78}"/>
    <cellStyle name="Обычный 3 3 7 2" xfId="822" xr:uid="{366EF69B-63FB-432A-B147-1CA1354EB8F9}"/>
    <cellStyle name="Обычный 3 3 7 2 2" xfId="1846" xr:uid="{6926F06B-259C-4DBD-9E85-5DB3EAEF8D68}"/>
    <cellStyle name="Обычный 3 3 7 2 2 2" xfId="2925" xr:uid="{1DF2B17D-B0BF-449C-9CC5-4660F9BC2FA5}"/>
    <cellStyle name="Обычный 3 3 7 2 3" xfId="2926" xr:uid="{8AB75BD4-A68C-4E58-8D21-587031C7C7CC}"/>
    <cellStyle name="Обычный 3 3 7 3" xfId="1334" xr:uid="{3853CDBE-1DFA-42C4-AEED-751A29505973}"/>
    <cellStyle name="Обычный 3 3 7 3 2" xfId="2927" xr:uid="{7D6EF5B6-809D-4588-88E0-A71EA05C3506}"/>
    <cellStyle name="Обычный 3 3 7 4" xfId="2928" xr:uid="{F7011BE6-64B5-46D8-9076-2F694801A3D8}"/>
    <cellStyle name="Обычный 3 3 8" xfId="566" xr:uid="{7CB2647A-7C0B-4C6F-9033-906654D0E68E}"/>
    <cellStyle name="Обычный 3 3 8 2" xfId="1590" xr:uid="{93EBD8E6-5733-46EA-BA55-8BF3BC2A6C96}"/>
    <cellStyle name="Обычный 3 3 8 2 2" xfId="2929" xr:uid="{E63907A6-7F7E-42EA-94D5-5BF25BBE70FE}"/>
    <cellStyle name="Обычный 3 3 8 3" xfId="2930" xr:uid="{65C7BBF3-85F6-4F6A-A08A-F7C7E0F91E8C}"/>
    <cellStyle name="Обычный 3 3 9" xfId="1078" xr:uid="{DB2821BC-7AF9-4F43-921E-9B24ABF1F0DA}"/>
    <cellStyle name="Обычный 3 3 9 2" xfId="2931" xr:uid="{9AD58C79-B82E-44C8-BDFE-EDB031DC9756}"/>
    <cellStyle name="Обычный 3 4" xfId="57" xr:uid="{E30023EE-8457-4A84-B768-F9FFF08141C9}"/>
    <cellStyle name="Обычный 3 4 2" xfId="73" xr:uid="{9A5D04BC-7C3E-4012-915B-DCD805A418C3}"/>
    <cellStyle name="Обычный 3 4 2 2" xfId="106" xr:uid="{5221B20D-234A-4CD3-B5F8-56D97D7CFF62}"/>
    <cellStyle name="Обычный 3 4 2 2 2" xfId="170" xr:uid="{89EE897B-B728-4350-8D3F-C1D43F6C3DC0}"/>
    <cellStyle name="Обычный 3 4 2 2 2 2" xfId="298" xr:uid="{CDAAEBBE-5276-4377-B263-D59BE6556151}"/>
    <cellStyle name="Обычный 3 4 2 2 2 2 2" xfId="554" xr:uid="{81B250D8-A917-4A58-A614-1CC7A37949B9}"/>
    <cellStyle name="Обычный 3 4 2 2 2 2 2 2" xfId="1066" xr:uid="{F5385891-03D0-4130-A973-975A416F9916}"/>
    <cellStyle name="Обычный 3 4 2 2 2 2 2 2 2" xfId="2090" xr:uid="{18016F70-176F-4DD9-A16E-9EA9DFB69156}"/>
    <cellStyle name="Обычный 3 4 2 2 2 2 2 2 2 2" xfId="2932" xr:uid="{5AB6933C-D99C-4A72-B52C-455E77CB620D}"/>
    <cellStyle name="Обычный 3 4 2 2 2 2 2 2 3" xfId="2933" xr:uid="{01D1E8DF-F76B-4376-887C-DF325BF40D4C}"/>
    <cellStyle name="Обычный 3 4 2 2 2 2 2 3" xfId="1578" xr:uid="{10ECEE68-EBEF-4BFC-8CAC-B257ABEA49DD}"/>
    <cellStyle name="Обычный 3 4 2 2 2 2 2 3 2" xfId="2934" xr:uid="{A46F1E69-0F49-4ECD-988B-0219F22C3A4D}"/>
    <cellStyle name="Обычный 3 4 2 2 2 2 2 4" xfId="2935" xr:uid="{E12C5E9B-15A8-48AD-AE70-06C8FED96B97}"/>
    <cellStyle name="Обычный 3 4 2 2 2 2 3" xfId="810" xr:uid="{347A4D0B-62CB-408E-AF02-8BECA59D592A}"/>
    <cellStyle name="Обычный 3 4 2 2 2 2 3 2" xfId="1834" xr:uid="{5C8A30EB-36EC-4259-9899-A3B34BABA40B}"/>
    <cellStyle name="Обычный 3 4 2 2 2 2 3 2 2" xfId="2936" xr:uid="{321C78B3-9B93-43AA-8B77-AFEAB674F9D3}"/>
    <cellStyle name="Обычный 3 4 2 2 2 2 3 3" xfId="2937" xr:uid="{9C5C692C-5FD7-4870-B29B-CB152919A356}"/>
    <cellStyle name="Обычный 3 4 2 2 2 2 4" xfId="1322" xr:uid="{94DAADB0-098A-4421-8B9A-BEAB68EC83F2}"/>
    <cellStyle name="Обычный 3 4 2 2 2 2 4 2" xfId="2938" xr:uid="{5973B2DC-56DE-4723-B09A-2E32D31528AA}"/>
    <cellStyle name="Обычный 3 4 2 2 2 2 5" xfId="2939" xr:uid="{EE5CE2A8-7A83-4743-ADB4-32061BEA15CF}"/>
    <cellStyle name="Обычный 3 4 2 2 2 3" xfId="426" xr:uid="{79F84F61-B4CB-4313-8F1F-CDBB29D4F40E}"/>
    <cellStyle name="Обычный 3 4 2 2 2 3 2" xfId="938" xr:uid="{265D9A24-16F3-4F48-922F-312ACA584D68}"/>
    <cellStyle name="Обычный 3 4 2 2 2 3 2 2" xfId="1962" xr:uid="{46847858-8F38-4E18-821D-C892577F7512}"/>
    <cellStyle name="Обычный 3 4 2 2 2 3 2 2 2" xfId="2940" xr:uid="{0AD1322B-A9ED-4361-8FA7-C58DADB20140}"/>
    <cellStyle name="Обычный 3 4 2 2 2 3 2 3" xfId="2941" xr:uid="{1370A1E0-FC0B-4911-8679-14E1F4ADC0CC}"/>
    <cellStyle name="Обычный 3 4 2 2 2 3 3" xfId="1450" xr:uid="{1F3D5842-5C4B-44D4-A2AD-E67D608AB031}"/>
    <cellStyle name="Обычный 3 4 2 2 2 3 3 2" xfId="2942" xr:uid="{9FF76CC6-2535-4822-81DE-62CBD1FA43A5}"/>
    <cellStyle name="Обычный 3 4 2 2 2 3 4" xfId="2943" xr:uid="{95E05E89-1DF1-49FE-A3C1-C798E9AD5199}"/>
    <cellStyle name="Обычный 3 4 2 2 2 4" xfId="682" xr:uid="{582D67A3-5755-4202-9AA7-AB7DCE92BCA6}"/>
    <cellStyle name="Обычный 3 4 2 2 2 4 2" xfId="1706" xr:uid="{E2AA6633-BEEA-4E57-863A-1DA7A9A9D2A2}"/>
    <cellStyle name="Обычный 3 4 2 2 2 4 2 2" xfId="2944" xr:uid="{2887248E-E3BA-4CF7-9402-D385176DC277}"/>
    <cellStyle name="Обычный 3 4 2 2 2 4 3" xfId="2945" xr:uid="{A77632F9-C4DB-443A-B9D2-CA7F052599EA}"/>
    <cellStyle name="Обычный 3 4 2 2 2 5" xfId="1194" xr:uid="{BF7EBAF8-9320-48D5-A4C3-F769F997100A}"/>
    <cellStyle name="Обычный 3 4 2 2 2 5 2" xfId="2946" xr:uid="{3E912089-92F5-4E0B-A09C-ECEB65D5AF70}"/>
    <cellStyle name="Обычный 3 4 2 2 2 6" xfId="2947" xr:uid="{7ABF5A18-B772-4F50-B175-7C69EA195675}"/>
    <cellStyle name="Обычный 3 4 2 2 3" xfId="234" xr:uid="{34F470C0-1195-4A58-8D9B-D1C73106CBD0}"/>
    <cellStyle name="Обычный 3 4 2 2 3 2" xfId="490" xr:uid="{EFA89703-9302-4D1E-85AB-52457DD9576C}"/>
    <cellStyle name="Обычный 3 4 2 2 3 2 2" xfId="1002" xr:uid="{D37BBC82-902A-43C7-9CC8-2F811CA9C570}"/>
    <cellStyle name="Обычный 3 4 2 2 3 2 2 2" xfId="2026" xr:uid="{D36D50E5-DAB3-40DC-8B18-F3DE72187A6A}"/>
    <cellStyle name="Обычный 3 4 2 2 3 2 2 2 2" xfId="2948" xr:uid="{550C1D9A-072F-45B6-8C73-BBB73BA9C4D3}"/>
    <cellStyle name="Обычный 3 4 2 2 3 2 2 3" xfId="2949" xr:uid="{18513387-9486-46CD-B8CC-BD876850B7C6}"/>
    <cellStyle name="Обычный 3 4 2 2 3 2 3" xfId="1514" xr:uid="{07421F1C-367B-48F9-B73E-DA846749B3E7}"/>
    <cellStyle name="Обычный 3 4 2 2 3 2 3 2" xfId="2950" xr:uid="{C7AC69B8-CE66-4765-BB95-DA7506052B6E}"/>
    <cellStyle name="Обычный 3 4 2 2 3 2 4" xfId="2951" xr:uid="{DDFE6B21-AF3A-4447-BE5D-22C3766F49C2}"/>
    <cellStyle name="Обычный 3 4 2 2 3 3" xfId="746" xr:uid="{E85D3BAD-7D13-4097-88DE-DCFF48F3EF7A}"/>
    <cellStyle name="Обычный 3 4 2 2 3 3 2" xfId="1770" xr:uid="{E6544D90-D38C-4F26-8D99-58A2B217C0DC}"/>
    <cellStyle name="Обычный 3 4 2 2 3 3 2 2" xfId="2952" xr:uid="{3B69B406-4FFB-47E1-8AEC-50BF933EDDD3}"/>
    <cellStyle name="Обычный 3 4 2 2 3 3 3" xfId="2953" xr:uid="{3753973D-D8EC-4F2F-A760-47663D1B5354}"/>
    <cellStyle name="Обычный 3 4 2 2 3 4" xfId="1258" xr:uid="{6491F1E9-307D-4662-A354-005533CC41BB}"/>
    <cellStyle name="Обычный 3 4 2 2 3 4 2" xfId="2954" xr:uid="{F37C0A5D-2552-41F0-9304-35E1A442109F}"/>
    <cellStyle name="Обычный 3 4 2 2 3 5" xfId="2955" xr:uid="{1DA12064-3D42-4992-8DEE-A189D336ED42}"/>
    <cellStyle name="Обычный 3 4 2 2 4" xfId="362" xr:uid="{75A6FD36-0F0A-4EDA-AA69-665F953DD2B9}"/>
    <cellStyle name="Обычный 3 4 2 2 4 2" xfId="874" xr:uid="{0AEC666B-7AF4-4710-ACCA-B5168EE1D4A5}"/>
    <cellStyle name="Обычный 3 4 2 2 4 2 2" xfId="1898" xr:uid="{B8617118-1724-441D-B65A-59D3A5FC96FB}"/>
    <cellStyle name="Обычный 3 4 2 2 4 2 2 2" xfId="2956" xr:uid="{ADFAA4F7-748B-4A64-866C-871366AEFF2D}"/>
    <cellStyle name="Обычный 3 4 2 2 4 2 3" xfId="2957" xr:uid="{D8A14A7A-8932-4661-9909-C6EA7DA461A8}"/>
    <cellStyle name="Обычный 3 4 2 2 4 3" xfId="1386" xr:uid="{E99E08CC-0245-4735-A488-CC8849D89462}"/>
    <cellStyle name="Обычный 3 4 2 2 4 3 2" xfId="2958" xr:uid="{5F734F62-C404-48D4-B38A-D127CC607167}"/>
    <cellStyle name="Обычный 3 4 2 2 4 4" xfId="2959" xr:uid="{82C29E03-2EF7-47E9-8D7F-10BBF07AADFC}"/>
    <cellStyle name="Обычный 3 4 2 2 5" xfId="618" xr:uid="{25835A36-13E1-4140-921A-01C0DCCB2F8C}"/>
    <cellStyle name="Обычный 3 4 2 2 5 2" xfId="1642" xr:uid="{AC7A6A6C-D4BB-45AE-A7DB-38AE8B5FDE38}"/>
    <cellStyle name="Обычный 3 4 2 2 5 2 2" xfId="2960" xr:uid="{642D9F38-EA12-4C5E-B23F-51F8DC1A7D78}"/>
    <cellStyle name="Обычный 3 4 2 2 5 3" xfId="2961" xr:uid="{2A8519F9-EA4C-4311-A538-583A7BF0FA13}"/>
    <cellStyle name="Обычный 3 4 2 2 6" xfId="1130" xr:uid="{16CDD2E8-A26A-4E9E-89F4-2D1F60032930}"/>
    <cellStyle name="Обычный 3 4 2 2 6 2" xfId="2962" xr:uid="{AFF050E5-9477-4164-B480-F1010C2EEDEC}"/>
    <cellStyle name="Обычный 3 4 2 2 7" xfId="2963" xr:uid="{63F6F10B-FE2E-4BFD-97A8-ABB387D0880E}"/>
    <cellStyle name="Обычный 3 4 2 3" xfId="138" xr:uid="{E4BF4379-C347-4178-85F2-9E61F760BBF4}"/>
    <cellStyle name="Обычный 3 4 2 3 2" xfId="266" xr:uid="{5DCC9A60-32F4-4749-B80B-454351E4F546}"/>
    <cellStyle name="Обычный 3 4 2 3 2 2" xfId="522" xr:uid="{CA77A8DD-5B4C-4217-B606-44E7447242E2}"/>
    <cellStyle name="Обычный 3 4 2 3 2 2 2" xfId="1034" xr:uid="{78E01455-A5A8-437D-B66F-23C83871AAC6}"/>
    <cellStyle name="Обычный 3 4 2 3 2 2 2 2" xfId="2058" xr:uid="{A4E97062-77C0-4A3A-B689-77D6086ECBD8}"/>
    <cellStyle name="Обычный 3 4 2 3 2 2 2 2 2" xfId="2964" xr:uid="{2EA9B8D7-6F66-49FE-B065-B083ED5CF878}"/>
    <cellStyle name="Обычный 3 4 2 3 2 2 2 3" xfId="2965" xr:uid="{593B2BAA-C687-46A7-A54C-217FFC70A47D}"/>
    <cellStyle name="Обычный 3 4 2 3 2 2 3" xfId="1546" xr:uid="{2A48A01C-70AD-40AF-8782-652CCE5650CD}"/>
    <cellStyle name="Обычный 3 4 2 3 2 2 3 2" xfId="2966" xr:uid="{7D389A38-D56D-462A-84E2-31390EC7CABB}"/>
    <cellStyle name="Обычный 3 4 2 3 2 2 4" xfId="2967" xr:uid="{68FA0EC4-23ED-4B72-993D-6BFF88C66C29}"/>
    <cellStyle name="Обычный 3 4 2 3 2 3" xfId="778" xr:uid="{CB1BF624-BC47-49BA-AE78-177A46E95A7A}"/>
    <cellStyle name="Обычный 3 4 2 3 2 3 2" xfId="1802" xr:uid="{525A91D2-5420-4CB6-997C-9826D244BD52}"/>
    <cellStyle name="Обычный 3 4 2 3 2 3 2 2" xfId="2968" xr:uid="{D351CCC2-2CCE-4A8F-AF48-8F97A7405AED}"/>
    <cellStyle name="Обычный 3 4 2 3 2 3 3" xfId="2969" xr:uid="{A4750390-874C-4BCB-82E6-B4E2D2BC667E}"/>
    <cellStyle name="Обычный 3 4 2 3 2 4" xfId="1290" xr:uid="{3EFCA901-C114-4EE7-A8A0-53DD9B56444D}"/>
    <cellStyle name="Обычный 3 4 2 3 2 4 2" xfId="2970" xr:uid="{A951DE45-FD4F-470E-A2FA-FB9ADB51251F}"/>
    <cellStyle name="Обычный 3 4 2 3 2 5" xfId="2971" xr:uid="{DFE7E8E3-D86B-4E80-8683-7DE1D2E90021}"/>
    <cellStyle name="Обычный 3 4 2 3 3" xfId="394" xr:uid="{F15FC7FA-F827-4BFB-BAC7-74D66CAD4A35}"/>
    <cellStyle name="Обычный 3 4 2 3 3 2" xfId="906" xr:uid="{AA753AF7-1D52-4FED-ADCC-D05BCAB67EE5}"/>
    <cellStyle name="Обычный 3 4 2 3 3 2 2" xfId="1930" xr:uid="{DE0D20CA-5254-4E51-9147-5ECE20D6CDDD}"/>
    <cellStyle name="Обычный 3 4 2 3 3 2 2 2" xfId="2972" xr:uid="{4A86BC5C-C379-4FA5-ADC3-CEC4E1B8336E}"/>
    <cellStyle name="Обычный 3 4 2 3 3 2 3" xfId="2973" xr:uid="{D9B60445-DDF0-43D3-A1BD-CEF7E422D318}"/>
    <cellStyle name="Обычный 3 4 2 3 3 3" xfId="1418" xr:uid="{EBF9C7FF-B60A-4838-84BD-6F0B30D08731}"/>
    <cellStyle name="Обычный 3 4 2 3 3 3 2" xfId="2974" xr:uid="{35CE623A-BB44-447D-982A-97BFFDDC5CA7}"/>
    <cellStyle name="Обычный 3 4 2 3 3 4" xfId="2975" xr:uid="{586748BE-2188-4382-A1B6-FE5E20D3F998}"/>
    <cellStyle name="Обычный 3 4 2 3 4" xfId="650" xr:uid="{D7083C84-2E6F-46D5-A80C-305FAF458046}"/>
    <cellStyle name="Обычный 3 4 2 3 4 2" xfId="1674" xr:uid="{82690527-D924-4087-BE9B-A5D89B7542E2}"/>
    <cellStyle name="Обычный 3 4 2 3 4 2 2" xfId="2976" xr:uid="{97E04643-009D-4C80-B873-CA6A55CEBDE0}"/>
    <cellStyle name="Обычный 3 4 2 3 4 3" xfId="2977" xr:uid="{DDCC2267-CA26-4493-89A5-96CAEAD8AC98}"/>
    <cellStyle name="Обычный 3 4 2 3 5" xfId="1162" xr:uid="{901AC88E-9BDA-4843-AF0F-456705B37EB3}"/>
    <cellStyle name="Обычный 3 4 2 3 5 2" xfId="2978" xr:uid="{24C23B7B-DD10-45A7-B5EA-C9F21A9ED4B1}"/>
    <cellStyle name="Обычный 3 4 2 3 6" xfId="2979" xr:uid="{48C779E0-E1C0-4781-B689-A76FC12B8727}"/>
    <cellStyle name="Обычный 3 4 2 4" xfId="202" xr:uid="{BC1C892F-4261-4DD2-9DCC-FC9DDA527531}"/>
    <cellStyle name="Обычный 3 4 2 4 2" xfId="458" xr:uid="{F0EA08C8-EABD-4163-BF90-8DF16E9E55B4}"/>
    <cellStyle name="Обычный 3 4 2 4 2 2" xfId="970" xr:uid="{59544245-879B-44C3-B2AB-E6CC22EB0C3A}"/>
    <cellStyle name="Обычный 3 4 2 4 2 2 2" xfId="1994" xr:uid="{69201342-336F-4CDE-8FAC-D199B8D71B7B}"/>
    <cellStyle name="Обычный 3 4 2 4 2 2 2 2" xfId="2980" xr:uid="{57C016B8-2E5D-4E4A-927D-67D3C2B7B813}"/>
    <cellStyle name="Обычный 3 4 2 4 2 2 3" xfId="2981" xr:uid="{9F8727D5-5650-4F38-BA67-AED8AC6643CD}"/>
    <cellStyle name="Обычный 3 4 2 4 2 3" xfId="1482" xr:uid="{E7EC395C-FDA4-4A9D-A8CD-A7B5F7952CF7}"/>
    <cellStyle name="Обычный 3 4 2 4 2 3 2" xfId="2982" xr:uid="{9C1C4A97-38A0-40E0-8EFE-571328335780}"/>
    <cellStyle name="Обычный 3 4 2 4 2 4" xfId="2983" xr:uid="{EC8B2A90-4C86-4211-908A-687940556A72}"/>
    <cellStyle name="Обычный 3 4 2 4 3" xfId="714" xr:uid="{A8AF8FA7-667F-45E1-B812-5661104DE581}"/>
    <cellStyle name="Обычный 3 4 2 4 3 2" xfId="1738" xr:uid="{841854E0-1391-46AF-B817-FD61591F6292}"/>
    <cellStyle name="Обычный 3 4 2 4 3 2 2" xfId="2984" xr:uid="{9D75AB37-1473-49EE-A9F0-496DED81B37E}"/>
    <cellStyle name="Обычный 3 4 2 4 3 3" xfId="2985" xr:uid="{B3D38205-4110-4A79-B491-B332EB2D293E}"/>
    <cellStyle name="Обычный 3 4 2 4 4" xfId="1226" xr:uid="{44E19586-4F6A-4DA6-AA03-757361712951}"/>
    <cellStyle name="Обычный 3 4 2 4 4 2" xfId="2986" xr:uid="{94667A63-0C9E-421D-B52A-8E6BC2C1D8EE}"/>
    <cellStyle name="Обычный 3 4 2 4 5" xfId="2987" xr:uid="{4F70B40D-C204-46B0-B42F-9A58E9DF2B11}"/>
    <cellStyle name="Обычный 3 4 2 5" xfId="330" xr:uid="{45085A86-BDB9-4DBC-AD29-86C4B8AE6CFA}"/>
    <cellStyle name="Обычный 3 4 2 5 2" xfId="842" xr:uid="{015B311B-DF1A-4F85-AB86-A524BA9109FF}"/>
    <cellStyle name="Обычный 3 4 2 5 2 2" xfId="1866" xr:uid="{2FF3AB1F-7C07-48A8-8A61-F827E7991CB2}"/>
    <cellStyle name="Обычный 3 4 2 5 2 2 2" xfId="2988" xr:uid="{967E2E49-442B-43AA-B189-017497736ABB}"/>
    <cellStyle name="Обычный 3 4 2 5 2 3" xfId="2989" xr:uid="{7F20FC34-D2BC-42D4-9C5E-9DF7D335D578}"/>
    <cellStyle name="Обычный 3 4 2 5 3" xfId="1354" xr:uid="{CD0AAF6A-A473-4EA5-BA67-776D35C2F7FA}"/>
    <cellStyle name="Обычный 3 4 2 5 3 2" xfId="2990" xr:uid="{29B54093-3B20-482B-81BC-905CF559FB89}"/>
    <cellStyle name="Обычный 3 4 2 5 4" xfId="2991" xr:uid="{BB61C49C-63A6-4296-B876-A04232E50D29}"/>
    <cellStyle name="Обычный 3 4 2 6" xfId="586" xr:uid="{A3737F7B-D1B2-40A1-BE8D-62312002489D}"/>
    <cellStyle name="Обычный 3 4 2 6 2" xfId="1610" xr:uid="{24A1769F-85BA-4CC4-857A-3CBCC48DB2C8}"/>
    <cellStyle name="Обычный 3 4 2 6 2 2" xfId="2992" xr:uid="{FFFC8852-5029-4F61-821D-DFF6661AE176}"/>
    <cellStyle name="Обычный 3 4 2 6 3" xfId="2993" xr:uid="{8101FC34-D6D7-4AAD-82C2-9B947FAD2BB8}"/>
    <cellStyle name="Обычный 3 4 2 7" xfId="1098" xr:uid="{CE7AE9CF-37A4-4524-A5C4-4DB9E4F95228}"/>
    <cellStyle name="Обычный 3 4 2 7 2" xfId="2994" xr:uid="{B2AC5242-942B-4AEA-9A1B-0FFBC3711DC7}"/>
    <cellStyle name="Обычный 3 4 2 8" xfId="2995" xr:uid="{6009E437-1A59-4229-B7BF-39809414B993}"/>
    <cellStyle name="Обычный 3 4 3" xfId="90" xr:uid="{C09E65A4-4688-43BA-9587-11DE753CA05E}"/>
    <cellStyle name="Обычный 3 4 3 2" xfId="154" xr:uid="{75773C2B-FB12-4167-AE7B-6EABC7B15672}"/>
    <cellStyle name="Обычный 3 4 3 2 2" xfId="282" xr:uid="{754136F4-0063-4CAF-87EB-EC8119386518}"/>
    <cellStyle name="Обычный 3 4 3 2 2 2" xfId="538" xr:uid="{E3ED3A1F-7FA4-4475-82C7-31039E146A68}"/>
    <cellStyle name="Обычный 3 4 3 2 2 2 2" xfId="1050" xr:uid="{1C5A497D-4B4A-4AB2-BCCB-82BD5C95A860}"/>
    <cellStyle name="Обычный 3 4 3 2 2 2 2 2" xfId="2074" xr:uid="{61DE904C-5F94-43C5-87C7-C3A36E96B139}"/>
    <cellStyle name="Обычный 3 4 3 2 2 2 2 2 2" xfId="2996" xr:uid="{DB1DF586-666C-4C20-A925-9089B3A37A56}"/>
    <cellStyle name="Обычный 3 4 3 2 2 2 2 3" xfId="2997" xr:uid="{0BE8ED3A-92E6-4A98-BF96-3B9AD0B0B667}"/>
    <cellStyle name="Обычный 3 4 3 2 2 2 3" xfId="1562" xr:uid="{D243F283-467A-42B7-81D9-8FAB7A986219}"/>
    <cellStyle name="Обычный 3 4 3 2 2 2 3 2" xfId="2998" xr:uid="{DEC5AC58-59EB-47B3-BE47-08977F5FBD4F}"/>
    <cellStyle name="Обычный 3 4 3 2 2 2 4" xfId="2999" xr:uid="{CA289E22-9D5F-4806-B2B8-B9478CD64802}"/>
    <cellStyle name="Обычный 3 4 3 2 2 3" xfId="794" xr:uid="{83830883-1EEB-43FD-85F9-B96DFC328D5B}"/>
    <cellStyle name="Обычный 3 4 3 2 2 3 2" xfId="1818" xr:uid="{64203C3E-D08C-45F1-9E4E-68710AC478DE}"/>
    <cellStyle name="Обычный 3 4 3 2 2 3 2 2" xfId="3000" xr:uid="{4501AA91-2B6C-439D-9FBC-E9158F668D7E}"/>
    <cellStyle name="Обычный 3 4 3 2 2 3 3" xfId="3001" xr:uid="{27F8F5D7-68F8-4CFF-BF09-61543544AC1F}"/>
    <cellStyle name="Обычный 3 4 3 2 2 4" xfId="1306" xr:uid="{15E37118-6880-48BD-BBE9-BDBA43F59A95}"/>
    <cellStyle name="Обычный 3 4 3 2 2 4 2" xfId="3002" xr:uid="{BD22477E-F841-42A8-B128-D309338427D9}"/>
    <cellStyle name="Обычный 3 4 3 2 2 5" xfId="3003" xr:uid="{0789B96B-5F2C-4194-ADCC-269D71F74E46}"/>
    <cellStyle name="Обычный 3 4 3 2 3" xfId="410" xr:uid="{8EA6F224-CFC7-46DC-A745-A54AB86F7DF7}"/>
    <cellStyle name="Обычный 3 4 3 2 3 2" xfId="922" xr:uid="{2538DFF1-67CE-45A8-9223-AF257D492F8D}"/>
    <cellStyle name="Обычный 3 4 3 2 3 2 2" xfId="1946" xr:uid="{67BA7686-408A-4BD7-8BC4-A4312FB79B8C}"/>
    <cellStyle name="Обычный 3 4 3 2 3 2 2 2" xfId="3004" xr:uid="{C58ECA98-114D-4F7B-A22D-7B676EDF2C45}"/>
    <cellStyle name="Обычный 3 4 3 2 3 2 3" xfId="3005" xr:uid="{EB187C5E-44E6-4BD0-B221-E094330FF93E}"/>
    <cellStyle name="Обычный 3 4 3 2 3 3" xfId="1434" xr:uid="{8F78EEAB-F8E3-4518-ACDF-8491FA2D1C11}"/>
    <cellStyle name="Обычный 3 4 3 2 3 3 2" xfId="3006" xr:uid="{85C6A30C-E5A3-4530-A830-AC10F77C6B1D}"/>
    <cellStyle name="Обычный 3 4 3 2 3 4" xfId="3007" xr:uid="{ECAA6C0C-0721-4296-A21D-265C2A25F4EB}"/>
    <cellStyle name="Обычный 3 4 3 2 4" xfId="666" xr:uid="{92AEAC3D-2084-44EE-90D6-4B159FEF8179}"/>
    <cellStyle name="Обычный 3 4 3 2 4 2" xfId="1690" xr:uid="{6E14F1C7-C4B8-446B-8362-6485D50EAA9E}"/>
    <cellStyle name="Обычный 3 4 3 2 4 2 2" xfId="3008" xr:uid="{089BBDA2-A119-430B-B0D4-1C97DE7582A7}"/>
    <cellStyle name="Обычный 3 4 3 2 4 3" xfId="3009" xr:uid="{3CEE457F-D0A1-4013-BFCA-03C73B52E040}"/>
    <cellStyle name="Обычный 3 4 3 2 5" xfId="1178" xr:uid="{ECFC14F5-56C8-4606-A163-DD3837F2C1BB}"/>
    <cellStyle name="Обычный 3 4 3 2 5 2" xfId="3010" xr:uid="{099B0C04-62A9-42CA-A854-87C35AB43D88}"/>
    <cellStyle name="Обычный 3 4 3 2 6" xfId="3011" xr:uid="{432DC63D-F69B-4701-83B2-4C64EF0D0D5F}"/>
    <cellStyle name="Обычный 3 4 3 3" xfId="218" xr:uid="{95BA026A-CF98-4A31-9D5D-C605987020FA}"/>
    <cellStyle name="Обычный 3 4 3 3 2" xfId="474" xr:uid="{926F6437-E213-4960-A15F-B1BE6F368FBA}"/>
    <cellStyle name="Обычный 3 4 3 3 2 2" xfId="986" xr:uid="{11437305-875D-48BA-A710-640DE51A427A}"/>
    <cellStyle name="Обычный 3 4 3 3 2 2 2" xfId="2010" xr:uid="{28839BA9-D018-44DE-AA45-ABC46D35DE2D}"/>
    <cellStyle name="Обычный 3 4 3 3 2 2 2 2" xfId="3012" xr:uid="{4D92552D-A7CC-4CAE-9315-D5F1ECE3132E}"/>
    <cellStyle name="Обычный 3 4 3 3 2 2 3" xfId="3013" xr:uid="{14ABEBBC-F262-4BB7-8ECE-9099CF2682B5}"/>
    <cellStyle name="Обычный 3 4 3 3 2 3" xfId="1498" xr:uid="{D8927768-9B4D-4BC9-B98C-DDE9015D4C0F}"/>
    <cellStyle name="Обычный 3 4 3 3 2 3 2" xfId="3014" xr:uid="{3BE55DEC-2579-4060-94BA-5B3F951225EA}"/>
    <cellStyle name="Обычный 3 4 3 3 2 4" xfId="3015" xr:uid="{EAFA0FA7-0A3E-4AF5-A4B0-C4BC3BDECA3B}"/>
    <cellStyle name="Обычный 3 4 3 3 3" xfId="730" xr:uid="{23B83DBE-4907-416E-B3DB-F90F0D596AD2}"/>
    <cellStyle name="Обычный 3 4 3 3 3 2" xfId="1754" xr:uid="{81D267A0-97C4-4918-BE50-4CA53CA49EE8}"/>
    <cellStyle name="Обычный 3 4 3 3 3 2 2" xfId="3016" xr:uid="{BCC679D0-76A6-46E1-8E61-BC6A2E17C8EB}"/>
    <cellStyle name="Обычный 3 4 3 3 3 3" xfId="3017" xr:uid="{979D2862-E6E6-4F0F-A051-8AA0B49684D1}"/>
    <cellStyle name="Обычный 3 4 3 3 4" xfId="1242" xr:uid="{85CB23D3-DD15-42C8-8657-E3707D97914D}"/>
    <cellStyle name="Обычный 3 4 3 3 4 2" xfId="3018" xr:uid="{F0A67771-52ED-41EF-A590-7038C087CC90}"/>
    <cellStyle name="Обычный 3 4 3 3 5" xfId="3019" xr:uid="{8904442C-CC78-49FC-AE9A-4E9F567610AC}"/>
    <cellStyle name="Обычный 3 4 3 4" xfId="346" xr:uid="{2ACEC2BA-EF39-4138-80F5-F13D31887ED1}"/>
    <cellStyle name="Обычный 3 4 3 4 2" xfId="858" xr:uid="{4864AE56-F534-4A98-86A8-C4AC83B02D0B}"/>
    <cellStyle name="Обычный 3 4 3 4 2 2" xfId="1882" xr:uid="{FFE86261-95DD-4560-9C6D-370CDDEA30FA}"/>
    <cellStyle name="Обычный 3 4 3 4 2 2 2" xfId="3020" xr:uid="{2723580A-EEE0-4238-A8B9-005F0E2D5EBF}"/>
    <cellStyle name="Обычный 3 4 3 4 2 3" xfId="3021" xr:uid="{1B3259CA-CD1F-461D-BBC9-033317A99B05}"/>
    <cellStyle name="Обычный 3 4 3 4 3" xfId="1370" xr:uid="{93CB234E-6B1F-4E03-92DB-61F5D92060F9}"/>
    <cellStyle name="Обычный 3 4 3 4 3 2" xfId="3022" xr:uid="{22690888-5030-45C5-908D-DD451991A67D}"/>
    <cellStyle name="Обычный 3 4 3 4 4" xfId="3023" xr:uid="{A54B714D-DB42-4EC0-B372-606644D1F3A2}"/>
    <cellStyle name="Обычный 3 4 3 5" xfId="602" xr:uid="{F0459D95-B87E-4D6E-8E73-60F523DC588F}"/>
    <cellStyle name="Обычный 3 4 3 5 2" xfId="1626" xr:uid="{D77B3894-7D52-4422-82AA-191640C56265}"/>
    <cellStyle name="Обычный 3 4 3 5 2 2" xfId="3024" xr:uid="{274E024D-E4B4-46CE-8E50-E55AC4F99274}"/>
    <cellStyle name="Обычный 3 4 3 5 3" xfId="3025" xr:uid="{BB140AF4-DA0F-47ED-9E63-6AF43AF995F3}"/>
    <cellStyle name="Обычный 3 4 3 6" xfId="1114" xr:uid="{6D167DBA-C6B4-4292-899A-1E98935F14C3}"/>
    <cellStyle name="Обычный 3 4 3 6 2" xfId="3026" xr:uid="{E188D740-C68E-4E74-8599-86A8699FADA5}"/>
    <cellStyle name="Обычный 3 4 3 7" xfId="3027" xr:uid="{5A9BA15E-24CB-4BA6-A015-955235291491}"/>
    <cellStyle name="Обычный 3 4 4" xfId="122" xr:uid="{96CC53B4-5C0F-4FAD-81BB-EED4BA7A4B88}"/>
    <cellStyle name="Обычный 3 4 4 2" xfId="250" xr:uid="{3709C5F4-FF37-48B5-93D1-58E7F97F32FF}"/>
    <cellStyle name="Обычный 3 4 4 2 2" xfId="506" xr:uid="{F8462F4F-247A-4364-8BB2-63D5CB710CAD}"/>
    <cellStyle name="Обычный 3 4 4 2 2 2" xfId="1018" xr:uid="{80C8366F-606D-4B23-B5EB-C12DF34B853E}"/>
    <cellStyle name="Обычный 3 4 4 2 2 2 2" xfId="2042" xr:uid="{FA4673CB-A894-4B9E-88CC-4EED9E944C20}"/>
    <cellStyle name="Обычный 3 4 4 2 2 2 2 2" xfId="3028" xr:uid="{EB7DA4B1-309F-433D-9427-432615C9E25A}"/>
    <cellStyle name="Обычный 3 4 4 2 2 2 3" xfId="3029" xr:uid="{F7258436-67EF-437E-9D90-6F55E8F7F38F}"/>
    <cellStyle name="Обычный 3 4 4 2 2 3" xfId="1530" xr:uid="{B211B8AE-E466-4F1D-9A43-FAE8DBA6FCDA}"/>
    <cellStyle name="Обычный 3 4 4 2 2 3 2" xfId="3030" xr:uid="{4F50BA4A-D283-4326-8D54-B79CD21C0630}"/>
    <cellStyle name="Обычный 3 4 4 2 2 4" xfId="3031" xr:uid="{D6E9E1E7-D516-4A42-8A48-945C805D6C52}"/>
    <cellStyle name="Обычный 3 4 4 2 3" xfId="762" xr:uid="{07AE2570-4955-4E89-81EE-E239F9974126}"/>
    <cellStyle name="Обычный 3 4 4 2 3 2" xfId="1786" xr:uid="{51025948-4CD0-411A-BA95-1D29E45908E9}"/>
    <cellStyle name="Обычный 3 4 4 2 3 2 2" xfId="3032" xr:uid="{1A90095E-7880-45AD-A470-9D657B9907C9}"/>
    <cellStyle name="Обычный 3 4 4 2 3 3" xfId="3033" xr:uid="{01906B8B-09AF-4C3E-9D58-0646335BF7BE}"/>
    <cellStyle name="Обычный 3 4 4 2 4" xfId="1274" xr:uid="{BB00CBDA-8547-468B-AAEA-9B41F93642E3}"/>
    <cellStyle name="Обычный 3 4 4 2 4 2" xfId="3034" xr:uid="{F67FC05D-27A4-470D-9339-40D20AB37C4D}"/>
    <cellStyle name="Обычный 3 4 4 2 5" xfId="3035" xr:uid="{0B3ED00C-ED63-4629-962F-253B00982D32}"/>
    <cellStyle name="Обычный 3 4 4 3" xfId="378" xr:uid="{9584810F-83D5-48B7-A132-ACDBE537A97A}"/>
    <cellStyle name="Обычный 3 4 4 3 2" xfId="890" xr:uid="{D226E8F0-AC2E-486B-91F9-B4B11286513C}"/>
    <cellStyle name="Обычный 3 4 4 3 2 2" xfId="1914" xr:uid="{38A4134A-2E59-4327-AECC-29069AC9D5EA}"/>
    <cellStyle name="Обычный 3 4 4 3 2 2 2" xfId="3036" xr:uid="{5950CAC4-DAD7-46F6-9F92-CF4BF4EC05E8}"/>
    <cellStyle name="Обычный 3 4 4 3 2 3" xfId="3037" xr:uid="{8A7DFCE4-836C-4738-BA49-B060A20AEB46}"/>
    <cellStyle name="Обычный 3 4 4 3 3" xfId="1402" xr:uid="{46DF6A86-8046-4B33-B6CB-E6C24DB70D8C}"/>
    <cellStyle name="Обычный 3 4 4 3 3 2" xfId="3038" xr:uid="{1574D268-436C-4330-B45C-B4ACB199BCEC}"/>
    <cellStyle name="Обычный 3 4 4 3 4" xfId="3039" xr:uid="{730AE4A4-93B5-4217-8E77-83BB4E28B0FF}"/>
    <cellStyle name="Обычный 3 4 4 4" xfId="634" xr:uid="{AE05E6D5-EDBC-4C34-AF00-B2904F33D90E}"/>
    <cellStyle name="Обычный 3 4 4 4 2" xfId="1658" xr:uid="{B253D1CD-BED6-49D5-AC03-DE516127C17A}"/>
    <cellStyle name="Обычный 3 4 4 4 2 2" xfId="3040" xr:uid="{D9F1240C-59F5-40A2-BB85-DC04D5C965DD}"/>
    <cellStyle name="Обычный 3 4 4 4 3" xfId="3041" xr:uid="{5CD584A2-61DC-46CB-AC96-82D273ADA334}"/>
    <cellStyle name="Обычный 3 4 4 5" xfId="1146" xr:uid="{250B88F7-7A56-4C2C-BFC8-B19C7B4B66FD}"/>
    <cellStyle name="Обычный 3 4 4 5 2" xfId="3042" xr:uid="{52C1154A-56B3-4E67-8A20-FB05DB2A9458}"/>
    <cellStyle name="Обычный 3 4 4 6" xfId="3043" xr:uid="{D83167AA-2346-4EC8-84C3-EEE80EB804B8}"/>
    <cellStyle name="Обычный 3 4 5" xfId="186" xr:uid="{C0947E32-43AC-438F-9ABF-ED0ED78CB272}"/>
    <cellStyle name="Обычный 3 4 5 2" xfId="442" xr:uid="{F2FF9407-4FDD-4958-9662-E096C5FFE253}"/>
    <cellStyle name="Обычный 3 4 5 2 2" xfId="954" xr:uid="{BE3FBDED-56D5-430D-B897-09E9CD9238B4}"/>
    <cellStyle name="Обычный 3 4 5 2 2 2" xfId="1978" xr:uid="{B303BB11-117F-47AA-9B06-B476E0EE6551}"/>
    <cellStyle name="Обычный 3 4 5 2 2 2 2" xfId="3044" xr:uid="{57B38F1A-3164-4AF4-A5B6-4ADB35F03FE0}"/>
    <cellStyle name="Обычный 3 4 5 2 2 3" xfId="3045" xr:uid="{1537CADE-DF5D-4F27-9B6A-8476EE8276CA}"/>
    <cellStyle name="Обычный 3 4 5 2 3" xfId="1466" xr:uid="{8371350F-4BB0-4115-987C-CA07C06D69BF}"/>
    <cellStyle name="Обычный 3 4 5 2 3 2" xfId="3046" xr:uid="{08647EB0-B7BB-4879-9C0F-8EA2A0F6DAE5}"/>
    <cellStyle name="Обычный 3 4 5 2 4" xfId="3047" xr:uid="{69F7B48E-DEC2-4D57-839E-74152B158342}"/>
    <cellStyle name="Обычный 3 4 5 3" xfId="698" xr:uid="{E0E1912F-A985-43A3-963E-9E2C99E2B3B0}"/>
    <cellStyle name="Обычный 3 4 5 3 2" xfId="1722" xr:uid="{AA835850-FD7A-44FE-93A7-80A3CE49A414}"/>
    <cellStyle name="Обычный 3 4 5 3 2 2" xfId="3048" xr:uid="{0C4D9E1B-CAA6-4D2C-AB10-69F132364D00}"/>
    <cellStyle name="Обычный 3 4 5 3 3" xfId="3049" xr:uid="{78EEAED0-2F33-46B4-8398-E3EC91CD42A0}"/>
    <cellStyle name="Обычный 3 4 5 4" xfId="1210" xr:uid="{540E0F96-F23E-47FC-8E96-0CE1CD54114F}"/>
    <cellStyle name="Обычный 3 4 5 4 2" xfId="3050" xr:uid="{ABA63EDB-E351-415F-9C21-855F91DDA970}"/>
    <cellStyle name="Обычный 3 4 5 5" xfId="3051" xr:uid="{317408AA-EB35-4665-8C01-69718985E0D7}"/>
    <cellStyle name="Обычный 3 4 6" xfId="314" xr:uid="{0DF329A1-E5B6-4C1B-86BE-DBAF9E4D5215}"/>
    <cellStyle name="Обычный 3 4 6 2" xfId="826" xr:uid="{E2606B73-2AD3-4879-B6D1-E36523AED5C6}"/>
    <cellStyle name="Обычный 3 4 6 2 2" xfId="1850" xr:uid="{9F56BD79-5598-4B46-9694-248F99DFF119}"/>
    <cellStyle name="Обычный 3 4 6 2 2 2" xfId="3052" xr:uid="{E7D8DDB5-2DD0-40D0-B82E-BD6998B5943B}"/>
    <cellStyle name="Обычный 3 4 6 2 3" xfId="3053" xr:uid="{1BE4D51F-805E-4B4B-8B58-245DACF8C4E4}"/>
    <cellStyle name="Обычный 3 4 6 3" xfId="1338" xr:uid="{957001B3-06B4-4C43-A6F5-709C760F6AF3}"/>
    <cellStyle name="Обычный 3 4 6 3 2" xfId="3054" xr:uid="{2ACBC048-7A58-4423-AA7B-662181389B5D}"/>
    <cellStyle name="Обычный 3 4 6 4" xfId="3055" xr:uid="{EC97C9FD-74D2-410F-BC84-567C8006C8E2}"/>
    <cellStyle name="Обычный 3 4 7" xfId="570" xr:uid="{147D5342-0B7E-4102-98AC-CAB466B081ED}"/>
    <cellStyle name="Обычный 3 4 7 2" xfId="1594" xr:uid="{7B1FCB0C-D8F4-4703-A39E-CAD72127512F}"/>
    <cellStyle name="Обычный 3 4 7 2 2" xfId="3056" xr:uid="{A313D751-2AFD-4197-9DD7-90B713320CAB}"/>
    <cellStyle name="Обычный 3 4 7 3" xfId="3057" xr:uid="{031A1F69-294B-4141-978C-C8FF04FC5CBD}"/>
    <cellStyle name="Обычный 3 4 8" xfId="1082" xr:uid="{D039F688-3EED-4A0C-9F2C-E3B4270DE986}"/>
    <cellStyle name="Обычный 3 4 8 2" xfId="3058" xr:uid="{602597E2-6EF8-438C-94AA-825A968B217E}"/>
    <cellStyle name="Обычный 3 4 9" xfId="3059" xr:uid="{48669E50-C1A3-48A0-8639-2CD7804250C6}"/>
    <cellStyle name="Обычный 3 5" xfId="65" xr:uid="{2CD89D6C-9B46-4912-90A1-512F91765D59}"/>
    <cellStyle name="Обычный 3 5 2" xfId="98" xr:uid="{CD565124-804C-43F9-9B2F-FC8ED5FAA692}"/>
    <cellStyle name="Обычный 3 5 2 2" xfId="162" xr:uid="{55EA3CD7-6658-4721-8D01-DF96F0CE572C}"/>
    <cellStyle name="Обычный 3 5 2 2 2" xfId="290" xr:uid="{7C05BF3A-DD8D-46FA-9CAE-0F5E2EB404D1}"/>
    <cellStyle name="Обычный 3 5 2 2 2 2" xfId="546" xr:uid="{71EE4B82-2D53-4181-848F-BB68DFF404D2}"/>
    <cellStyle name="Обычный 3 5 2 2 2 2 2" xfId="1058" xr:uid="{1C78DBDA-FB2D-49B0-AE3B-5A180DF735C5}"/>
    <cellStyle name="Обычный 3 5 2 2 2 2 2 2" xfId="2082" xr:uid="{2F2AF67C-92EE-4AB1-8F29-4E4042A30D83}"/>
    <cellStyle name="Обычный 3 5 2 2 2 2 2 2 2" xfId="3060" xr:uid="{6463CA9B-9628-4493-AEE5-6BA3B9851D06}"/>
    <cellStyle name="Обычный 3 5 2 2 2 2 2 3" xfId="3061" xr:uid="{20B9E191-AD26-4E0F-AA3D-B6A31F97B351}"/>
    <cellStyle name="Обычный 3 5 2 2 2 2 3" xfId="1570" xr:uid="{279EAA0E-8D4C-49C1-B7C0-4BF7F210BFA3}"/>
    <cellStyle name="Обычный 3 5 2 2 2 2 3 2" xfId="3062" xr:uid="{F6B5B753-22F7-4166-A9B0-4C28D7D86C78}"/>
    <cellStyle name="Обычный 3 5 2 2 2 2 4" xfId="3063" xr:uid="{B7E6E2D7-7814-4F04-A4CA-B6DF4DD6FDA8}"/>
    <cellStyle name="Обычный 3 5 2 2 2 3" xfId="802" xr:uid="{90A13311-A35D-4885-BD21-EF3BED412E70}"/>
    <cellStyle name="Обычный 3 5 2 2 2 3 2" xfId="1826" xr:uid="{AA312791-8863-4D98-86D9-AD67413629BD}"/>
    <cellStyle name="Обычный 3 5 2 2 2 3 2 2" xfId="3064" xr:uid="{5895E1F8-D176-4B99-8C02-4A0BC2AE2E05}"/>
    <cellStyle name="Обычный 3 5 2 2 2 3 3" xfId="3065" xr:uid="{1F428E30-F487-41F5-ABEB-8E9F89E534D9}"/>
    <cellStyle name="Обычный 3 5 2 2 2 4" xfId="1314" xr:uid="{7B23AE41-2B6A-4E0F-BA04-A620BA66A0AA}"/>
    <cellStyle name="Обычный 3 5 2 2 2 4 2" xfId="3066" xr:uid="{06B8072A-BCCA-40B5-8072-A44D74A5D917}"/>
    <cellStyle name="Обычный 3 5 2 2 2 5" xfId="3067" xr:uid="{D2414409-3FC9-46DB-84A6-3F4D993ABD4F}"/>
    <cellStyle name="Обычный 3 5 2 2 3" xfId="418" xr:uid="{CD7EB275-C06C-4B1B-879E-6A3E58333845}"/>
    <cellStyle name="Обычный 3 5 2 2 3 2" xfId="930" xr:uid="{ABE648B1-7C89-458F-ABC0-BF8FA0D83283}"/>
    <cellStyle name="Обычный 3 5 2 2 3 2 2" xfId="1954" xr:uid="{02C62BE4-4FC2-428D-B8EF-474691B7B78E}"/>
    <cellStyle name="Обычный 3 5 2 2 3 2 2 2" xfId="3068" xr:uid="{B6A6FEEF-5ACD-43C1-A1F5-579CDBF7A05A}"/>
    <cellStyle name="Обычный 3 5 2 2 3 2 3" xfId="3069" xr:uid="{7D4A42C6-1CB8-4D6B-A27B-814CB75CB3F1}"/>
    <cellStyle name="Обычный 3 5 2 2 3 3" xfId="1442" xr:uid="{0C92AECE-38E9-4A20-AD85-A1CE794206D0}"/>
    <cellStyle name="Обычный 3 5 2 2 3 3 2" xfId="3070" xr:uid="{2013C767-C05D-4B79-86CD-44D12DC393E6}"/>
    <cellStyle name="Обычный 3 5 2 2 3 4" xfId="3071" xr:uid="{DED00511-BC8D-4BE1-98EF-FBEC734C94E0}"/>
    <cellStyle name="Обычный 3 5 2 2 4" xfId="674" xr:uid="{461C22D4-FFEA-4861-976F-0994CFFC5B62}"/>
    <cellStyle name="Обычный 3 5 2 2 4 2" xfId="1698" xr:uid="{EF318525-985A-4398-8701-1D5601EDB459}"/>
    <cellStyle name="Обычный 3 5 2 2 4 2 2" xfId="3072" xr:uid="{D3FA68A7-252E-493F-B8E6-114ABC3AA0C7}"/>
    <cellStyle name="Обычный 3 5 2 2 4 3" xfId="3073" xr:uid="{FCB79C22-01C2-4833-848F-B29365437284}"/>
    <cellStyle name="Обычный 3 5 2 2 5" xfId="1186" xr:uid="{320256AA-DD81-4EF0-8CCA-E1031B2927ED}"/>
    <cellStyle name="Обычный 3 5 2 2 5 2" xfId="3074" xr:uid="{F98EA9DA-1AD8-4C15-80C4-6B4BC5BBB0BB}"/>
    <cellStyle name="Обычный 3 5 2 2 6" xfId="3075" xr:uid="{30359DC0-941D-4280-ADDD-DDEB1F37D510}"/>
    <cellStyle name="Обычный 3 5 2 3" xfId="226" xr:uid="{F87CC568-365B-4DB4-AE1D-5CE26455C6B6}"/>
    <cellStyle name="Обычный 3 5 2 3 2" xfId="482" xr:uid="{33B5DE20-B2A7-4E96-AA0B-506E3D888F57}"/>
    <cellStyle name="Обычный 3 5 2 3 2 2" xfId="994" xr:uid="{42B65328-CC92-4553-A83B-492FF0466B4A}"/>
    <cellStyle name="Обычный 3 5 2 3 2 2 2" xfId="2018" xr:uid="{B9C169F7-6217-49D3-ACC6-F0777F803705}"/>
    <cellStyle name="Обычный 3 5 2 3 2 2 2 2" xfId="3076" xr:uid="{5F2E74A6-520B-4502-818B-797AF3CF4960}"/>
    <cellStyle name="Обычный 3 5 2 3 2 2 3" xfId="3077" xr:uid="{7E10BE25-B599-4926-831A-FD6E2EDDF42E}"/>
    <cellStyle name="Обычный 3 5 2 3 2 3" xfId="1506" xr:uid="{247FB7B4-A472-4F8E-BBB2-69877FB4ED1B}"/>
    <cellStyle name="Обычный 3 5 2 3 2 3 2" xfId="3078" xr:uid="{35322E0B-A9A9-4EE3-B09F-F69C57B4F8C5}"/>
    <cellStyle name="Обычный 3 5 2 3 2 4" xfId="3079" xr:uid="{63B7EE85-AA1E-4979-9C22-54E63A4564F9}"/>
    <cellStyle name="Обычный 3 5 2 3 3" xfId="738" xr:uid="{CAB6DAB6-8B9B-447C-8F46-7C46E4D3D77C}"/>
    <cellStyle name="Обычный 3 5 2 3 3 2" xfId="1762" xr:uid="{C253602A-67F1-461B-B0F1-BB4AC5D851E6}"/>
    <cellStyle name="Обычный 3 5 2 3 3 2 2" xfId="3080" xr:uid="{0D14A99C-DAFA-447D-9C15-4B2BE35DD76A}"/>
    <cellStyle name="Обычный 3 5 2 3 3 3" xfId="3081" xr:uid="{2EAF5486-74DF-4B74-AD15-E5FD35AB3E66}"/>
    <cellStyle name="Обычный 3 5 2 3 4" xfId="1250" xr:uid="{F5A3AC49-AE81-4B96-BCC7-4753508590B2}"/>
    <cellStyle name="Обычный 3 5 2 3 4 2" xfId="3082" xr:uid="{6B623BC6-1D42-408C-AA1B-92146E95D9EE}"/>
    <cellStyle name="Обычный 3 5 2 3 5" xfId="3083" xr:uid="{25253A01-FB0C-44FE-83A5-EBDE27956134}"/>
    <cellStyle name="Обычный 3 5 2 4" xfId="354" xr:uid="{A1C33C8A-B90D-4FC1-94A1-84510F49F7A6}"/>
    <cellStyle name="Обычный 3 5 2 4 2" xfId="866" xr:uid="{0994A3CC-EFE7-4ADA-9B70-42ACFE81E788}"/>
    <cellStyle name="Обычный 3 5 2 4 2 2" xfId="1890" xr:uid="{C00908AA-2BDE-43BF-AE64-F2D5F1123956}"/>
    <cellStyle name="Обычный 3 5 2 4 2 2 2" xfId="3084" xr:uid="{CB1C55FD-B05F-44FB-A18A-5837A183C236}"/>
    <cellStyle name="Обычный 3 5 2 4 2 3" xfId="3085" xr:uid="{87CAB6B6-9CCA-40CB-8902-60A9513BA73D}"/>
    <cellStyle name="Обычный 3 5 2 4 3" xfId="1378" xr:uid="{426BDB15-A694-4A41-ADEC-56327D03B52F}"/>
    <cellStyle name="Обычный 3 5 2 4 3 2" xfId="3086" xr:uid="{14239EDC-3660-4DED-B24F-66B0AEA30542}"/>
    <cellStyle name="Обычный 3 5 2 4 4" xfId="3087" xr:uid="{5589137F-09E9-4884-B2E9-51F04E0CF3C7}"/>
    <cellStyle name="Обычный 3 5 2 5" xfId="610" xr:uid="{F1F950E8-13A1-49C6-9601-40D2BDF1D330}"/>
    <cellStyle name="Обычный 3 5 2 5 2" xfId="1634" xr:uid="{E82F68BD-1112-443A-8553-12A26097A875}"/>
    <cellStyle name="Обычный 3 5 2 5 2 2" xfId="3088" xr:uid="{34F663DC-2EF5-4148-A10B-1F6389EC0A9C}"/>
    <cellStyle name="Обычный 3 5 2 5 3" xfId="3089" xr:uid="{D562EBF9-3C3E-4E50-876E-8591A3C7306F}"/>
    <cellStyle name="Обычный 3 5 2 6" xfId="1122" xr:uid="{68BA3C22-8719-49FD-B5BF-912CF96DE696}"/>
    <cellStyle name="Обычный 3 5 2 6 2" xfId="3090" xr:uid="{752BE1BB-3865-48C5-A937-C66AC80E3B08}"/>
    <cellStyle name="Обычный 3 5 2 7" xfId="3091" xr:uid="{67BE032B-572E-4243-B469-02A8BD4045C4}"/>
    <cellStyle name="Обычный 3 5 3" xfId="130" xr:uid="{E2360350-A1B5-410B-B0D2-86DA0E28A145}"/>
    <cellStyle name="Обычный 3 5 3 2" xfId="258" xr:uid="{938894FB-D62E-497B-A698-6EBD942C256E}"/>
    <cellStyle name="Обычный 3 5 3 2 2" xfId="514" xr:uid="{9C21D4E5-326E-4FF8-811D-455F7CC98339}"/>
    <cellStyle name="Обычный 3 5 3 2 2 2" xfId="1026" xr:uid="{1F6CDEE9-C052-46C3-9B41-65501108CC74}"/>
    <cellStyle name="Обычный 3 5 3 2 2 2 2" xfId="2050" xr:uid="{4270D4D0-4B1E-49C3-9EF2-15A942E77E8B}"/>
    <cellStyle name="Обычный 3 5 3 2 2 2 2 2" xfId="3092" xr:uid="{B70C58F9-412B-4408-ABD1-B831B8110515}"/>
    <cellStyle name="Обычный 3 5 3 2 2 2 3" xfId="3093" xr:uid="{4909B9AC-D2CC-4334-8A65-A88C5FB5E049}"/>
    <cellStyle name="Обычный 3 5 3 2 2 3" xfId="1538" xr:uid="{B5097A73-227E-48BF-B414-BC53C8E2C282}"/>
    <cellStyle name="Обычный 3 5 3 2 2 3 2" xfId="3094" xr:uid="{3DED8C85-0F53-4005-9A14-4C8B1533AF97}"/>
    <cellStyle name="Обычный 3 5 3 2 2 4" xfId="3095" xr:uid="{C3FEC4D1-1EA7-4E32-99D1-A9AE7708C88B}"/>
    <cellStyle name="Обычный 3 5 3 2 3" xfId="770" xr:uid="{D9EF58A6-CF7F-475F-A47C-A8B4C6EF2C36}"/>
    <cellStyle name="Обычный 3 5 3 2 3 2" xfId="1794" xr:uid="{EAD3E7C6-6948-4B80-A119-1EE8243847A8}"/>
    <cellStyle name="Обычный 3 5 3 2 3 2 2" xfId="3096" xr:uid="{F0D0E94A-8B36-457F-BAAA-05CDA6B05F85}"/>
    <cellStyle name="Обычный 3 5 3 2 3 3" xfId="3097" xr:uid="{58F75BAC-B2DA-40C3-BFF2-CB41CD8C01B8}"/>
    <cellStyle name="Обычный 3 5 3 2 4" xfId="1282" xr:uid="{EA568F5C-A574-4188-B096-B3A5274570FD}"/>
    <cellStyle name="Обычный 3 5 3 2 4 2" xfId="3098" xr:uid="{B87E4868-A999-477E-85BC-859E5B5E2B81}"/>
    <cellStyle name="Обычный 3 5 3 2 5" xfId="3099" xr:uid="{CF8A1B57-304E-4D81-AEBA-EF6E2A1C0FFE}"/>
    <cellStyle name="Обычный 3 5 3 3" xfId="386" xr:uid="{9D71EB3F-899A-416A-BA4F-0A5ADB561C8C}"/>
    <cellStyle name="Обычный 3 5 3 3 2" xfId="898" xr:uid="{375C5CCA-82FA-4404-A579-E8C0711C15B6}"/>
    <cellStyle name="Обычный 3 5 3 3 2 2" xfId="1922" xr:uid="{64560839-DA6E-47DD-898F-92B056E49374}"/>
    <cellStyle name="Обычный 3 5 3 3 2 2 2" xfId="3100" xr:uid="{D8CD139F-F5C1-40E8-B952-364704B37D81}"/>
    <cellStyle name="Обычный 3 5 3 3 2 3" xfId="3101" xr:uid="{B152E17E-89A1-46AF-B427-50A82488D9DD}"/>
    <cellStyle name="Обычный 3 5 3 3 3" xfId="1410" xr:uid="{A7A5202F-E3A6-402E-8478-61B8BF05CF7B}"/>
    <cellStyle name="Обычный 3 5 3 3 3 2" xfId="3102" xr:uid="{4E4D98C3-0D21-4327-A40B-F1F672951DEA}"/>
    <cellStyle name="Обычный 3 5 3 3 4" xfId="3103" xr:uid="{4AF5CD50-178E-41C4-83D4-9A49F6F82EAD}"/>
    <cellStyle name="Обычный 3 5 3 4" xfId="642" xr:uid="{75D998C2-9869-40A9-8F13-E2D8F24AFE07}"/>
    <cellStyle name="Обычный 3 5 3 4 2" xfId="1666" xr:uid="{67A6B8C7-1684-428D-B614-C33FF9AC6707}"/>
    <cellStyle name="Обычный 3 5 3 4 2 2" xfId="3104" xr:uid="{0C531D64-E99C-428C-A404-77959BA2CB88}"/>
    <cellStyle name="Обычный 3 5 3 4 3" xfId="3105" xr:uid="{48E71AB8-FFFF-49EC-A6A4-CD18CCAAC9DE}"/>
    <cellStyle name="Обычный 3 5 3 5" xfId="1154" xr:uid="{44523613-98EB-444E-BB9C-54F85D99C089}"/>
    <cellStyle name="Обычный 3 5 3 5 2" xfId="3106" xr:uid="{53CD621F-AC3D-454D-918A-8BBC8DCB4455}"/>
    <cellStyle name="Обычный 3 5 3 6" xfId="3107" xr:uid="{4008B769-8664-4917-8A4C-BBEB4084700F}"/>
    <cellStyle name="Обычный 3 5 4" xfId="194" xr:uid="{FDEE0881-B134-40D7-AAFE-1F62FC96FD24}"/>
    <cellStyle name="Обычный 3 5 4 2" xfId="450" xr:uid="{C3234D25-315A-4A27-94AB-E48F95E24F12}"/>
    <cellStyle name="Обычный 3 5 4 2 2" xfId="962" xr:uid="{5B0C237A-C0AC-4F38-9B1B-2007F7EA7F86}"/>
    <cellStyle name="Обычный 3 5 4 2 2 2" xfId="1986" xr:uid="{62595AE8-3E1C-4F46-A3A3-E716BC086410}"/>
    <cellStyle name="Обычный 3 5 4 2 2 2 2" xfId="3108" xr:uid="{F54253CA-1F23-4E43-904A-8EA219281DFB}"/>
    <cellStyle name="Обычный 3 5 4 2 2 3" xfId="3109" xr:uid="{AC2E854F-348A-492B-AF7E-8E3FE1221312}"/>
    <cellStyle name="Обычный 3 5 4 2 3" xfId="1474" xr:uid="{F87492E4-169A-40E4-BA9C-8B55AAFF4DA8}"/>
    <cellStyle name="Обычный 3 5 4 2 3 2" xfId="3110" xr:uid="{E498A353-F298-436C-8306-3A64DC1C6FB1}"/>
    <cellStyle name="Обычный 3 5 4 2 4" xfId="3111" xr:uid="{3D8E1379-9439-4CD8-B237-42D31C36CCE2}"/>
    <cellStyle name="Обычный 3 5 4 3" xfId="706" xr:uid="{15B4E059-869F-475E-9A1C-2F7548D4CFC7}"/>
    <cellStyle name="Обычный 3 5 4 3 2" xfId="1730" xr:uid="{4FC8BB78-6595-43C8-8F95-D7467B6A6D06}"/>
    <cellStyle name="Обычный 3 5 4 3 2 2" xfId="3112" xr:uid="{883076E0-277F-443E-8DEE-4587D32F4CCF}"/>
    <cellStyle name="Обычный 3 5 4 3 3" xfId="3113" xr:uid="{5BC7200F-43FC-4BCE-948E-3A6E285E0180}"/>
    <cellStyle name="Обычный 3 5 4 4" xfId="1218" xr:uid="{6DF30004-2007-4FB3-B007-8FDA1211CC0A}"/>
    <cellStyle name="Обычный 3 5 4 4 2" xfId="3114" xr:uid="{D83D420B-406B-422A-94E7-96925379F486}"/>
    <cellStyle name="Обычный 3 5 4 5" xfId="3115" xr:uid="{45881189-AB96-4355-B8FE-DF47CC7410AB}"/>
    <cellStyle name="Обычный 3 5 5" xfId="322" xr:uid="{C14D0CA4-ED1E-434C-B9B2-2577B1CA474E}"/>
    <cellStyle name="Обычный 3 5 5 2" xfId="834" xr:uid="{D7AC7758-4E65-4330-B4AD-43AF56B848B2}"/>
    <cellStyle name="Обычный 3 5 5 2 2" xfId="1858" xr:uid="{79FE6D0D-7E49-4F58-9554-A25F8947D5F4}"/>
    <cellStyle name="Обычный 3 5 5 2 2 2" xfId="3116" xr:uid="{A17D8884-FF90-4A90-8F32-21DCEFF0F716}"/>
    <cellStyle name="Обычный 3 5 5 2 3" xfId="3117" xr:uid="{A9154532-13B7-4E02-B03A-EB58F39D118F}"/>
    <cellStyle name="Обычный 3 5 5 3" xfId="1346" xr:uid="{9A65E122-0139-47F1-B071-5F76A9A64EE8}"/>
    <cellStyle name="Обычный 3 5 5 3 2" xfId="3118" xr:uid="{99F30F14-4C88-4810-BA82-ABAB4E13DD7D}"/>
    <cellStyle name="Обычный 3 5 5 4" xfId="3119" xr:uid="{9097C117-512E-4333-80E4-6C09E0D10B39}"/>
    <cellStyle name="Обычный 3 5 6" xfId="578" xr:uid="{ED1B2E59-6336-41C8-BB97-41A720C13E7B}"/>
    <cellStyle name="Обычный 3 5 6 2" xfId="1602" xr:uid="{34435E64-2A9F-4455-942A-7A64E13B315E}"/>
    <cellStyle name="Обычный 3 5 6 2 2" xfId="3120" xr:uid="{CE00BFD0-819E-4BBF-9758-846559B7AE42}"/>
    <cellStyle name="Обычный 3 5 6 3" xfId="3121" xr:uid="{E1B057DC-BE09-4B5C-B4FB-70BFA4D2D457}"/>
    <cellStyle name="Обычный 3 5 7" xfId="1090" xr:uid="{2748F8AC-DD16-4D49-A9EA-C414671D5531}"/>
    <cellStyle name="Обычный 3 5 7 2" xfId="3122" xr:uid="{A6FE802B-476E-4B7F-ACB8-57C09C6CC9C8}"/>
    <cellStyle name="Обычный 3 5 8" xfId="3123" xr:uid="{6D841F68-7AE6-44E9-899C-CA06F03CF9A5}"/>
    <cellStyle name="Обычный 3 6" xfId="82" xr:uid="{127C5D54-1EDD-46B8-AE6E-19618CB9DCE5}"/>
    <cellStyle name="Обычный 3 6 2" xfId="146" xr:uid="{1D46CDAA-CF60-4407-B371-B8FAACA0F1C5}"/>
    <cellStyle name="Обычный 3 6 2 2" xfId="274" xr:uid="{9AC3B4B8-E8F9-48D2-8E5D-7E101EDE59A6}"/>
    <cellStyle name="Обычный 3 6 2 2 2" xfId="530" xr:uid="{55FE8CBB-C534-4374-B222-00F876CCD0DB}"/>
    <cellStyle name="Обычный 3 6 2 2 2 2" xfId="1042" xr:uid="{254D5626-C2EF-49D2-96E4-67743A5DDCC2}"/>
    <cellStyle name="Обычный 3 6 2 2 2 2 2" xfId="2066" xr:uid="{39170E67-8516-4E0A-8936-6884DEE3AAE1}"/>
    <cellStyle name="Обычный 3 6 2 2 2 2 2 2" xfId="3124" xr:uid="{E9926577-1E12-4BB9-A038-B385070F700F}"/>
    <cellStyle name="Обычный 3 6 2 2 2 2 3" xfId="3125" xr:uid="{7DD05FAA-8A1A-474A-AE9C-5A3ACD28044D}"/>
    <cellStyle name="Обычный 3 6 2 2 2 3" xfId="1554" xr:uid="{ABFC459C-19FC-475A-B4B5-C2138CA2DD96}"/>
    <cellStyle name="Обычный 3 6 2 2 2 3 2" xfId="3126" xr:uid="{910982FF-8E59-4A03-A9C0-4CB1B37E91C6}"/>
    <cellStyle name="Обычный 3 6 2 2 2 4" xfId="3127" xr:uid="{6001C85F-2094-459C-A643-52F40222C4BA}"/>
    <cellStyle name="Обычный 3 6 2 2 3" xfId="786" xr:uid="{36575C14-199B-4B61-89E0-1BC0AD194933}"/>
    <cellStyle name="Обычный 3 6 2 2 3 2" xfId="1810" xr:uid="{421FBABC-FE26-4EE2-A3DF-6B25FA5F4D63}"/>
    <cellStyle name="Обычный 3 6 2 2 3 2 2" xfId="3128" xr:uid="{4214EE65-3A9F-4361-AA19-45AFFA5840D5}"/>
    <cellStyle name="Обычный 3 6 2 2 3 3" xfId="3129" xr:uid="{08A6D2D3-A4A4-4345-8B00-7F4796141E6C}"/>
    <cellStyle name="Обычный 3 6 2 2 4" xfId="1298" xr:uid="{4D632A0A-5714-40C2-94C7-778C290F4410}"/>
    <cellStyle name="Обычный 3 6 2 2 4 2" xfId="3130" xr:uid="{731ED7CA-3597-41AA-884F-D3190B3339D7}"/>
    <cellStyle name="Обычный 3 6 2 2 5" xfId="3131" xr:uid="{9F2E158D-DA54-467E-AD4C-4410DC95540B}"/>
    <cellStyle name="Обычный 3 6 2 3" xfId="402" xr:uid="{246127BC-B0F1-4C5B-B473-19875956CCAF}"/>
    <cellStyle name="Обычный 3 6 2 3 2" xfId="914" xr:uid="{C85F08DF-88CE-498D-A3B4-41200440772A}"/>
    <cellStyle name="Обычный 3 6 2 3 2 2" xfId="1938" xr:uid="{4574582E-5A98-48EA-A4A1-B45A12B5942C}"/>
    <cellStyle name="Обычный 3 6 2 3 2 2 2" xfId="3132" xr:uid="{C636B973-3C3D-4C27-9A90-79E8842A640F}"/>
    <cellStyle name="Обычный 3 6 2 3 2 3" xfId="3133" xr:uid="{6818424D-F3B6-476A-9AC6-F22E2F61C3DA}"/>
    <cellStyle name="Обычный 3 6 2 3 3" xfId="1426" xr:uid="{8394E3CC-DB7D-49FB-98C8-60E7708B5B86}"/>
    <cellStyle name="Обычный 3 6 2 3 3 2" xfId="3134" xr:uid="{A63F2E5F-E4D2-49D4-84E4-2C02E71B7BEA}"/>
    <cellStyle name="Обычный 3 6 2 3 4" xfId="3135" xr:uid="{581DF205-A48B-4829-B712-E9E5B4D5D904}"/>
    <cellStyle name="Обычный 3 6 2 4" xfId="658" xr:uid="{8D155EF9-44B7-4031-8A08-26D4110278FA}"/>
    <cellStyle name="Обычный 3 6 2 4 2" xfId="1682" xr:uid="{510F5BCF-58BD-4C17-A975-40B891EC0045}"/>
    <cellStyle name="Обычный 3 6 2 4 2 2" xfId="3136" xr:uid="{7907DE5D-2577-48E6-AA44-1E11D9CE6167}"/>
    <cellStyle name="Обычный 3 6 2 4 3" xfId="3137" xr:uid="{43B8EBCF-CB88-4864-9D9D-2717AD3037DE}"/>
    <cellStyle name="Обычный 3 6 2 5" xfId="1170" xr:uid="{66AD8DBF-A6ED-420C-B680-49A3184AC6B9}"/>
    <cellStyle name="Обычный 3 6 2 5 2" xfId="3138" xr:uid="{F36ECFC5-699E-4C89-AAF8-03693D2CFB0A}"/>
    <cellStyle name="Обычный 3 6 2 6" xfId="3139" xr:uid="{535654EA-5AA0-4F8F-A317-31D0030C3935}"/>
    <cellStyle name="Обычный 3 6 3" xfId="210" xr:uid="{0DE19E20-01DC-4D91-AC3F-BCDE392E86C2}"/>
    <cellStyle name="Обычный 3 6 3 2" xfId="466" xr:uid="{8DC56937-D003-4731-9B57-3068BA6907F8}"/>
    <cellStyle name="Обычный 3 6 3 2 2" xfId="978" xr:uid="{E6953482-D50C-4A41-AE64-5EE53B495C03}"/>
    <cellStyle name="Обычный 3 6 3 2 2 2" xfId="2002" xr:uid="{97CC2E6F-200F-4603-B7D9-D55F02A674DE}"/>
    <cellStyle name="Обычный 3 6 3 2 2 2 2" xfId="3140" xr:uid="{165BDF33-801C-4D18-A650-BABD44EC5025}"/>
    <cellStyle name="Обычный 3 6 3 2 2 3" xfId="3141" xr:uid="{1F5741BB-811F-4833-A9A7-CA6EDB3C63EC}"/>
    <cellStyle name="Обычный 3 6 3 2 3" xfId="1490" xr:uid="{B9A59A59-D783-4F9E-927E-D5BBD22A667F}"/>
    <cellStyle name="Обычный 3 6 3 2 3 2" xfId="3142" xr:uid="{BC1CD73F-B8D5-4F50-9D9D-1A6A0F6F08FF}"/>
    <cellStyle name="Обычный 3 6 3 2 4" xfId="3143" xr:uid="{7D029503-0103-4C0F-B7CC-0305A7D80E86}"/>
    <cellStyle name="Обычный 3 6 3 3" xfId="722" xr:uid="{45949849-2395-49BC-AC25-9F32E8560798}"/>
    <cellStyle name="Обычный 3 6 3 3 2" xfId="1746" xr:uid="{FD625A61-670C-4254-8071-8EA47F989878}"/>
    <cellStyle name="Обычный 3 6 3 3 2 2" xfId="3144" xr:uid="{917E54E5-35F4-4159-9659-361773E3B5AD}"/>
    <cellStyle name="Обычный 3 6 3 3 3" xfId="3145" xr:uid="{1A5D4587-A72E-4418-BC7E-A69456C0157C}"/>
    <cellStyle name="Обычный 3 6 3 4" xfId="1234" xr:uid="{694EA8B0-3744-4641-BEAB-FF53A61F81A2}"/>
    <cellStyle name="Обычный 3 6 3 4 2" xfId="3146" xr:uid="{AD9BA496-7A5A-4C61-893A-76175C443195}"/>
    <cellStyle name="Обычный 3 6 3 5" xfId="3147" xr:uid="{B2EC49D1-3152-4AA8-9CFC-821A6B8801D2}"/>
    <cellStyle name="Обычный 3 6 4" xfId="338" xr:uid="{F065A920-DA9B-41E7-808F-9536FC19D4CC}"/>
    <cellStyle name="Обычный 3 6 4 2" xfId="850" xr:uid="{37FB4CC7-0868-41D5-ABA6-3D0DC208CD4D}"/>
    <cellStyle name="Обычный 3 6 4 2 2" xfId="1874" xr:uid="{B23C9B12-108B-41B8-AC39-208038FC641A}"/>
    <cellStyle name="Обычный 3 6 4 2 2 2" xfId="3148" xr:uid="{51856B9E-121C-4D62-B4D2-BC6D57D386E6}"/>
    <cellStyle name="Обычный 3 6 4 2 3" xfId="3149" xr:uid="{BC61AB77-23FB-4417-A37B-F7E12EFE5E3C}"/>
    <cellStyle name="Обычный 3 6 4 3" xfId="1362" xr:uid="{3F6D2E45-2FBB-41AE-A369-21B5EF2F3251}"/>
    <cellStyle name="Обычный 3 6 4 3 2" xfId="3150" xr:uid="{67160A2C-5093-4902-BE47-972369D47181}"/>
    <cellStyle name="Обычный 3 6 4 4" xfId="3151" xr:uid="{DB003D4C-0B18-4BE7-B9C3-145EBE04B246}"/>
    <cellStyle name="Обычный 3 6 5" xfId="594" xr:uid="{D53F9666-4F1B-49AA-962A-C839B4D0E6B9}"/>
    <cellStyle name="Обычный 3 6 5 2" xfId="1618" xr:uid="{BBF92A56-CC81-41DB-A764-637DC5C5C4B4}"/>
    <cellStyle name="Обычный 3 6 5 2 2" xfId="3152" xr:uid="{6F43D5B3-4D3A-45CB-8552-F48775D76514}"/>
    <cellStyle name="Обычный 3 6 5 3" xfId="3153" xr:uid="{0DD18B71-9185-4FED-B7D0-19A2FC0F8E72}"/>
    <cellStyle name="Обычный 3 6 6" xfId="1106" xr:uid="{D3A8DE26-B5BD-4938-9F6F-B5872215A06A}"/>
    <cellStyle name="Обычный 3 6 6 2" xfId="3154" xr:uid="{625E4AD8-35D5-413F-BF5D-556CAADED9E0}"/>
    <cellStyle name="Обычный 3 6 7" xfId="3155" xr:uid="{8DCA9909-7D29-4064-AACF-9AC5E45A325B}"/>
    <cellStyle name="Обычный 3 7" xfId="114" xr:uid="{1CA495AC-A075-4F36-9401-083FEE5B78DA}"/>
    <cellStyle name="Обычный 3 7 2" xfId="242" xr:uid="{55602C87-C20B-41C3-BA61-65D7ECA8E2EA}"/>
    <cellStyle name="Обычный 3 7 2 2" xfId="498" xr:uid="{425B1D19-B94C-4CC4-AE29-F7CB5A36CBF2}"/>
    <cellStyle name="Обычный 3 7 2 2 2" xfId="1010" xr:uid="{3C415643-6B33-4DDF-9818-8991E2826306}"/>
    <cellStyle name="Обычный 3 7 2 2 2 2" xfId="2034" xr:uid="{15429E1E-3332-4D19-B1EE-68A0A5903300}"/>
    <cellStyle name="Обычный 3 7 2 2 2 2 2" xfId="3156" xr:uid="{9D6BB8DE-C2ED-45DF-9DD8-A4DB16520303}"/>
    <cellStyle name="Обычный 3 7 2 2 2 3" xfId="3157" xr:uid="{02445862-47FE-486A-B246-AD42E8AB6741}"/>
    <cellStyle name="Обычный 3 7 2 2 3" xfId="1522" xr:uid="{53B684AB-1D3B-43FC-920B-B4CBA85D9B85}"/>
    <cellStyle name="Обычный 3 7 2 2 3 2" xfId="3158" xr:uid="{79605EF3-C1EA-4080-A8BB-99E32CEFA29B}"/>
    <cellStyle name="Обычный 3 7 2 2 4" xfId="3159" xr:uid="{992EA23A-4C2C-48D1-9E0D-81CF5CCFFB5E}"/>
    <cellStyle name="Обычный 3 7 2 3" xfId="754" xr:uid="{BFA233E5-42D3-4102-AE7F-383E5B34EE9B}"/>
    <cellStyle name="Обычный 3 7 2 3 2" xfId="1778" xr:uid="{6AD2A40E-2E1B-4855-8A25-13A8DA242857}"/>
    <cellStyle name="Обычный 3 7 2 3 2 2" xfId="3160" xr:uid="{647C8726-2948-4A41-AE92-EE36A78E5E78}"/>
    <cellStyle name="Обычный 3 7 2 3 3" xfId="3161" xr:uid="{20C2FDA9-EC02-4AB6-ABCB-F90FC75B93C9}"/>
    <cellStyle name="Обычный 3 7 2 4" xfId="1266" xr:uid="{14E9CC76-9833-4E5D-A2F4-261267A1C5EF}"/>
    <cellStyle name="Обычный 3 7 2 4 2" xfId="3162" xr:uid="{C6851D4B-653A-4CE6-A021-F08CB5D9849A}"/>
    <cellStyle name="Обычный 3 7 2 5" xfId="3163" xr:uid="{853556E6-7064-4CB9-B591-7EFFE0B74BBE}"/>
    <cellStyle name="Обычный 3 7 3" xfId="370" xr:uid="{9323921B-73CD-4ACB-803F-DB4D8403C8E3}"/>
    <cellStyle name="Обычный 3 7 3 2" xfId="882" xr:uid="{FF0782ED-C590-4555-9A91-9CECA5199D64}"/>
    <cellStyle name="Обычный 3 7 3 2 2" xfId="1906" xr:uid="{2B562984-4CC9-4ADD-A08E-5544D9C6BE6C}"/>
    <cellStyle name="Обычный 3 7 3 2 2 2" xfId="3164" xr:uid="{88437593-2FCD-4B6E-A940-A0F22DE8C198}"/>
    <cellStyle name="Обычный 3 7 3 2 3" xfId="3165" xr:uid="{762BB59F-192B-4769-99F4-F138A78FDE0F}"/>
    <cellStyle name="Обычный 3 7 3 3" xfId="1394" xr:uid="{984BF78C-06B8-42EC-AF88-255BBA91E7B5}"/>
    <cellStyle name="Обычный 3 7 3 3 2" xfId="3166" xr:uid="{24F08747-A116-48C1-AC45-E3D5C860229B}"/>
    <cellStyle name="Обычный 3 7 3 4" xfId="3167" xr:uid="{5ABF0B7D-A2C6-4376-86EE-7A6D9072EE80}"/>
    <cellStyle name="Обычный 3 7 4" xfId="626" xr:uid="{E3C7A072-2C5A-40AA-8CA8-1A69585EC031}"/>
    <cellStyle name="Обычный 3 7 4 2" xfId="1650" xr:uid="{173AFFC4-8F1D-484D-B30F-EB51097333B1}"/>
    <cellStyle name="Обычный 3 7 4 2 2" xfId="3168" xr:uid="{E106B209-4472-472A-ACE3-EA604ABD9D8D}"/>
    <cellStyle name="Обычный 3 7 4 3" xfId="3169" xr:uid="{38AC19FA-6C6B-49CB-B20D-8D18263B756A}"/>
    <cellStyle name="Обычный 3 7 5" xfId="1138" xr:uid="{9A23FECE-280F-451B-BFD5-D2A986FBF1D4}"/>
    <cellStyle name="Обычный 3 7 5 2" xfId="3170" xr:uid="{6974C3A7-921F-4DFA-8022-EE91C70F8CD0}"/>
    <cellStyle name="Обычный 3 7 6" xfId="3171" xr:uid="{3CF93BFE-15D4-4D5D-825B-B362681E0C36}"/>
    <cellStyle name="Обычный 3 8" xfId="178" xr:uid="{D7CB22EF-ABB4-47FA-B2ED-6FB294633ABC}"/>
    <cellStyle name="Обычный 3 8 2" xfId="434" xr:uid="{2030E3EE-4DCE-453E-B570-B3107DB5D61F}"/>
    <cellStyle name="Обычный 3 8 2 2" xfId="946" xr:uid="{0D80C9A5-F2E2-4511-89BB-9D2715AAF86C}"/>
    <cellStyle name="Обычный 3 8 2 2 2" xfId="1970" xr:uid="{99F4E72C-01C3-4C0F-8B05-4E8DC63C1CCE}"/>
    <cellStyle name="Обычный 3 8 2 2 2 2" xfId="3172" xr:uid="{74B6A48F-19DE-4C0D-A2BD-8F7DE46A61DD}"/>
    <cellStyle name="Обычный 3 8 2 2 3" xfId="3173" xr:uid="{AB91CE4D-2638-4B4C-ABFC-B804CF472F9B}"/>
    <cellStyle name="Обычный 3 8 2 3" xfId="1458" xr:uid="{F15ECE12-6B70-456A-9137-9C0114D6A74D}"/>
    <cellStyle name="Обычный 3 8 2 3 2" xfId="3174" xr:uid="{BEBC51F2-D155-4C4D-963F-6A3C15CCADCB}"/>
    <cellStyle name="Обычный 3 8 2 4" xfId="3175" xr:uid="{1E394130-7CF3-40B2-9211-8D5B7FEF3C3D}"/>
    <cellStyle name="Обычный 3 8 3" xfId="690" xr:uid="{92624949-898D-4815-9F57-1FA4A5EACFD5}"/>
    <cellStyle name="Обычный 3 8 3 2" xfId="1714" xr:uid="{0E4F7656-349D-4F77-A423-09426EAFE811}"/>
    <cellStyle name="Обычный 3 8 3 2 2" xfId="3176" xr:uid="{86340E6E-F8E0-42A6-886F-BCC9021E468C}"/>
    <cellStyle name="Обычный 3 8 3 3" xfId="3177" xr:uid="{925992BC-6AEB-4E16-A73A-EDF57CABCDEB}"/>
    <cellStyle name="Обычный 3 8 4" xfId="1202" xr:uid="{03AF8F36-860F-4CC8-BCCD-290C7FE8C947}"/>
    <cellStyle name="Обычный 3 8 4 2" xfId="3178" xr:uid="{3C49FFD3-3A59-4340-A8C6-03DBCE9C3C2C}"/>
    <cellStyle name="Обычный 3 8 5" xfId="3179" xr:uid="{0D239794-25BB-4E92-8EC5-A45AEB51D35E}"/>
    <cellStyle name="Обычный 3 9" xfId="306" xr:uid="{25A6598C-FA97-4A62-87C1-3B517C194499}"/>
    <cellStyle name="Обычный 3 9 2" xfId="818" xr:uid="{48FA94BB-B77D-40E3-AA71-C9BE88096232}"/>
    <cellStyle name="Обычный 3 9 2 2" xfId="1842" xr:uid="{493BF310-D7E6-4979-B6BF-805F7D21F3DD}"/>
    <cellStyle name="Обычный 3 9 2 2 2" xfId="3180" xr:uid="{4E865FB8-170D-4616-A57B-56603280059C}"/>
    <cellStyle name="Обычный 3 9 2 3" xfId="3181" xr:uid="{111450C8-833A-455A-956A-12234E26E6D7}"/>
    <cellStyle name="Обычный 3 9 3" xfId="1330" xr:uid="{9646A219-F9BB-49A3-80B1-70D36AE5D0CB}"/>
    <cellStyle name="Обычный 3 9 3 2" xfId="3182" xr:uid="{2601830D-6DE9-4F82-98E2-92CAA54C84CB}"/>
    <cellStyle name="Обычный 3 9 4" xfId="3183" xr:uid="{664D222C-E5A6-45D1-87AC-A61728A29756}"/>
    <cellStyle name="Обычный 30" xfId="2123" xr:uid="{DD3C7253-5B5F-42C2-857B-E6A14D46171F}"/>
    <cellStyle name="Обычный 31" xfId="2124" xr:uid="{69B2A09E-9F51-4816-8CFD-4CCCF34E7701}"/>
    <cellStyle name="Обычный 32" xfId="2125" xr:uid="{9FA3453D-C0E2-4E80-B4D3-51861E555CCE}"/>
    <cellStyle name="Обычный 33" xfId="2126" xr:uid="{C639F1A1-F407-4C4A-BAD2-B578D1934408}"/>
    <cellStyle name="Обычный 34" xfId="2127" xr:uid="{24BFC2F8-C495-48D9-AFA3-4C3424675730}"/>
    <cellStyle name="Обычный 35" xfId="2128" xr:uid="{69E6349C-432C-4EE8-8A48-206B0B2AD4B4}"/>
    <cellStyle name="Обычный 36" xfId="2129" xr:uid="{8D15280D-1593-40F6-89FC-DF3AEEABD944}"/>
    <cellStyle name="Обычный 37" xfId="2130" xr:uid="{0146817F-67F2-4A34-ADBB-2A8A46F28570}"/>
    <cellStyle name="Обычный 38" xfId="2131" xr:uid="{D23815AE-CA4A-4411-9D08-41A909507BD4}"/>
    <cellStyle name="Обычный 39" xfId="2132" xr:uid="{E64DFC12-17C0-4877-8760-73DC992612F1}"/>
    <cellStyle name="Обычный 4" xfId="56" xr:uid="{78068F25-0F40-4C3E-9D5B-33015BAC956C}"/>
    <cellStyle name="Обычный 4 2" xfId="2133" xr:uid="{1A96A604-8489-4E7D-8A85-25872B84859F}"/>
    <cellStyle name="Обычный 40" xfId="2134" xr:uid="{EAC1F0A7-972E-49A8-A3C1-15A2DDC8EAE2}"/>
    <cellStyle name="Обычный 41" xfId="2135" xr:uid="{B306C19B-4C92-43EB-9C0A-F52D8B04D280}"/>
    <cellStyle name="Обычный 42" xfId="2136" xr:uid="{0FA100DE-D3DB-43DF-A7F6-CADBF741F6BE}"/>
    <cellStyle name="Обычный 43" xfId="2137" xr:uid="{B8738989-4218-4C05-8079-BD8A3A477419}"/>
    <cellStyle name="Обычный 44" xfId="2138" xr:uid="{6EBC5887-646D-42B3-A5EE-BF765D08055B}"/>
    <cellStyle name="Обычный 45" xfId="2139" xr:uid="{18DFEA12-E0CA-4D23-8760-1F4B54245F75}"/>
    <cellStyle name="Обычный 46" xfId="2140" xr:uid="{BD94C01C-2C5E-4343-A47E-1EDEB04FBD7E}"/>
    <cellStyle name="Обычный 47" xfId="2141" xr:uid="{B8930F2B-87E8-42E0-A142-2B9D5A903803}"/>
    <cellStyle name="Обычный 48" xfId="2142" xr:uid="{DB7E798F-687B-488A-AD9D-F07A97D186CF}"/>
    <cellStyle name="Обычный 49" xfId="2143" xr:uid="{7B667476-8E3C-410F-9FB8-8EF4ED207775}"/>
    <cellStyle name="Обычный 5" xfId="81" xr:uid="{E43B1F2A-44E7-45BC-A524-455A81DA8D28}"/>
    <cellStyle name="Обычный 5 2" xfId="2144" xr:uid="{8C43702E-0488-4E9E-96D8-72393E724145}"/>
    <cellStyle name="Обычный 50" xfId="2145" xr:uid="{53B9AE2C-2BB9-4F9D-BD46-19B8E39AAC4C}"/>
    <cellStyle name="Обычный 51" xfId="2146" xr:uid="{B90E9B30-F0AA-4093-8694-9416CBD33BD4}"/>
    <cellStyle name="Обычный 52" xfId="2147" xr:uid="{0BF3DCF8-7E0D-49A7-B325-BB0362474831}"/>
    <cellStyle name="Обычный 53" xfId="2148" xr:uid="{0D29500E-EC41-4CDF-867A-DEFAE796968C}"/>
    <cellStyle name="Обычный 54" xfId="2149" xr:uid="{346DE9EC-DEEE-43C0-A52C-4566DE0633ED}"/>
    <cellStyle name="Обычный 55" xfId="2150" xr:uid="{E51EC83C-1737-465B-91E8-D10EC506E7EB}"/>
    <cellStyle name="Обычный 56" xfId="4209" xr:uid="{70CCA99C-633A-4BBC-AECD-A88BA43641A1}"/>
    <cellStyle name="Обычный 57" xfId="4210" xr:uid="{9779758C-27F0-4F02-A60B-6407008FC26E}"/>
    <cellStyle name="Обычный 6" xfId="2098" xr:uid="{9153233A-C9BA-4A2D-8E4C-A73E3F0651B7}"/>
    <cellStyle name="Обычный 6 2" xfId="3184" xr:uid="{215B7061-FFF6-4118-A3CA-EF3F7046831F}"/>
    <cellStyle name="Обычный 7" xfId="2151" xr:uid="{D5826821-0892-44F6-AEF9-0EDB5A262B44}"/>
    <cellStyle name="Обычный 8" xfId="2152" xr:uid="{E5568E75-E312-40AC-A4EC-D128EAC48927}"/>
    <cellStyle name="Обычный 9" xfId="2153" xr:uid="{B299A31F-2ECF-49DF-B8B2-FD0A7AD868B5}"/>
    <cellStyle name="Обычный_Setup" xfId="1" xr:uid="{4D5FAF3B-378D-426A-B636-AD09C6DA68AD}"/>
    <cellStyle name="Примечание 2" xfId="49" xr:uid="{54B9628C-40A9-4097-A277-AB9A31A6EA7E}"/>
    <cellStyle name="Процентный 2" xfId="2154" xr:uid="{AF66E233-47AF-4B47-8550-4A37C5306B20}"/>
    <cellStyle name="Финансовый 2" xfId="46" xr:uid="{C0254CCB-37E5-4606-853B-515C42C628CF}"/>
    <cellStyle name="Финансовый 2 10" xfId="563" xr:uid="{8C967377-277C-45E6-BE49-1234451CDEAD}"/>
    <cellStyle name="Финансовый 2 10 2" xfId="1587" xr:uid="{00AAAC61-6778-4073-B368-F3F803E3B796}"/>
    <cellStyle name="Финансовый 2 10 2 2" xfId="3185" xr:uid="{65092EE6-E460-4EB2-8123-E90855168311}"/>
    <cellStyle name="Финансовый 2 10 3" xfId="3186" xr:uid="{8F49FFB4-09ED-4BFF-965F-CA0ACA8FAA7F}"/>
    <cellStyle name="Финансовый 2 11" xfId="1075" xr:uid="{1327B620-7E33-4D9C-ACF8-336C4FFF658B}"/>
    <cellStyle name="Финансовый 2 11 2" xfId="3187" xr:uid="{06C05B0C-7B59-49A5-AD0B-E502CE084D70}"/>
    <cellStyle name="Финансовый 2 12" xfId="3188" xr:uid="{96916B9B-3211-4CD1-A3F3-DC62EB512C44}"/>
    <cellStyle name="Финансовый 2 2" xfId="51" xr:uid="{EB9398D7-9B0F-4DF5-914F-8CE5A9D7D2AA}"/>
    <cellStyle name="Финансовый 2 2 10" xfId="1077" xr:uid="{6D7C2C66-BC59-4282-B6F8-5EEE13E89C31}"/>
    <cellStyle name="Финансовый 2 2 10 2" xfId="3189" xr:uid="{6BEC583E-5856-479F-87F0-81240014F971}"/>
    <cellStyle name="Финансовый 2 2 11" xfId="3190" xr:uid="{172328AC-37D3-4D32-86BD-E3AEAE49393D}"/>
    <cellStyle name="Финансовый 2 2 2" xfId="55" xr:uid="{883F1862-06AC-4691-A383-18B635896AEB}"/>
    <cellStyle name="Финансовый 2 2 2 10" xfId="3191" xr:uid="{57B20807-C1BE-4494-B68D-B86027783F3A}"/>
    <cellStyle name="Финансовый 2 2 2 2" xfId="64" xr:uid="{67890872-0928-4CAF-A034-DA7D9A0B5FE7}"/>
    <cellStyle name="Финансовый 2 2 2 2 2" xfId="80" xr:uid="{CAA719BD-23A1-47A6-8CD0-19E43AAAD861}"/>
    <cellStyle name="Финансовый 2 2 2 2 2 2" xfId="113" xr:uid="{FC4947DF-D882-471D-B89F-7757406FF125}"/>
    <cellStyle name="Финансовый 2 2 2 2 2 2 2" xfId="177" xr:uid="{A379FB47-E51F-47B4-93B5-7EC651B5C09F}"/>
    <cellStyle name="Финансовый 2 2 2 2 2 2 2 2" xfId="305" xr:uid="{B810264D-1650-4754-946C-89453E4D3900}"/>
    <cellStyle name="Финансовый 2 2 2 2 2 2 2 2 2" xfId="561" xr:uid="{53AD267E-6D8A-4EDC-B574-752EAA4C3E74}"/>
    <cellStyle name="Финансовый 2 2 2 2 2 2 2 2 2 2" xfId="1073" xr:uid="{12AF5898-D807-44CD-8CC6-F7F64B045FE7}"/>
    <cellStyle name="Финансовый 2 2 2 2 2 2 2 2 2 2 2" xfId="2097" xr:uid="{2B1C36EC-D83B-4327-AFD5-0EE96ADDDF07}"/>
    <cellStyle name="Финансовый 2 2 2 2 2 2 2 2 2 2 2 2" xfId="3192" xr:uid="{A36EA8AC-83D5-4B9A-AB75-CA00061A272F}"/>
    <cellStyle name="Финансовый 2 2 2 2 2 2 2 2 2 2 3" xfId="3193" xr:uid="{917D8C3A-F312-4C9A-BEF5-B5E7A30423AE}"/>
    <cellStyle name="Финансовый 2 2 2 2 2 2 2 2 2 3" xfId="1585" xr:uid="{B55DBDFB-BFEF-447B-8CBE-712957755866}"/>
    <cellStyle name="Финансовый 2 2 2 2 2 2 2 2 2 3 2" xfId="3194" xr:uid="{33022A0A-97C8-4B91-A5DD-B51B44074787}"/>
    <cellStyle name="Финансовый 2 2 2 2 2 2 2 2 2 4" xfId="3195" xr:uid="{C4592533-FB58-485F-B322-FCE753A4A68A}"/>
    <cellStyle name="Финансовый 2 2 2 2 2 2 2 2 3" xfId="817" xr:uid="{07476B7E-7F31-42C7-B92C-3267C87571E0}"/>
    <cellStyle name="Финансовый 2 2 2 2 2 2 2 2 3 2" xfId="1841" xr:uid="{7C873DC0-F874-4328-90B8-198CE9484D4C}"/>
    <cellStyle name="Финансовый 2 2 2 2 2 2 2 2 3 2 2" xfId="3196" xr:uid="{1BB2A12F-1A3E-49B9-A4F7-E8AEDA8CF27F}"/>
    <cellStyle name="Финансовый 2 2 2 2 2 2 2 2 3 3" xfId="3197" xr:uid="{BCC1619C-1F3B-4356-AC84-E2566B1F51E7}"/>
    <cellStyle name="Финансовый 2 2 2 2 2 2 2 2 4" xfId="1329" xr:uid="{7F0062D6-ED36-4DAF-80A4-52B293696932}"/>
    <cellStyle name="Финансовый 2 2 2 2 2 2 2 2 4 2" xfId="3198" xr:uid="{C7A5C6FF-6C1B-447C-A0B3-E119C2D13342}"/>
    <cellStyle name="Финансовый 2 2 2 2 2 2 2 2 5" xfId="3199" xr:uid="{48E8BC95-75F1-4FCF-927A-1650538CFBFF}"/>
    <cellStyle name="Финансовый 2 2 2 2 2 2 2 3" xfId="433" xr:uid="{7BB72150-38D8-47A2-8D9F-9BF99C366FDC}"/>
    <cellStyle name="Финансовый 2 2 2 2 2 2 2 3 2" xfId="945" xr:uid="{61D9E86E-AEB6-4FDA-8678-D0EB93ADB1F5}"/>
    <cellStyle name="Финансовый 2 2 2 2 2 2 2 3 2 2" xfId="1969" xr:uid="{AB82AF0E-A7CA-4144-B10F-259C34A79C65}"/>
    <cellStyle name="Финансовый 2 2 2 2 2 2 2 3 2 2 2" xfId="3200" xr:uid="{C44E08DF-AE90-4246-B872-C5395D72C0F9}"/>
    <cellStyle name="Финансовый 2 2 2 2 2 2 2 3 2 3" xfId="3201" xr:uid="{6FA3CD8A-C582-41D6-A9FC-257ACC653701}"/>
    <cellStyle name="Финансовый 2 2 2 2 2 2 2 3 3" xfId="1457" xr:uid="{CD8E5F79-058B-4113-9EF9-EFD65F0DDAE1}"/>
    <cellStyle name="Финансовый 2 2 2 2 2 2 2 3 3 2" xfId="3202" xr:uid="{639F4335-D079-4FF0-822E-60D64F20E467}"/>
    <cellStyle name="Финансовый 2 2 2 2 2 2 2 3 4" xfId="3203" xr:uid="{7BDEC7B6-765D-47C8-90D7-18059ECBD24B}"/>
    <cellStyle name="Финансовый 2 2 2 2 2 2 2 4" xfId="689" xr:uid="{DFB0FD4D-F455-40EA-9B59-2F8F52155F0C}"/>
    <cellStyle name="Финансовый 2 2 2 2 2 2 2 4 2" xfId="1713" xr:uid="{E0765C65-B207-4E3A-BDDA-8DF730F723F4}"/>
    <cellStyle name="Финансовый 2 2 2 2 2 2 2 4 2 2" xfId="3204" xr:uid="{B0D4E0EE-8A81-4B3D-B9B9-70BAA24830A1}"/>
    <cellStyle name="Финансовый 2 2 2 2 2 2 2 4 3" xfId="3205" xr:uid="{7AE4D423-E2CA-419C-80B9-9D7C1C081EDF}"/>
    <cellStyle name="Финансовый 2 2 2 2 2 2 2 5" xfId="1201" xr:uid="{BBF3E038-FF56-4DBA-A254-F6E8C221915B}"/>
    <cellStyle name="Финансовый 2 2 2 2 2 2 2 5 2" xfId="3206" xr:uid="{A56D8236-EF36-482A-805F-4E644FCAF2DA}"/>
    <cellStyle name="Финансовый 2 2 2 2 2 2 2 6" xfId="3207" xr:uid="{274C82BB-6EE9-435F-8FCD-7152E4D50F0A}"/>
    <cellStyle name="Финансовый 2 2 2 2 2 2 3" xfId="241" xr:uid="{56DF70BE-5671-4B6D-B7F1-5E59B4769B86}"/>
    <cellStyle name="Финансовый 2 2 2 2 2 2 3 2" xfId="497" xr:uid="{4A1EE448-516F-409E-9DCC-95B787C7A4DD}"/>
    <cellStyle name="Финансовый 2 2 2 2 2 2 3 2 2" xfId="1009" xr:uid="{9D26A2DA-8C0B-4C78-B08A-AA5F42A6CB30}"/>
    <cellStyle name="Финансовый 2 2 2 2 2 2 3 2 2 2" xfId="2033" xr:uid="{0B3E0254-6588-41AB-8862-D01238B0538F}"/>
    <cellStyle name="Финансовый 2 2 2 2 2 2 3 2 2 2 2" xfId="3208" xr:uid="{A7C7CB42-9C45-490F-B6AD-FE5ABF734D78}"/>
    <cellStyle name="Финансовый 2 2 2 2 2 2 3 2 2 3" xfId="3209" xr:uid="{3C31B31B-5AF7-4D32-AC2D-50F90D74CAFE}"/>
    <cellStyle name="Финансовый 2 2 2 2 2 2 3 2 3" xfId="1521" xr:uid="{0E3C0AA7-975F-4ED4-9DCE-6E6B278DB56F}"/>
    <cellStyle name="Финансовый 2 2 2 2 2 2 3 2 3 2" xfId="3210" xr:uid="{C2506E11-9601-4470-B71F-595A511AD542}"/>
    <cellStyle name="Финансовый 2 2 2 2 2 2 3 2 4" xfId="3211" xr:uid="{46CA3AFF-86D1-460B-8006-DA40337A97E7}"/>
    <cellStyle name="Финансовый 2 2 2 2 2 2 3 3" xfId="753" xr:uid="{927127BC-F226-48D8-92DA-E726B1AD2159}"/>
    <cellStyle name="Финансовый 2 2 2 2 2 2 3 3 2" xfId="1777" xr:uid="{BFFC6A8E-134A-4A92-BA4D-49BFBE354796}"/>
    <cellStyle name="Финансовый 2 2 2 2 2 2 3 3 2 2" xfId="3212" xr:uid="{FB6F072B-6B97-4480-8B83-AD5D77191BDA}"/>
    <cellStyle name="Финансовый 2 2 2 2 2 2 3 3 3" xfId="3213" xr:uid="{A42DD82D-420C-4303-82B6-58253C826446}"/>
    <cellStyle name="Финансовый 2 2 2 2 2 2 3 4" xfId="1265" xr:uid="{F7348E40-B606-4476-8D09-76486288170B}"/>
    <cellStyle name="Финансовый 2 2 2 2 2 2 3 4 2" xfId="3214" xr:uid="{3599C06E-741A-45CC-A276-5F320DE8706F}"/>
    <cellStyle name="Финансовый 2 2 2 2 2 2 3 5" xfId="3215" xr:uid="{546B4B55-D2C7-4602-A2AD-B94C9CCF123A}"/>
    <cellStyle name="Финансовый 2 2 2 2 2 2 4" xfId="369" xr:uid="{504315BE-7E5A-4627-B573-BC609F4BFEFB}"/>
    <cellStyle name="Финансовый 2 2 2 2 2 2 4 2" xfId="881" xr:uid="{8F5B3696-BF79-4D77-907B-8501BCC5FD4B}"/>
    <cellStyle name="Финансовый 2 2 2 2 2 2 4 2 2" xfId="1905" xr:uid="{A7F2B1B0-67EA-4ECC-A4D2-F5E7498E30A1}"/>
    <cellStyle name="Финансовый 2 2 2 2 2 2 4 2 2 2" xfId="3216" xr:uid="{357A0001-A564-43D9-A6F6-03EAD6D48D78}"/>
    <cellStyle name="Финансовый 2 2 2 2 2 2 4 2 3" xfId="3217" xr:uid="{E4F17981-CD3A-4719-8191-3D4B74E43538}"/>
    <cellStyle name="Финансовый 2 2 2 2 2 2 4 3" xfId="1393" xr:uid="{4D03719E-A462-4F6F-A82E-6A49E5820E80}"/>
    <cellStyle name="Финансовый 2 2 2 2 2 2 4 3 2" xfId="3218" xr:uid="{632C2A87-9572-4675-A44F-5FF314D5F115}"/>
    <cellStyle name="Финансовый 2 2 2 2 2 2 4 4" xfId="3219" xr:uid="{E737AFE0-15AC-4878-A0A4-F3BE576EC5D5}"/>
    <cellStyle name="Финансовый 2 2 2 2 2 2 5" xfId="625" xr:uid="{557F1DB0-A04C-49BF-816C-134BAD1ADBBD}"/>
    <cellStyle name="Финансовый 2 2 2 2 2 2 5 2" xfId="1649" xr:uid="{E7D8F62A-1F55-4D94-AE02-F712C3729F1F}"/>
    <cellStyle name="Финансовый 2 2 2 2 2 2 5 2 2" xfId="3220" xr:uid="{858E5F16-2EE5-48AF-83F4-4017875D5124}"/>
    <cellStyle name="Финансовый 2 2 2 2 2 2 5 3" xfId="3221" xr:uid="{08A6AC6B-F52E-423A-ADF6-924AB1D4383E}"/>
    <cellStyle name="Финансовый 2 2 2 2 2 2 6" xfId="1137" xr:uid="{F77CF55F-3FD8-4461-9544-882EE7EAA074}"/>
    <cellStyle name="Финансовый 2 2 2 2 2 2 6 2" xfId="3222" xr:uid="{ADEA3BB4-88D9-4A63-AEE2-E91710F35E85}"/>
    <cellStyle name="Финансовый 2 2 2 2 2 2 7" xfId="3223" xr:uid="{42429D60-4763-4964-B079-1F0380FD13AE}"/>
    <cellStyle name="Финансовый 2 2 2 2 2 3" xfId="145" xr:uid="{49DAB8D6-2718-44E6-8F8C-FBB587AF958D}"/>
    <cellStyle name="Финансовый 2 2 2 2 2 3 2" xfId="273" xr:uid="{377EF37A-536D-4971-A7E4-DF28B862187C}"/>
    <cellStyle name="Финансовый 2 2 2 2 2 3 2 2" xfId="529" xr:uid="{9F31903E-AD04-4C19-936A-DDF575619B16}"/>
    <cellStyle name="Финансовый 2 2 2 2 2 3 2 2 2" xfId="1041" xr:uid="{B3FE4AD2-9E68-4B84-985A-A35DB680C973}"/>
    <cellStyle name="Финансовый 2 2 2 2 2 3 2 2 2 2" xfId="2065" xr:uid="{9B5C5076-EC8A-4389-8410-2C5ED0AA68CE}"/>
    <cellStyle name="Финансовый 2 2 2 2 2 3 2 2 2 2 2" xfId="3224" xr:uid="{3EF5A125-D469-40B9-B46F-423B762D9CD4}"/>
    <cellStyle name="Финансовый 2 2 2 2 2 3 2 2 2 3" xfId="3225" xr:uid="{FEDD62D9-1E35-4907-8324-C3531584298E}"/>
    <cellStyle name="Финансовый 2 2 2 2 2 3 2 2 3" xfId="1553" xr:uid="{63CA0631-E6D6-4C7F-AE67-6D257374D63F}"/>
    <cellStyle name="Финансовый 2 2 2 2 2 3 2 2 3 2" xfId="3226" xr:uid="{9F217A42-4BEB-4880-8739-EEBAE3F19EDB}"/>
    <cellStyle name="Финансовый 2 2 2 2 2 3 2 2 4" xfId="3227" xr:uid="{DA3A19E9-B28D-4C7E-A6FE-8D086FC9CA92}"/>
    <cellStyle name="Финансовый 2 2 2 2 2 3 2 3" xfId="785" xr:uid="{FF7EEDF0-D4B5-41A9-B11C-118BE6AB80D6}"/>
    <cellStyle name="Финансовый 2 2 2 2 2 3 2 3 2" xfId="1809" xr:uid="{4757F441-9C59-4546-9FA4-BF7B868335D5}"/>
    <cellStyle name="Финансовый 2 2 2 2 2 3 2 3 2 2" xfId="3228" xr:uid="{BB6DA8BA-AB39-4039-86CF-ABA23936852B}"/>
    <cellStyle name="Финансовый 2 2 2 2 2 3 2 3 3" xfId="3229" xr:uid="{756D40FC-AA0E-4428-ADBF-CB27019EABD3}"/>
    <cellStyle name="Финансовый 2 2 2 2 2 3 2 4" xfId="1297" xr:uid="{8ABF7F2C-9D79-4F97-9478-B99E16DA76B3}"/>
    <cellStyle name="Финансовый 2 2 2 2 2 3 2 4 2" xfId="3230" xr:uid="{A8A97242-07AA-49E7-BEBE-AAA4B5C13425}"/>
    <cellStyle name="Финансовый 2 2 2 2 2 3 2 5" xfId="3231" xr:uid="{4478DB4A-9383-429C-B37F-6016D38EB0F8}"/>
    <cellStyle name="Финансовый 2 2 2 2 2 3 3" xfId="401" xr:uid="{1DE8CEE4-D0AD-4A7A-8E76-9DC5C420BDE9}"/>
    <cellStyle name="Финансовый 2 2 2 2 2 3 3 2" xfId="913" xr:uid="{0A7E5800-2C81-48A4-B169-3E14F0398929}"/>
    <cellStyle name="Финансовый 2 2 2 2 2 3 3 2 2" xfId="1937" xr:uid="{8DCE30A5-0EDC-48A2-841E-CB30A0AFA865}"/>
    <cellStyle name="Финансовый 2 2 2 2 2 3 3 2 2 2" xfId="3232" xr:uid="{E5DB0984-B5B2-4D48-82A0-2321D663EE86}"/>
    <cellStyle name="Финансовый 2 2 2 2 2 3 3 2 3" xfId="3233" xr:uid="{A277C450-1B08-408C-A58E-3F781764CE17}"/>
    <cellStyle name="Финансовый 2 2 2 2 2 3 3 3" xfId="1425" xr:uid="{2CED6E96-40E0-4DDF-ACE3-92742532A07D}"/>
    <cellStyle name="Финансовый 2 2 2 2 2 3 3 3 2" xfId="3234" xr:uid="{FFF6D429-C697-455C-AC82-9315A250B843}"/>
    <cellStyle name="Финансовый 2 2 2 2 2 3 3 4" xfId="3235" xr:uid="{5814351E-D44A-44D6-A5D9-D30EEAB9B17F}"/>
    <cellStyle name="Финансовый 2 2 2 2 2 3 4" xfId="657" xr:uid="{D691D23F-8237-45DA-AF63-008D534D7874}"/>
    <cellStyle name="Финансовый 2 2 2 2 2 3 4 2" xfId="1681" xr:uid="{071B1E3C-C28C-4DEB-B05D-3BDD6E7B85EA}"/>
    <cellStyle name="Финансовый 2 2 2 2 2 3 4 2 2" xfId="3236" xr:uid="{612F4FAA-05D4-45B1-8E10-F875E413CE16}"/>
    <cellStyle name="Финансовый 2 2 2 2 2 3 4 3" xfId="3237" xr:uid="{E231D0BF-1E73-4A5C-B6C1-B444C4DFB9E5}"/>
    <cellStyle name="Финансовый 2 2 2 2 2 3 5" xfId="1169" xr:uid="{A3585578-D81F-4478-9A39-77EFE163C862}"/>
    <cellStyle name="Финансовый 2 2 2 2 2 3 5 2" xfId="3238" xr:uid="{62C66E86-017B-445E-ABBE-CA2F9BC15BD2}"/>
    <cellStyle name="Финансовый 2 2 2 2 2 3 6" xfId="3239" xr:uid="{AC4BED87-5AC4-4D1D-B3FC-321327D25891}"/>
    <cellStyle name="Финансовый 2 2 2 2 2 4" xfId="209" xr:uid="{CCCC34F0-5229-4A6E-8CBE-E4B993A2829F}"/>
    <cellStyle name="Финансовый 2 2 2 2 2 4 2" xfId="465" xr:uid="{ABB38235-AEBC-4C76-B269-773F79BFCFBF}"/>
    <cellStyle name="Финансовый 2 2 2 2 2 4 2 2" xfId="977" xr:uid="{3CDF5551-8A77-4F67-BC9B-86748AE68159}"/>
    <cellStyle name="Финансовый 2 2 2 2 2 4 2 2 2" xfId="2001" xr:uid="{C92E7827-3950-4320-905C-7A8842CED503}"/>
    <cellStyle name="Финансовый 2 2 2 2 2 4 2 2 2 2" xfId="3240" xr:uid="{9D6B02CC-52EA-42F4-9308-016D55560926}"/>
    <cellStyle name="Финансовый 2 2 2 2 2 4 2 2 3" xfId="3241" xr:uid="{7276DF1D-A61B-45F5-BDDB-E86CEFC354B6}"/>
    <cellStyle name="Финансовый 2 2 2 2 2 4 2 3" xfId="1489" xr:uid="{8A9164B7-C2C0-4D91-B5C3-92EABFF295FC}"/>
    <cellStyle name="Финансовый 2 2 2 2 2 4 2 3 2" xfId="3242" xr:uid="{1B5F0F55-8C2D-43A7-9B43-19F54E5D5275}"/>
    <cellStyle name="Финансовый 2 2 2 2 2 4 2 4" xfId="3243" xr:uid="{430DA846-C62E-4632-BAE2-B07F48803F0F}"/>
    <cellStyle name="Финансовый 2 2 2 2 2 4 3" xfId="721" xr:uid="{FF520C34-FC49-4181-A07E-56322D4C34A0}"/>
    <cellStyle name="Финансовый 2 2 2 2 2 4 3 2" xfId="1745" xr:uid="{6431B985-23E1-47F0-8FFA-E03CA6F1FEC6}"/>
    <cellStyle name="Финансовый 2 2 2 2 2 4 3 2 2" xfId="3244" xr:uid="{CD1AD03A-F9A5-4BC7-BC5E-9AE818B88CCB}"/>
    <cellStyle name="Финансовый 2 2 2 2 2 4 3 3" xfId="3245" xr:uid="{B3FD6A6A-BD16-498D-95C2-271486A65B59}"/>
    <cellStyle name="Финансовый 2 2 2 2 2 4 4" xfId="1233" xr:uid="{B1BA7E7F-1088-4CFE-BBEB-9A9980D39B9A}"/>
    <cellStyle name="Финансовый 2 2 2 2 2 4 4 2" xfId="3246" xr:uid="{3C66345E-50BE-4242-9321-E4000EF48CE6}"/>
    <cellStyle name="Финансовый 2 2 2 2 2 4 5" xfId="3247" xr:uid="{4A81AECF-2563-4001-A895-5AC9FC2D7363}"/>
    <cellStyle name="Финансовый 2 2 2 2 2 5" xfId="337" xr:uid="{38F643F6-721F-4194-8E20-9FE7BA09ADBD}"/>
    <cellStyle name="Финансовый 2 2 2 2 2 5 2" xfId="849" xr:uid="{43EF234D-0BD9-468D-8D2A-C4AB39FA8277}"/>
    <cellStyle name="Финансовый 2 2 2 2 2 5 2 2" xfId="1873" xr:uid="{ABF06177-2778-47A1-986C-48E604377124}"/>
    <cellStyle name="Финансовый 2 2 2 2 2 5 2 2 2" xfId="3248" xr:uid="{A9B21FC2-071E-45B4-A249-06905C448C8E}"/>
    <cellStyle name="Финансовый 2 2 2 2 2 5 2 3" xfId="3249" xr:uid="{F9B852AD-A7D5-4D7B-855C-D423EECB2C5A}"/>
    <cellStyle name="Финансовый 2 2 2 2 2 5 3" xfId="1361" xr:uid="{94D695E8-0321-4438-ABFF-F829647FEDB5}"/>
    <cellStyle name="Финансовый 2 2 2 2 2 5 3 2" xfId="3250" xr:uid="{D7830F6B-4B14-498B-A118-62C8B8791CE9}"/>
    <cellStyle name="Финансовый 2 2 2 2 2 5 4" xfId="3251" xr:uid="{817A1951-0D17-4A78-B7EE-7C817F377FFF}"/>
    <cellStyle name="Финансовый 2 2 2 2 2 6" xfId="593" xr:uid="{EF92F686-AF65-4694-9D69-1D5B9DD7F5EA}"/>
    <cellStyle name="Финансовый 2 2 2 2 2 6 2" xfId="1617" xr:uid="{0D9151D5-8E6F-44B8-91B6-6F857A929903}"/>
    <cellStyle name="Финансовый 2 2 2 2 2 6 2 2" xfId="3252" xr:uid="{36DB876D-6137-438E-98D9-54A74EEA8276}"/>
    <cellStyle name="Финансовый 2 2 2 2 2 6 3" xfId="3253" xr:uid="{E1B2EBF8-BC6D-4D23-9841-F3C8CC4FDA6F}"/>
    <cellStyle name="Финансовый 2 2 2 2 2 7" xfId="1105" xr:uid="{8567D1CA-0F28-424A-8083-21D637FEA8FB}"/>
    <cellStyle name="Финансовый 2 2 2 2 2 7 2" xfId="3254" xr:uid="{76F7F58F-4408-4537-A477-71E4E8DDE4B7}"/>
    <cellStyle name="Финансовый 2 2 2 2 2 8" xfId="3255" xr:uid="{481D116B-9128-4A60-B5AD-3E3851CA408B}"/>
    <cellStyle name="Финансовый 2 2 2 2 3" xfId="97" xr:uid="{9B37287D-E87D-4DD0-B43F-A0051427C6BB}"/>
    <cellStyle name="Финансовый 2 2 2 2 3 2" xfId="161" xr:uid="{C670829C-D4FD-4679-97BC-E630BE8C96A4}"/>
    <cellStyle name="Финансовый 2 2 2 2 3 2 2" xfId="289" xr:uid="{4068FF3C-BDA1-4222-8870-D9D0C84ADB81}"/>
    <cellStyle name="Финансовый 2 2 2 2 3 2 2 2" xfId="545" xr:uid="{6DDCA713-FFAA-4EB3-8E26-CC27FB78DED1}"/>
    <cellStyle name="Финансовый 2 2 2 2 3 2 2 2 2" xfId="1057" xr:uid="{33B890D4-7D2A-4D86-BEF1-2E2CC145C295}"/>
    <cellStyle name="Финансовый 2 2 2 2 3 2 2 2 2 2" xfId="2081" xr:uid="{53F2FCBF-D1FA-42E0-9F89-D7D3852D5935}"/>
    <cellStyle name="Финансовый 2 2 2 2 3 2 2 2 2 2 2" xfId="3256" xr:uid="{26BDB9D0-9A36-4D4F-8F91-50442F7AA80D}"/>
    <cellStyle name="Финансовый 2 2 2 2 3 2 2 2 2 3" xfId="3257" xr:uid="{413DEBFF-19FC-4619-A5EA-D174B06AF719}"/>
    <cellStyle name="Финансовый 2 2 2 2 3 2 2 2 3" xfId="1569" xr:uid="{DA04ED96-D89D-4096-9C3E-6693CBC0361F}"/>
    <cellStyle name="Финансовый 2 2 2 2 3 2 2 2 3 2" xfId="3258" xr:uid="{037C5462-6383-4B67-875D-C1B0F325CDC6}"/>
    <cellStyle name="Финансовый 2 2 2 2 3 2 2 2 4" xfId="3259" xr:uid="{90D0B59E-42BF-4145-AB0F-C02CD8A1CB67}"/>
    <cellStyle name="Финансовый 2 2 2 2 3 2 2 3" xfId="801" xr:uid="{A5D1593E-C3CC-4083-9F07-7435D2F5A780}"/>
    <cellStyle name="Финансовый 2 2 2 2 3 2 2 3 2" xfId="1825" xr:uid="{9A7F8A41-6B4E-4D4E-9AAF-C959ACBC2346}"/>
    <cellStyle name="Финансовый 2 2 2 2 3 2 2 3 2 2" xfId="3260" xr:uid="{F6477068-927C-4EDF-80B4-8A6D6AAC4A96}"/>
    <cellStyle name="Финансовый 2 2 2 2 3 2 2 3 3" xfId="3261" xr:uid="{A5097021-DEB9-4CDE-B0A2-980C9D792862}"/>
    <cellStyle name="Финансовый 2 2 2 2 3 2 2 4" xfId="1313" xr:uid="{A35A8715-4FBD-46F3-A1A3-BDA78474EC14}"/>
    <cellStyle name="Финансовый 2 2 2 2 3 2 2 4 2" xfId="3262" xr:uid="{5EB72106-8E61-4F44-87FA-F406D46A1D24}"/>
    <cellStyle name="Финансовый 2 2 2 2 3 2 2 5" xfId="3263" xr:uid="{0E1B6CBB-03FC-4688-B904-D45E6FFC3479}"/>
    <cellStyle name="Финансовый 2 2 2 2 3 2 3" xfId="417" xr:uid="{998321FC-111C-4C74-8C07-504B8E1140E4}"/>
    <cellStyle name="Финансовый 2 2 2 2 3 2 3 2" xfId="929" xr:uid="{D77D8212-7EDF-4939-84E8-2DFB9163C6A0}"/>
    <cellStyle name="Финансовый 2 2 2 2 3 2 3 2 2" xfId="1953" xr:uid="{A903612A-0E2F-4521-8AD4-ACF481AD2099}"/>
    <cellStyle name="Финансовый 2 2 2 2 3 2 3 2 2 2" xfId="3264" xr:uid="{544C521C-CD61-4061-AF83-19DE01562374}"/>
    <cellStyle name="Финансовый 2 2 2 2 3 2 3 2 3" xfId="3265" xr:uid="{8C7A4843-3F90-4B98-AB76-6C383597B0FC}"/>
    <cellStyle name="Финансовый 2 2 2 2 3 2 3 3" xfId="1441" xr:uid="{69B7D478-B278-4B45-B3A8-FFE5AA18D855}"/>
    <cellStyle name="Финансовый 2 2 2 2 3 2 3 3 2" xfId="3266" xr:uid="{C32BD83E-1419-42FA-A3CD-85A799B32ADF}"/>
    <cellStyle name="Финансовый 2 2 2 2 3 2 3 4" xfId="3267" xr:uid="{3E58EC09-9A73-46F9-87B3-282FC95256C5}"/>
    <cellStyle name="Финансовый 2 2 2 2 3 2 4" xfId="673" xr:uid="{863DA854-82AD-41AA-B56B-A45B96D6C2B6}"/>
    <cellStyle name="Финансовый 2 2 2 2 3 2 4 2" xfId="1697" xr:uid="{D63113FC-C3C6-4BF2-B436-C603240B5B18}"/>
    <cellStyle name="Финансовый 2 2 2 2 3 2 4 2 2" xfId="3268" xr:uid="{117E2B5B-E4D5-4D6A-960D-ABE64262F34E}"/>
    <cellStyle name="Финансовый 2 2 2 2 3 2 4 3" xfId="3269" xr:uid="{7E5B7E05-539D-47DE-9DA5-1E55075758D3}"/>
    <cellStyle name="Финансовый 2 2 2 2 3 2 5" xfId="1185" xr:uid="{56F9353A-F151-49F1-BBDA-9A9C02F083B8}"/>
    <cellStyle name="Финансовый 2 2 2 2 3 2 5 2" xfId="3270" xr:uid="{DF545B7A-A0BB-41E3-B045-5894943D0421}"/>
    <cellStyle name="Финансовый 2 2 2 2 3 2 6" xfId="3271" xr:uid="{BF787CF9-0FFD-4A4B-9A9D-FFD5A7598F37}"/>
    <cellStyle name="Финансовый 2 2 2 2 3 3" xfId="225" xr:uid="{95D10288-6269-40A0-86B3-3A47033523AF}"/>
    <cellStyle name="Финансовый 2 2 2 2 3 3 2" xfId="481" xr:uid="{41654573-B287-45B5-80F8-F73E3D9E2ECC}"/>
    <cellStyle name="Финансовый 2 2 2 2 3 3 2 2" xfId="993" xr:uid="{75FDBBEC-F3B1-4B8B-B4D7-6BA90FF7534E}"/>
    <cellStyle name="Финансовый 2 2 2 2 3 3 2 2 2" xfId="2017" xr:uid="{032FD8C1-BAE7-4D61-9594-0F61F2F42CD5}"/>
    <cellStyle name="Финансовый 2 2 2 2 3 3 2 2 2 2" xfId="3272" xr:uid="{AE5C8550-2F1E-4E0A-B0C0-E7D30E02649C}"/>
    <cellStyle name="Финансовый 2 2 2 2 3 3 2 2 3" xfId="3273" xr:uid="{CE9ADEB9-3A4C-4037-BF84-918E7EDFB0C8}"/>
    <cellStyle name="Финансовый 2 2 2 2 3 3 2 3" xfId="1505" xr:uid="{26EBEBBE-6719-41E5-877F-97521C5758BD}"/>
    <cellStyle name="Финансовый 2 2 2 2 3 3 2 3 2" xfId="3274" xr:uid="{42813322-D938-4F39-90EA-94E50093D009}"/>
    <cellStyle name="Финансовый 2 2 2 2 3 3 2 4" xfId="3275" xr:uid="{60CABF98-EB09-4D7B-BB2A-6E57BE7EF3C0}"/>
    <cellStyle name="Финансовый 2 2 2 2 3 3 3" xfId="737" xr:uid="{A601AA87-115B-40FC-97D1-EB9355652841}"/>
    <cellStyle name="Финансовый 2 2 2 2 3 3 3 2" xfId="1761" xr:uid="{8A4E9439-408A-4BB1-92DB-F40EB6539DFF}"/>
    <cellStyle name="Финансовый 2 2 2 2 3 3 3 2 2" xfId="3276" xr:uid="{E3B091A6-90C9-46B8-89F7-C28F94FA0EA5}"/>
    <cellStyle name="Финансовый 2 2 2 2 3 3 3 3" xfId="3277" xr:uid="{2173B472-F9DC-4A3B-95D9-42DF47CFCC11}"/>
    <cellStyle name="Финансовый 2 2 2 2 3 3 4" xfId="1249" xr:uid="{01EB6CDE-CA8E-4F58-8B4D-4EB716AD683C}"/>
    <cellStyle name="Финансовый 2 2 2 2 3 3 4 2" xfId="3278" xr:uid="{98489CAB-F02A-465C-B1DF-8D0444B97AC8}"/>
    <cellStyle name="Финансовый 2 2 2 2 3 3 5" xfId="3279" xr:uid="{BD3769B1-BB48-4949-856A-FACBEB336BD0}"/>
    <cellStyle name="Финансовый 2 2 2 2 3 4" xfId="353" xr:uid="{E46FAED7-D418-4345-83C1-0BBD683696BC}"/>
    <cellStyle name="Финансовый 2 2 2 2 3 4 2" xfId="865" xr:uid="{34ADADA1-C26A-485B-8727-1CDD84DCBB4B}"/>
    <cellStyle name="Финансовый 2 2 2 2 3 4 2 2" xfId="1889" xr:uid="{73E351B4-E085-47CF-83C6-31C49460B4BB}"/>
    <cellStyle name="Финансовый 2 2 2 2 3 4 2 2 2" xfId="3280" xr:uid="{DCC7D2D9-A350-4A21-8B36-576A75F1E49B}"/>
    <cellStyle name="Финансовый 2 2 2 2 3 4 2 3" xfId="3281" xr:uid="{3F9DEC37-FEAE-4AEB-BB27-2A0A69A88624}"/>
    <cellStyle name="Финансовый 2 2 2 2 3 4 3" xfId="1377" xr:uid="{36317236-AB63-4CF8-B961-C31A2044967A}"/>
    <cellStyle name="Финансовый 2 2 2 2 3 4 3 2" xfId="3282" xr:uid="{DFA1BB8E-F095-4294-8D69-FC303BA6B055}"/>
    <cellStyle name="Финансовый 2 2 2 2 3 4 4" xfId="3283" xr:uid="{D4B88127-8B7B-48BD-AB83-358C8AA715E4}"/>
    <cellStyle name="Финансовый 2 2 2 2 3 5" xfId="609" xr:uid="{4D316E65-31A2-46F0-8315-5D0D7E9F8304}"/>
    <cellStyle name="Финансовый 2 2 2 2 3 5 2" xfId="1633" xr:uid="{D2654633-1EB3-4C37-85A5-3D5C4BE2F9F6}"/>
    <cellStyle name="Финансовый 2 2 2 2 3 5 2 2" xfId="3284" xr:uid="{B8359D0F-E2D9-420D-9A6E-76F3FF195CCB}"/>
    <cellStyle name="Финансовый 2 2 2 2 3 5 3" xfId="3285" xr:uid="{AE2746B1-BADE-406E-B927-85463FAE2D44}"/>
    <cellStyle name="Финансовый 2 2 2 2 3 6" xfId="1121" xr:uid="{542B1D32-8DC9-4CAE-9475-DD00AEF0E0A8}"/>
    <cellStyle name="Финансовый 2 2 2 2 3 6 2" xfId="3286" xr:uid="{5B694B78-5E34-49BB-AE03-8EC8A4D91A1F}"/>
    <cellStyle name="Финансовый 2 2 2 2 3 7" xfId="3287" xr:uid="{A5EF8049-DB20-4F15-B65C-466E550D183A}"/>
    <cellStyle name="Финансовый 2 2 2 2 4" xfId="129" xr:uid="{3BF5A6CC-7F6F-47B4-9662-FB9D9FD2C7F5}"/>
    <cellStyle name="Финансовый 2 2 2 2 4 2" xfId="257" xr:uid="{39D21BB1-41B6-4F7A-A998-3E09279C5588}"/>
    <cellStyle name="Финансовый 2 2 2 2 4 2 2" xfId="513" xr:uid="{0B8E86D9-04B6-42D0-A4DF-AB0364B6E27D}"/>
    <cellStyle name="Финансовый 2 2 2 2 4 2 2 2" xfId="1025" xr:uid="{CE605316-848B-4201-88EF-FE5784D2313C}"/>
    <cellStyle name="Финансовый 2 2 2 2 4 2 2 2 2" xfId="2049" xr:uid="{D3524151-27A2-4BC8-BBDC-72B1CC6EE6B5}"/>
    <cellStyle name="Финансовый 2 2 2 2 4 2 2 2 2 2" xfId="3288" xr:uid="{71EC9551-BF7B-44FF-BE71-A57138487A56}"/>
    <cellStyle name="Финансовый 2 2 2 2 4 2 2 2 3" xfId="3289" xr:uid="{9E51B95C-FF06-43D0-943E-AE9D4651C2CF}"/>
    <cellStyle name="Финансовый 2 2 2 2 4 2 2 3" xfId="1537" xr:uid="{928844E6-3F40-49BA-8933-CB01FB5079D4}"/>
    <cellStyle name="Финансовый 2 2 2 2 4 2 2 3 2" xfId="3290" xr:uid="{6B32A1D3-90DA-47FF-9C82-E4B588C7006F}"/>
    <cellStyle name="Финансовый 2 2 2 2 4 2 2 4" xfId="3291" xr:uid="{4BEB74B4-FFDD-453E-B3B5-70D907A22F09}"/>
    <cellStyle name="Финансовый 2 2 2 2 4 2 3" xfId="769" xr:uid="{932E69E9-3704-4EBC-86E3-A45C1B9F62E5}"/>
    <cellStyle name="Финансовый 2 2 2 2 4 2 3 2" xfId="1793" xr:uid="{B3D441F8-76FF-4428-9A59-A7F6EABA7D6C}"/>
    <cellStyle name="Финансовый 2 2 2 2 4 2 3 2 2" xfId="3292" xr:uid="{76F2DB01-4197-4524-8995-02AE8B28D12B}"/>
    <cellStyle name="Финансовый 2 2 2 2 4 2 3 3" xfId="3293" xr:uid="{D2339589-1EB4-490E-9DAC-53C4F7EDBB0B}"/>
    <cellStyle name="Финансовый 2 2 2 2 4 2 4" xfId="1281" xr:uid="{3B214484-9D2E-4172-B694-7EBA818EE04D}"/>
    <cellStyle name="Финансовый 2 2 2 2 4 2 4 2" xfId="3294" xr:uid="{A15AC19B-48B3-4A93-870E-1CCCDA2C6838}"/>
    <cellStyle name="Финансовый 2 2 2 2 4 2 5" xfId="3295" xr:uid="{81D5C7A3-3F80-45C8-93F2-5EFB46AF1DF4}"/>
    <cellStyle name="Финансовый 2 2 2 2 4 3" xfId="385" xr:uid="{83AB2518-806D-4811-8C6C-9785CBFB9861}"/>
    <cellStyle name="Финансовый 2 2 2 2 4 3 2" xfId="897" xr:uid="{44305B66-00A4-430B-A1CE-83E92A45AD7E}"/>
    <cellStyle name="Финансовый 2 2 2 2 4 3 2 2" xfId="1921" xr:uid="{1C2095AF-A01C-41CB-A82C-266859BDAF4F}"/>
    <cellStyle name="Финансовый 2 2 2 2 4 3 2 2 2" xfId="3296" xr:uid="{B612C9A7-C45E-4C88-A698-860F1D6E1AB8}"/>
    <cellStyle name="Финансовый 2 2 2 2 4 3 2 3" xfId="3297" xr:uid="{5A0D3CFA-9E6E-4E30-800A-D2296E77455D}"/>
    <cellStyle name="Финансовый 2 2 2 2 4 3 3" xfId="1409" xr:uid="{87804141-FD99-4A0A-820F-229EDE44C331}"/>
    <cellStyle name="Финансовый 2 2 2 2 4 3 3 2" xfId="3298" xr:uid="{DAEE0110-9895-4212-BCFF-425C7D7B66CD}"/>
    <cellStyle name="Финансовый 2 2 2 2 4 3 4" xfId="3299" xr:uid="{18E20FF4-31A8-45BB-9654-A451D6B3F0E3}"/>
    <cellStyle name="Финансовый 2 2 2 2 4 4" xfId="641" xr:uid="{F1DA60F2-A3B9-4B85-A988-835D9561C953}"/>
    <cellStyle name="Финансовый 2 2 2 2 4 4 2" xfId="1665" xr:uid="{C63D8192-2109-4DBE-BB9E-3D2E2391E4A5}"/>
    <cellStyle name="Финансовый 2 2 2 2 4 4 2 2" xfId="3300" xr:uid="{9D260835-6BAC-4A92-968C-C02D1CB5C174}"/>
    <cellStyle name="Финансовый 2 2 2 2 4 4 3" xfId="3301" xr:uid="{3F6504C2-677F-465E-9C22-24547D14DB5D}"/>
    <cellStyle name="Финансовый 2 2 2 2 4 5" xfId="1153" xr:uid="{110075F0-CF0D-45C9-B1F9-270B079C16CD}"/>
    <cellStyle name="Финансовый 2 2 2 2 4 5 2" xfId="3302" xr:uid="{000CDB5E-4B63-4B42-8E97-ACB0AC52BCE7}"/>
    <cellStyle name="Финансовый 2 2 2 2 4 6" xfId="3303" xr:uid="{70DF6196-EC37-4CDD-838B-67F9D39D19CD}"/>
    <cellStyle name="Финансовый 2 2 2 2 5" xfId="193" xr:uid="{AFB6CAB7-0459-47B3-9802-D04A8395B005}"/>
    <cellStyle name="Финансовый 2 2 2 2 5 2" xfId="449" xr:uid="{8DD3712B-681D-4EF3-BAB9-D9125FACC3B3}"/>
    <cellStyle name="Финансовый 2 2 2 2 5 2 2" xfId="961" xr:uid="{63E79DB5-BDF4-4772-A360-AB75DBF3F770}"/>
    <cellStyle name="Финансовый 2 2 2 2 5 2 2 2" xfId="1985" xr:uid="{244734F5-0CA2-42DC-8FE9-17EBBF83FEA7}"/>
    <cellStyle name="Финансовый 2 2 2 2 5 2 2 2 2" xfId="3304" xr:uid="{75BA3A50-D5D9-490D-A90C-2176C9324700}"/>
    <cellStyle name="Финансовый 2 2 2 2 5 2 2 3" xfId="3305" xr:uid="{204B7E1A-63A9-4B0B-B06B-B9E9954904D9}"/>
    <cellStyle name="Финансовый 2 2 2 2 5 2 3" xfId="1473" xr:uid="{EDB053DC-2A7F-4EC9-AFA0-9BF35665C35C}"/>
    <cellStyle name="Финансовый 2 2 2 2 5 2 3 2" xfId="3306" xr:uid="{827BC645-DC5C-447A-B565-C67519C0BA40}"/>
    <cellStyle name="Финансовый 2 2 2 2 5 2 4" xfId="3307" xr:uid="{B90AA302-DE1D-48BB-B7B6-7C388549531A}"/>
    <cellStyle name="Финансовый 2 2 2 2 5 3" xfId="705" xr:uid="{45A1614C-C074-4DCC-A3DA-240A3FA729CD}"/>
    <cellStyle name="Финансовый 2 2 2 2 5 3 2" xfId="1729" xr:uid="{7C1382F1-44F5-47C9-8F2B-FAC4D38423AF}"/>
    <cellStyle name="Финансовый 2 2 2 2 5 3 2 2" xfId="3308" xr:uid="{CBAA9AF1-B4A8-4D7B-B08A-496DC6346874}"/>
    <cellStyle name="Финансовый 2 2 2 2 5 3 3" xfId="3309" xr:uid="{0C54EF8A-FF27-4743-BE0A-F0C14C1335B3}"/>
    <cellStyle name="Финансовый 2 2 2 2 5 4" xfId="1217" xr:uid="{31BA54E0-7379-4D50-A519-98EE7E038BBA}"/>
    <cellStyle name="Финансовый 2 2 2 2 5 4 2" xfId="3310" xr:uid="{4EB59B8D-C786-42DC-9F33-CDFAE50CC533}"/>
    <cellStyle name="Финансовый 2 2 2 2 5 5" xfId="3311" xr:uid="{3E25E263-C795-430F-A183-E97ED6E1F8B5}"/>
    <cellStyle name="Финансовый 2 2 2 2 6" xfId="321" xr:uid="{B2C64F1C-5C2B-4520-9D53-FC33FD959AC8}"/>
    <cellStyle name="Финансовый 2 2 2 2 6 2" xfId="833" xr:uid="{BFEF1220-9BE9-47B4-A27F-1F491FFA9388}"/>
    <cellStyle name="Финансовый 2 2 2 2 6 2 2" xfId="1857" xr:uid="{BFC814D4-6A78-475C-BC3F-68E7DB6538F2}"/>
    <cellStyle name="Финансовый 2 2 2 2 6 2 2 2" xfId="3312" xr:uid="{2BD51692-2393-454A-A427-4B5366CA010D}"/>
    <cellStyle name="Финансовый 2 2 2 2 6 2 3" xfId="3313" xr:uid="{BDA0B847-00DC-4F92-8E4A-43454E08BDC8}"/>
    <cellStyle name="Финансовый 2 2 2 2 6 3" xfId="1345" xr:uid="{C05DB309-24AF-4B7B-BA3B-089069BD2552}"/>
    <cellStyle name="Финансовый 2 2 2 2 6 3 2" xfId="3314" xr:uid="{3BCD0DF4-A8A3-47AF-BAEF-62B6C3081050}"/>
    <cellStyle name="Финансовый 2 2 2 2 6 4" xfId="3315" xr:uid="{2404F12C-B8BE-42CF-997F-1E1FFCD08EC5}"/>
    <cellStyle name="Финансовый 2 2 2 2 7" xfId="577" xr:uid="{0AAADD04-EC15-4605-A12B-0E4639AC4F1F}"/>
    <cellStyle name="Финансовый 2 2 2 2 7 2" xfId="1601" xr:uid="{63F75A7F-91AC-4D3E-A2E8-5F4BE796F129}"/>
    <cellStyle name="Финансовый 2 2 2 2 7 2 2" xfId="3316" xr:uid="{B11A022A-8153-4F41-9B70-148BD5C0AF3F}"/>
    <cellStyle name="Финансовый 2 2 2 2 7 3" xfId="3317" xr:uid="{49AF0C12-24B3-4FD0-957D-1C064897260E}"/>
    <cellStyle name="Финансовый 2 2 2 2 8" xfId="1089" xr:uid="{FB8066E7-FBB7-4D1F-9F46-4C5E81521518}"/>
    <cellStyle name="Финансовый 2 2 2 2 8 2" xfId="3318" xr:uid="{E8948AEA-A624-4CDC-BBA8-1FB5F317B8BF}"/>
    <cellStyle name="Финансовый 2 2 2 2 9" xfId="3319" xr:uid="{ED848651-8B3C-4637-B6AC-E180C8EDB314}"/>
    <cellStyle name="Финансовый 2 2 2 3" xfId="72" xr:uid="{9A6890C0-CF85-431F-9D48-2CC125B89A95}"/>
    <cellStyle name="Финансовый 2 2 2 3 2" xfId="105" xr:uid="{DE21305C-3F4D-4A52-9283-CE2D5855059B}"/>
    <cellStyle name="Финансовый 2 2 2 3 2 2" xfId="169" xr:uid="{2F56CBED-19FC-4AC4-B91E-D9EF5117248F}"/>
    <cellStyle name="Финансовый 2 2 2 3 2 2 2" xfId="297" xr:uid="{3749D89A-AF7E-4235-A4BF-E8DCA52645A4}"/>
    <cellStyle name="Финансовый 2 2 2 3 2 2 2 2" xfId="553" xr:uid="{34DC5CC5-9E0C-4E42-AC97-F81834206E4A}"/>
    <cellStyle name="Финансовый 2 2 2 3 2 2 2 2 2" xfId="1065" xr:uid="{69B21BE5-9C02-4BE9-839D-66C00C9776EC}"/>
    <cellStyle name="Финансовый 2 2 2 3 2 2 2 2 2 2" xfId="2089" xr:uid="{0E5AE504-DF45-446D-AF99-6B4F7621C55F}"/>
    <cellStyle name="Финансовый 2 2 2 3 2 2 2 2 2 2 2" xfId="3320" xr:uid="{746139EF-48A3-4A31-89E5-D1815CE14AF0}"/>
    <cellStyle name="Финансовый 2 2 2 3 2 2 2 2 2 3" xfId="3321" xr:uid="{8942C57A-B4A4-4BB9-8369-8233229693AC}"/>
    <cellStyle name="Финансовый 2 2 2 3 2 2 2 2 3" xfId="1577" xr:uid="{0492F631-44D0-4E45-874C-04E14627A470}"/>
    <cellStyle name="Финансовый 2 2 2 3 2 2 2 2 3 2" xfId="3322" xr:uid="{D48406D4-6038-4CE6-A09C-5638C60CE48E}"/>
    <cellStyle name="Финансовый 2 2 2 3 2 2 2 2 4" xfId="3323" xr:uid="{4A5E2C7F-57BD-40EA-8729-9B712408462E}"/>
    <cellStyle name="Финансовый 2 2 2 3 2 2 2 3" xfId="809" xr:uid="{52954728-2E72-46BF-9D5F-640DEC4A19A5}"/>
    <cellStyle name="Финансовый 2 2 2 3 2 2 2 3 2" xfId="1833" xr:uid="{3D432B5F-DB2F-44CE-AB6A-18F7EFCFB197}"/>
    <cellStyle name="Финансовый 2 2 2 3 2 2 2 3 2 2" xfId="3324" xr:uid="{13D5DB04-B648-40DF-A1BD-0EB28F02FC71}"/>
    <cellStyle name="Финансовый 2 2 2 3 2 2 2 3 3" xfId="3325" xr:uid="{83BA0DCD-4B94-4908-AF15-809F5C8E4AE4}"/>
    <cellStyle name="Финансовый 2 2 2 3 2 2 2 4" xfId="1321" xr:uid="{60107F71-B6EA-43EB-9C74-6E4EA9287127}"/>
    <cellStyle name="Финансовый 2 2 2 3 2 2 2 4 2" xfId="3326" xr:uid="{47937E63-40D7-4E40-833E-D8FF4AE596B9}"/>
    <cellStyle name="Финансовый 2 2 2 3 2 2 2 5" xfId="3327" xr:uid="{B7D5C0B6-E5D9-4141-B67F-B030FE4AF266}"/>
    <cellStyle name="Финансовый 2 2 2 3 2 2 3" xfId="425" xr:uid="{39C33F2F-F99A-4432-8B84-F6D335B729A2}"/>
    <cellStyle name="Финансовый 2 2 2 3 2 2 3 2" xfId="937" xr:uid="{95D373B1-1C4E-4740-9AC7-E25AEDEAF97B}"/>
    <cellStyle name="Финансовый 2 2 2 3 2 2 3 2 2" xfId="1961" xr:uid="{20CA3A14-AE47-4CBA-BA0C-16551ADE73D8}"/>
    <cellStyle name="Финансовый 2 2 2 3 2 2 3 2 2 2" xfId="3328" xr:uid="{CCF78FEB-C852-471A-BBC1-8B8338BAB465}"/>
    <cellStyle name="Финансовый 2 2 2 3 2 2 3 2 3" xfId="3329" xr:uid="{C91BFA41-444E-43C4-8A8D-C5BFD7CB888B}"/>
    <cellStyle name="Финансовый 2 2 2 3 2 2 3 3" xfId="1449" xr:uid="{15A1A850-E622-4503-93D8-090890C3BAAE}"/>
    <cellStyle name="Финансовый 2 2 2 3 2 2 3 3 2" xfId="3330" xr:uid="{EE4589BD-B812-484D-BCA5-540DFBA5C259}"/>
    <cellStyle name="Финансовый 2 2 2 3 2 2 3 4" xfId="3331" xr:uid="{F3C694AD-FFD6-4910-B221-4305AA7E8321}"/>
    <cellStyle name="Финансовый 2 2 2 3 2 2 4" xfId="681" xr:uid="{F54C513B-5716-403E-ACF8-232E2370A65A}"/>
    <cellStyle name="Финансовый 2 2 2 3 2 2 4 2" xfId="1705" xr:uid="{9FA31630-D2EF-4D68-BCD0-1D24243DC9EF}"/>
    <cellStyle name="Финансовый 2 2 2 3 2 2 4 2 2" xfId="3332" xr:uid="{1F0A6576-7A57-4847-9F90-CA3246F32FEF}"/>
    <cellStyle name="Финансовый 2 2 2 3 2 2 4 3" xfId="3333" xr:uid="{616EE808-D967-4A47-BE01-B69812F5E1FD}"/>
    <cellStyle name="Финансовый 2 2 2 3 2 2 5" xfId="1193" xr:uid="{BB105920-DFED-419A-92AE-AE55BE517243}"/>
    <cellStyle name="Финансовый 2 2 2 3 2 2 5 2" xfId="3334" xr:uid="{C73E4B44-B12B-4D9E-AF18-B47BE94CAF6E}"/>
    <cellStyle name="Финансовый 2 2 2 3 2 2 6" xfId="3335" xr:uid="{1C829868-C908-4AC3-AC5F-E23680749CFC}"/>
    <cellStyle name="Финансовый 2 2 2 3 2 3" xfId="233" xr:uid="{00F77BA1-B84C-4AD6-ACCE-4671B579E8D2}"/>
    <cellStyle name="Финансовый 2 2 2 3 2 3 2" xfId="489" xr:uid="{3D5ABDC5-1A6D-4587-8655-220AE7B83357}"/>
    <cellStyle name="Финансовый 2 2 2 3 2 3 2 2" xfId="1001" xr:uid="{346B297E-79FA-4512-AD63-050C6BF29DF5}"/>
    <cellStyle name="Финансовый 2 2 2 3 2 3 2 2 2" xfId="2025" xr:uid="{4BA962C5-6D02-433A-90A5-82BC5A0E6CDC}"/>
    <cellStyle name="Финансовый 2 2 2 3 2 3 2 2 2 2" xfId="3336" xr:uid="{7FDFA1A6-8CA3-4E7A-ACBE-36B02E2EE07C}"/>
    <cellStyle name="Финансовый 2 2 2 3 2 3 2 2 3" xfId="3337" xr:uid="{DFDD1CD9-2544-45BA-80DE-668A260A8DC7}"/>
    <cellStyle name="Финансовый 2 2 2 3 2 3 2 3" xfId="1513" xr:uid="{B5DD0DB0-469E-4FE6-95F0-58074FD47BC1}"/>
    <cellStyle name="Финансовый 2 2 2 3 2 3 2 3 2" xfId="3338" xr:uid="{EC3EFC6F-D8B6-4CF0-8309-BD63AB93C7A0}"/>
    <cellStyle name="Финансовый 2 2 2 3 2 3 2 4" xfId="3339" xr:uid="{0CE29BB3-691D-4D6C-AFE8-6BCC1FF74BC2}"/>
    <cellStyle name="Финансовый 2 2 2 3 2 3 3" xfId="745" xr:uid="{21B6B8E8-CC5C-46E2-989C-76E19FE5C358}"/>
    <cellStyle name="Финансовый 2 2 2 3 2 3 3 2" xfId="1769" xr:uid="{F8896729-529E-4AA7-ADA7-D12E63F4E518}"/>
    <cellStyle name="Финансовый 2 2 2 3 2 3 3 2 2" xfId="3340" xr:uid="{8717DC7F-9DC0-42B5-A489-FF00B1770AC5}"/>
    <cellStyle name="Финансовый 2 2 2 3 2 3 3 3" xfId="3341" xr:uid="{46B42207-93D4-400F-8DF6-C5B64F9738E2}"/>
    <cellStyle name="Финансовый 2 2 2 3 2 3 4" xfId="1257" xr:uid="{43B89FD8-1251-4692-B20D-99F8732EECC5}"/>
    <cellStyle name="Финансовый 2 2 2 3 2 3 4 2" xfId="3342" xr:uid="{5094B4B5-BE62-4FA9-963B-F1AB72F6B403}"/>
    <cellStyle name="Финансовый 2 2 2 3 2 3 5" xfId="3343" xr:uid="{8353B14E-95AA-4133-9349-80915890A77E}"/>
    <cellStyle name="Финансовый 2 2 2 3 2 4" xfId="361" xr:uid="{50C6CD31-40F4-4B21-ABA6-84F8E56BA76A}"/>
    <cellStyle name="Финансовый 2 2 2 3 2 4 2" xfId="873" xr:uid="{DEFAE2E3-054B-4E73-B2F9-34E9F9BEE70D}"/>
    <cellStyle name="Финансовый 2 2 2 3 2 4 2 2" xfId="1897" xr:uid="{44CA2AA9-DADC-494C-8211-A7B2404FC50F}"/>
    <cellStyle name="Финансовый 2 2 2 3 2 4 2 2 2" xfId="3344" xr:uid="{E051BC15-8DD8-48EE-ADF4-979C36896727}"/>
    <cellStyle name="Финансовый 2 2 2 3 2 4 2 3" xfId="3345" xr:uid="{AA872D55-0919-4591-9C59-6505111D2CEB}"/>
    <cellStyle name="Финансовый 2 2 2 3 2 4 3" xfId="1385" xr:uid="{7F2F3535-0C66-4A4C-9A38-C7339DE2E0F1}"/>
    <cellStyle name="Финансовый 2 2 2 3 2 4 3 2" xfId="3346" xr:uid="{56DF1424-BD63-41E9-97B1-BEF650CFA2C0}"/>
    <cellStyle name="Финансовый 2 2 2 3 2 4 4" xfId="3347" xr:uid="{26D67E46-AE58-4449-AD04-25A96707CB47}"/>
    <cellStyle name="Финансовый 2 2 2 3 2 5" xfId="617" xr:uid="{FA393EF2-64EF-4B6C-9DD2-9C8EC8B2501B}"/>
    <cellStyle name="Финансовый 2 2 2 3 2 5 2" xfId="1641" xr:uid="{0751020A-5BB4-429E-B869-45A2CAA9817C}"/>
    <cellStyle name="Финансовый 2 2 2 3 2 5 2 2" xfId="3348" xr:uid="{409011F5-091A-4D27-9449-522230B3C01D}"/>
    <cellStyle name="Финансовый 2 2 2 3 2 5 3" xfId="3349" xr:uid="{23819A61-AD00-4A4E-B0A3-DF84F9671B67}"/>
    <cellStyle name="Финансовый 2 2 2 3 2 6" xfId="1129" xr:uid="{788383B7-267F-4240-8CB8-91675BCE24B6}"/>
    <cellStyle name="Финансовый 2 2 2 3 2 6 2" xfId="3350" xr:uid="{09CF011B-70D4-4BA2-BFCD-0046AC23B80C}"/>
    <cellStyle name="Финансовый 2 2 2 3 2 7" xfId="3351" xr:uid="{AE835C18-3041-436C-8E7C-82F8D7F9D946}"/>
    <cellStyle name="Финансовый 2 2 2 3 3" xfId="137" xr:uid="{6F7249A3-2FF9-46D9-AE47-EAD696AFE83A}"/>
    <cellStyle name="Финансовый 2 2 2 3 3 2" xfId="265" xr:uid="{8924AD2E-2F90-4F7E-AFA0-08A7BCAA80BE}"/>
    <cellStyle name="Финансовый 2 2 2 3 3 2 2" xfId="521" xr:uid="{3145D067-C115-48E3-A68B-776E1A2EEA2D}"/>
    <cellStyle name="Финансовый 2 2 2 3 3 2 2 2" xfId="1033" xr:uid="{0D5877E8-DC23-4BAF-BB0D-9939146D7F9B}"/>
    <cellStyle name="Финансовый 2 2 2 3 3 2 2 2 2" xfId="2057" xr:uid="{94429064-CFD9-4123-8830-50E594F3CBEB}"/>
    <cellStyle name="Финансовый 2 2 2 3 3 2 2 2 2 2" xfId="3352" xr:uid="{E1314D1A-101A-46D8-8CA7-629E0CA8A3C1}"/>
    <cellStyle name="Финансовый 2 2 2 3 3 2 2 2 3" xfId="3353" xr:uid="{6462FE0C-91FC-4D11-BA23-7E8025FE8F6A}"/>
    <cellStyle name="Финансовый 2 2 2 3 3 2 2 3" xfId="1545" xr:uid="{1C41BA3A-02DA-4DF0-B496-52367342949A}"/>
    <cellStyle name="Финансовый 2 2 2 3 3 2 2 3 2" xfId="3354" xr:uid="{84FAC80D-9EEF-413E-B3B3-2C6E9C9B6545}"/>
    <cellStyle name="Финансовый 2 2 2 3 3 2 2 4" xfId="3355" xr:uid="{6A1F93A6-75F6-4E83-BA9A-9689BEBEFDDC}"/>
    <cellStyle name="Финансовый 2 2 2 3 3 2 3" xfId="777" xr:uid="{4D1F8463-950D-4D64-A823-2F2521056B04}"/>
    <cellStyle name="Финансовый 2 2 2 3 3 2 3 2" xfId="1801" xr:uid="{794E1B7E-04DF-4B92-A283-5C88B5B8BE8D}"/>
    <cellStyle name="Финансовый 2 2 2 3 3 2 3 2 2" xfId="3356" xr:uid="{DA14CC11-9E05-4656-819A-1DD5B1BC5A97}"/>
    <cellStyle name="Финансовый 2 2 2 3 3 2 3 3" xfId="3357" xr:uid="{B055D2DF-069B-45E6-A694-7591D54725D1}"/>
    <cellStyle name="Финансовый 2 2 2 3 3 2 4" xfId="1289" xr:uid="{EC64D118-4D43-4CA2-B282-9BD99BD02C3E}"/>
    <cellStyle name="Финансовый 2 2 2 3 3 2 4 2" xfId="3358" xr:uid="{B29EDC5C-616F-4881-84F4-CDC3CE33AE41}"/>
    <cellStyle name="Финансовый 2 2 2 3 3 2 5" xfId="3359" xr:uid="{27F10533-F87D-4A98-BAC3-B4337040C34C}"/>
    <cellStyle name="Финансовый 2 2 2 3 3 3" xfId="393" xr:uid="{B992D171-C670-4098-8398-50B09A6F273E}"/>
    <cellStyle name="Финансовый 2 2 2 3 3 3 2" xfId="905" xr:uid="{2382937D-D16D-4280-A721-0356D663B258}"/>
    <cellStyle name="Финансовый 2 2 2 3 3 3 2 2" xfId="1929" xr:uid="{79BDCB8A-409F-4755-AC34-EC66D6B18F51}"/>
    <cellStyle name="Финансовый 2 2 2 3 3 3 2 2 2" xfId="3360" xr:uid="{7576A960-0516-4BBC-9E09-EFC1618CE05A}"/>
    <cellStyle name="Финансовый 2 2 2 3 3 3 2 3" xfId="3361" xr:uid="{0F3F5062-4D65-43E6-A188-257CA5ADCB18}"/>
    <cellStyle name="Финансовый 2 2 2 3 3 3 3" xfId="1417" xr:uid="{0CB87393-085D-4936-87EB-1AE974809340}"/>
    <cellStyle name="Финансовый 2 2 2 3 3 3 3 2" xfId="3362" xr:uid="{77EE6B8A-1D89-4574-B4B0-AA199466CA6D}"/>
    <cellStyle name="Финансовый 2 2 2 3 3 3 4" xfId="3363" xr:uid="{7AB2AFBD-76A5-40EE-BBF9-BD981FC12B13}"/>
    <cellStyle name="Финансовый 2 2 2 3 3 4" xfId="649" xr:uid="{3A40DF67-DFDA-4FEC-843D-C359F8F29329}"/>
    <cellStyle name="Финансовый 2 2 2 3 3 4 2" xfId="1673" xr:uid="{A921B767-6890-4AC6-8D28-F7B3093B48F5}"/>
    <cellStyle name="Финансовый 2 2 2 3 3 4 2 2" xfId="3364" xr:uid="{5955A20A-F432-4F6F-BA0A-428D3930C3C8}"/>
    <cellStyle name="Финансовый 2 2 2 3 3 4 3" xfId="3365" xr:uid="{269AFD33-43F2-453E-BC4F-1C278590B64B}"/>
    <cellStyle name="Финансовый 2 2 2 3 3 5" xfId="1161" xr:uid="{F638B714-3495-4029-B86E-C134BC9C3897}"/>
    <cellStyle name="Финансовый 2 2 2 3 3 5 2" xfId="3366" xr:uid="{CBF78F3D-5FFC-453D-9930-39B2B16F6AF9}"/>
    <cellStyle name="Финансовый 2 2 2 3 3 6" xfId="3367" xr:uid="{3489F432-422D-483D-979A-DD2103B34689}"/>
    <cellStyle name="Финансовый 2 2 2 3 4" xfId="201" xr:uid="{74D2B1FA-E7C5-401D-81F8-921217C1F3A2}"/>
    <cellStyle name="Финансовый 2 2 2 3 4 2" xfId="457" xr:uid="{15C39F7A-C851-4EC7-8804-A3EF8698E8AB}"/>
    <cellStyle name="Финансовый 2 2 2 3 4 2 2" xfId="969" xr:uid="{E531F9D1-FF29-4281-81CB-F4D0858660F1}"/>
    <cellStyle name="Финансовый 2 2 2 3 4 2 2 2" xfId="1993" xr:uid="{2AF6A773-1915-421D-B345-A9BD5CC4FB1F}"/>
    <cellStyle name="Финансовый 2 2 2 3 4 2 2 2 2" xfId="3368" xr:uid="{7D4C1329-3C91-4B40-BDFF-7F35A3389783}"/>
    <cellStyle name="Финансовый 2 2 2 3 4 2 2 3" xfId="3369" xr:uid="{D79824BC-D890-4EDE-827A-1F6738019C6E}"/>
    <cellStyle name="Финансовый 2 2 2 3 4 2 3" xfId="1481" xr:uid="{2AC74629-E56A-4967-8A74-733523A0EBE6}"/>
    <cellStyle name="Финансовый 2 2 2 3 4 2 3 2" xfId="3370" xr:uid="{D8BF163D-99D4-4C18-8F44-6B0F152927EC}"/>
    <cellStyle name="Финансовый 2 2 2 3 4 2 4" xfId="3371" xr:uid="{1C1FF54F-388B-45B7-A68B-2B52C21BC1BC}"/>
    <cellStyle name="Финансовый 2 2 2 3 4 3" xfId="713" xr:uid="{C6A96794-9780-45E6-BCA9-51CC8E00D1C3}"/>
    <cellStyle name="Финансовый 2 2 2 3 4 3 2" xfId="1737" xr:uid="{D304BDDC-760F-438E-A9BD-AD8B1BAC37B5}"/>
    <cellStyle name="Финансовый 2 2 2 3 4 3 2 2" xfId="3372" xr:uid="{28D32EE9-CCC9-4DC8-B2FA-AE701F6995F2}"/>
    <cellStyle name="Финансовый 2 2 2 3 4 3 3" xfId="3373" xr:uid="{316AC9B0-F25A-4193-879D-259CB82E5D84}"/>
    <cellStyle name="Финансовый 2 2 2 3 4 4" xfId="1225" xr:uid="{482F32B3-AA86-49ED-954B-2BD68437B2A2}"/>
    <cellStyle name="Финансовый 2 2 2 3 4 4 2" xfId="3374" xr:uid="{D57829C8-F677-48FA-A1EE-B2E65AF695DF}"/>
    <cellStyle name="Финансовый 2 2 2 3 4 5" xfId="3375" xr:uid="{049E7516-528B-42DE-8C6A-68CC03F39662}"/>
    <cellStyle name="Финансовый 2 2 2 3 5" xfId="329" xr:uid="{5F9F3094-D251-4AEF-8225-3F1336536DB7}"/>
    <cellStyle name="Финансовый 2 2 2 3 5 2" xfId="841" xr:uid="{6DF26364-A331-4059-842D-C7213ACF0810}"/>
    <cellStyle name="Финансовый 2 2 2 3 5 2 2" xfId="1865" xr:uid="{374C83FD-F575-41C8-92C7-1AE9F9124C92}"/>
    <cellStyle name="Финансовый 2 2 2 3 5 2 2 2" xfId="3376" xr:uid="{2580FE97-DE67-4D5D-8D6B-44C05D469DF2}"/>
    <cellStyle name="Финансовый 2 2 2 3 5 2 3" xfId="3377" xr:uid="{B192CB66-F197-4639-96F4-EB76859F5FA7}"/>
    <cellStyle name="Финансовый 2 2 2 3 5 3" xfId="1353" xr:uid="{59EDF825-5F66-489F-9B97-3CFED62EDBDB}"/>
    <cellStyle name="Финансовый 2 2 2 3 5 3 2" xfId="3378" xr:uid="{5C8110F2-43EB-4707-BBE0-6A0F8A2525FB}"/>
    <cellStyle name="Финансовый 2 2 2 3 5 4" xfId="3379" xr:uid="{E838C263-2EE4-48FE-B251-D2B6B0025B80}"/>
    <cellStyle name="Финансовый 2 2 2 3 6" xfId="585" xr:uid="{32AF6418-DC70-431B-ADC1-EE65ACC37183}"/>
    <cellStyle name="Финансовый 2 2 2 3 6 2" xfId="1609" xr:uid="{81ED8761-5577-43DB-84C9-5433D15384F1}"/>
    <cellStyle name="Финансовый 2 2 2 3 6 2 2" xfId="3380" xr:uid="{198B5965-3B51-48D9-A2F4-A47EA5BA17D2}"/>
    <cellStyle name="Финансовый 2 2 2 3 6 3" xfId="3381" xr:uid="{F8BE002A-B9E9-41F7-9496-8E72D15BD9F2}"/>
    <cellStyle name="Финансовый 2 2 2 3 7" xfId="1097" xr:uid="{EF342A68-7374-4069-9BBC-16FD7506D079}"/>
    <cellStyle name="Финансовый 2 2 2 3 7 2" xfId="3382" xr:uid="{ED047187-59A2-44D4-A44A-98FCF6A2CC6F}"/>
    <cellStyle name="Финансовый 2 2 2 3 8" xfId="3383" xr:uid="{5CB5CA56-3235-4D0D-9C71-069556B160A9}"/>
    <cellStyle name="Финансовый 2 2 2 4" xfId="89" xr:uid="{8564C798-8806-405D-BD90-F261431EC237}"/>
    <cellStyle name="Финансовый 2 2 2 4 2" xfId="153" xr:uid="{2C70C8A8-45F5-4265-A7BA-8ABC2D1DD067}"/>
    <cellStyle name="Финансовый 2 2 2 4 2 2" xfId="281" xr:uid="{0A3DF21E-0CA2-4749-8366-95C6B2F315EC}"/>
    <cellStyle name="Финансовый 2 2 2 4 2 2 2" xfId="537" xr:uid="{E4533100-31EC-4402-A358-D1B42C6D3F80}"/>
    <cellStyle name="Финансовый 2 2 2 4 2 2 2 2" xfId="1049" xr:uid="{AECEE632-55EB-4469-86E7-42D91905DCB4}"/>
    <cellStyle name="Финансовый 2 2 2 4 2 2 2 2 2" xfId="2073" xr:uid="{AD5F73FE-2079-4E97-A48E-2FA981649F8F}"/>
    <cellStyle name="Финансовый 2 2 2 4 2 2 2 2 2 2" xfId="3384" xr:uid="{4639296F-29A7-47FE-AF14-4B4DF312B326}"/>
    <cellStyle name="Финансовый 2 2 2 4 2 2 2 2 3" xfId="3385" xr:uid="{574B1094-016E-4F73-B138-DAD8257B9FFB}"/>
    <cellStyle name="Финансовый 2 2 2 4 2 2 2 3" xfId="1561" xr:uid="{11B29A1D-C671-4B2C-B752-0A5C111ED998}"/>
    <cellStyle name="Финансовый 2 2 2 4 2 2 2 3 2" xfId="3386" xr:uid="{83826737-D0F1-4753-86A4-A64706122749}"/>
    <cellStyle name="Финансовый 2 2 2 4 2 2 2 4" xfId="3387" xr:uid="{511001D5-D19D-4501-AA20-D128304386DD}"/>
    <cellStyle name="Финансовый 2 2 2 4 2 2 3" xfId="793" xr:uid="{9E02F04D-8F13-49B2-AB9C-54D17E18376A}"/>
    <cellStyle name="Финансовый 2 2 2 4 2 2 3 2" xfId="1817" xr:uid="{F62B29CE-31ED-4A59-A966-FBB922E69462}"/>
    <cellStyle name="Финансовый 2 2 2 4 2 2 3 2 2" xfId="3388" xr:uid="{9331CAC1-5FD7-44B4-BF7A-ED38F24B05BE}"/>
    <cellStyle name="Финансовый 2 2 2 4 2 2 3 3" xfId="3389" xr:uid="{993B1603-45CE-49A2-A73E-BADD401925A6}"/>
    <cellStyle name="Финансовый 2 2 2 4 2 2 4" xfId="1305" xr:uid="{02431DCB-CD9A-48C3-A49E-22102854B46C}"/>
    <cellStyle name="Финансовый 2 2 2 4 2 2 4 2" xfId="3390" xr:uid="{5DA992BE-95F6-4AF7-B686-8EB6A123B122}"/>
    <cellStyle name="Финансовый 2 2 2 4 2 2 5" xfId="3391" xr:uid="{DEE9BBB1-59A8-4EDB-BC98-0E17BD81F44D}"/>
    <cellStyle name="Финансовый 2 2 2 4 2 3" xfId="409" xr:uid="{DB92995C-93EC-49B6-875C-BE0842FA090C}"/>
    <cellStyle name="Финансовый 2 2 2 4 2 3 2" xfId="921" xr:uid="{1421FB9A-8AD9-46EC-A4D0-175CA6F0B222}"/>
    <cellStyle name="Финансовый 2 2 2 4 2 3 2 2" xfId="1945" xr:uid="{60A80411-1548-4A9F-AAFC-D5D7B7EE7E0B}"/>
    <cellStyle name="Финансовый 2 2 2 4 2 3 2 2 2" xfId="3392" xr:uid="{38B79601-5D97-407E-AD01-E6B3B2D7561D}"/>
    <cellStyle name="Финансовый 2 2 2 4 2 3 2 3" xfId="3393" xr:uid="{7795852F-694E-444B-999A-3B8E6F3AE958}"/>
    <cellStyle name="Финансовый 2 2 2 4 2 3 3" xfId="1433" xr:uid="{6FE9425A-10FE-4E52-9A91-271DAF1B9E00}"/>
    <cellStyle name="Финансовый 2 2 2 4 2 3 3 2" xfId="3394" xr:uid="{599A1D2B-C241-4DFC-B555-1BAD03A03E59}"/>
    <cellStyle name="Финансовый 2 2 2 4 2 3 4" xfId="3395" xr:uid="{955BEC15-D5D0-4C4E-ADB0-7DA6B5A4B366}"/>
    <cellStyle name="Финансовый 2 2 2 4 2 4" xfId="665" xr:uid="{66ECDC83-4317-4253-A631-B095F224DBB6}"/>
    <cellStyle name="Финансовый 2 2 2 4 2 4 2" xfId="1689" xr:uid="{00B0F02A-0AA1-44AC-80CE-53B237DE45EF}"/>
    <cellStyle name="Финансовый 2 2 2 4 2 4 2 2" xfId="3396" xr:uid="{9639FFDE-07AF-43F2-8A28-D4B30B5618DB}"/>
    <cellStyle name="Финансовый 2 2 2 4 2 4 3" xfId="3397" xr:uid="{C830CDE5-D3E2-42A6-BFB6-5ADC937EB29F}"/>
    <cellStyle name="Финансовый 2 2 2 4 2 5" xfId="1177" xr:uid="{67B6553F-23A0-4A61-A54B-1406DC8B5989}"/>
    <cellStyle name="Финансовый 2 2 2 4 2 5 2" xfId="3398" xr:uid="{1D9D36F1-ECB2-441F-997A-2ECC923A53E4}"/>
    <cellStyle name="Финансовый 2 2 2 4 2 6" xfId="3399" xr:uid="{2750A2C4-7B94-4048-883E-2C373869E1CD}"/>
    <cellStyle name="Финансовый 2 2 2 4 3" xfId="217" xr:uid="{0DC23D1E-3307-4111-BA77-B432FB4DE404}"/>
    <cellStyle name="Финансовый 2 2 2 4 3 2" xfId="473" xr:uid="{01D5EC5E-98EF-49C0-B655-03663221F83D}"/>
    <cellStyle name="Финансовый 2 2 2 4 3 2 2" xfId="985" xr:uid="{5D40B948-6080-4A88-8431-2EA9782EBE10}"/>
    <cellStyle name="Финансовый 2 2 2 4 3 2 2 2" xfId="2009" xr:uid="{8452ECC0-9212-45C0-BEE7-ED7D876B3EA2}"/>
    <cellStyle name="Финансовый 2 2 2 4 3 2 2 2 2" xfId="3400" xr:uid="{C0A57FC0-DF59-42C8-945D-2E4CD4756879}"/>
    <cellStyle name="Финансовый 2 2 2 4 3 2 2 3" xfId="3401" xr:uid="{CF6FEF62-9C30-4260-99E3-97444A810286}"/>
    <cellStyle name="Финансовый 2 2 2 4 3 2 3" xfId="1497" xr:uid="{498EC7E1-0745-4E73-968F-BC3C01428AB9}"/>
    <cellStyle name="Финансовый 2 2 2 4 3 2 3 2" xfId="3402" xr:uid="{3D98A8F9-18ED-4279-85DE-960DD67A0C69}"/>
    <cellStyle name="Финансовый 2 2 2 4 3 2 4" xfId="3403" xr:uid="{1B3A34F5-1F2E-4987-92DE-2705E518734D}"/>
    <cellStyle name="Финансовый 2 2 2 4 3 3" xfId="729" xr:uid="{D0CEEAB0-6B89-4B5E-9928-0AA388E453C7}"/>
    <cellStyle name="Финансовый 2 2 2 4 3 3 2" xfId="1753" xr:uid="{73162FCE-5B73-4780-A6E3-5375C6FEED91}"/>
    <cellStyle name="Финансовый 2 2 2 4 3 3 2 2" xfId="3404" xr:uid="{900A2945-E63F-4B9D-94A5-07A145B9C094}"/>
    <cellStyle name="Финансовый 2 2 2 4 3 3 3" xfId="3405" xr:uid="{DDC23490-A16A-4778-A37D-5BD10569FFBB}"/>
    <cellStyle name="Финансовый 2 2 2 4 3 4" xfId="1241" xr:uid="{1DF219A3-78DA-477F-B557-F2F6756E492C}"/>
    <cellStyle name="Финансовый 2 2 2 4 3 4 2" xfId="3406" xr:uid="{648BEB24-9928-4384-8F42-4DF909969CE7}"/>
    <cellStyle name="Финансовый 2 2 2 4 3 5" xfId="3407" xr:uid="{9622CB92-08FD-46A7-A6B4-A5FFBCD519CC}"/>
    <cellStyle name="Финансовый 2 2 2 4 4" xfId="345" xr:uid="{F0F0219E-EE47-4C92-AF3C-98451C46967E}"/>
    <cellStyle name="Финансовый 2 2 2 4 4 2" xfId="857" xr:uid="{5403BEE2-47B1-4D90-9D90-0458F7CECECE}"/>
    <cellStyle name="Финансовый 2 2 2 4 4 2 2" xfId="1881" xr:uid="{76EA25DC-487B-4D96-A035-62C6C6366966}"/>
    <cellStyle name="Финансовый 2 2 2 4 4 2 2 2" xfId="3408" xr:uid="{422E7D66-F612-4816-BD87-1E4457DAF287}"/>
    <cellStyle name="Финансовый 2 2 2 4 4 2 3" xfId="3409" xr:uid="{5472B083-BBB8-4BB3-8907-7EB95AC5DDE5}"/>
    <cellStyle name="Финансовый 2 2 2 4 4 3" xfId="1369" xr:uid="{2A22F394-5E5D-41D6-829C-62E7B5DA3667}"/>
    <cellStyle name="Финансовый 2 2 2 4 4 3 2" xfId="3410" xr:uid="{D2CA2FE0-76AE-4383-BE24-8E8528014BB8}"/>
    <cellStyle name="Финансовый 2 2 2 4 4 4" xfId="3411" xr:uid="{AB85C1AC-8B2F-44E8-816C-0F259BEF30CA}"/>
    <cellStyle name="Финансовый 2 2 2 4 5" xfId="601" xr:uid="{0707921A-3451-40EB-88B8-74AC1B05C688}"/>
    <cellStyle name="Финансовый 2 2 2 4 5 2" xfId="1625" xr:uid="{3546D0C5-F04F-40C1-9264-C18E18011CA9}"/>
    <cellStyle name="Финансовый 2 2 2 4 5 2 2" xfId="3412" xr:uid="{B4E656E5-5015-424E-8DC7-056CBDD7DBCC}"/>
    <cellStyle name="Финансовый 2 2 2 4 5 3" xfId="3413" xr:uid="{FDD718C0-A506-4F1F-82CD-0D743E1442ED}"/>
    <cellStyle name="Финансовый 2 2 2 4 6" xfId="1113" xr:uid="{87CCEC92-8962-459A-BD8F-7742226E93FD}"/>
    <cellStyle name="Финансовый 2 2 2 4 6 2" xfId="3414" xr:uid="{A449C150-9566-4CB2-A91C-2C14FB458568}"/>
    <cellStyle name="Финансовый 2 2 2 4 7" xfId="3415" xr:uid="{85819E84-CFC5-4B13-8CAE-EE7683FEB6FD}"/>
    <cellStyle name="Финансовый 2 2 2 5" xfId="121" xr:uid="{F345BA1A-F967-4B0D-A5AA-66FC54919610}"/>
    <cellStyle name="Финансовый 2 2 2 5 2" xfId="249" xr:uid="{CC4BDFA6-9BC1-40BB-97F0-018674E67F4C}"/>
    <cellStyle name="Финансовый 2 2 2 5 2 2" xfId="505" xr:uid="{EBFFD920-07E1-47AA-8085-D5EF041F2DB6}"/>
    <cellStyle name="Финансовый 2 2 2 5 2 2 2" xfId="1017" xr:uid="{A7AC8D85-2765-47AE-95DB-B346108A6C39}"/>
    <cellStyle name="Финансовый 2 2 2 5 2 2 2 2" xfId="2041" xr:uid="{6F82F622-1D43-4C29-A9B3-006D481AB59E}"/>
    <cellStyle name="Финансовый 2 2 2 5 2 2 2 2 2" xfId="3416" xr:uid="{CEE8F0B1-87DC-4061-B244-C597F8EB7074}"/>
    <cellStyle name="Финансовый 2 2 2 5 2 2 2 3" xfId="3417" xr:uid="{D79CAEC2-D571-4DE3-9E90-4AFA11D781EC}"/>
    <cellStyle name="Финансовый 2 2 2 5 2 2 3" xfId="1529" xr:uid="{4454A01F-BE32-427B-B9B4-5B2563175820}"/>
    <cellStyle name="Финансовый 2 2 2 5 2 2 3 2" xfId="3418" xr:uid="{DBB99CA0-4EB7-48DB-8A75-9D664C8F29FC}"/>
    <cellStyle name="Финансовый 2 2 2 5 2 2 4" xfId="3419" xr:uid="{8CA7BDDC-9111-4DD3-AE90-4D5519DA9970}"/>
    <cellStyle name="Финансовый 2 2 2 5 2 3" xfId="761" xr:uid="{36A6E151-B57E-4681-B5BE-44FB1A82D514}"/>
    <cellStyle name="Финансовый 2 2 2 5 2 3 2" xfId="1785" xr:uid="{4804C36F-68B8-4DD0-812B-C510E89BD4C8}"/>
    <cellStyle name="Финансовый 2 2 2 5 2 3 2 2" xfId="3420" xr:uid="{EA598F23-DD46-4509-AD21-5357AAF52B6A}"/>
    <cellStyle name="Финансовый 2 2 2 5 2 3 3" xfId="3421" xr:uid="{3399986F-4A51-405D-9393-FB3851F77106}"/>
    <cellStyle name="Финансовый 2 2 2 5 2 4" xfId="1273" xr:uid="{A177FEF4-835C-4D74-B2D7-959915A1E63D}"/>
    <cellStyle name="Финансовый 2 2 2 5 2 4 2" xfId="3422" xr:uid="{36886857-BA41-46F1-AE97-FDF625701D67}"/>
    <cellStyle name="Финансовый 2 2 2 5 2 5" xfId="3423" xr:uid="{FE6CF9AC-4B81-4E54-A38E-577AB271D1C0}"/>
    <cellStyle name="Финансовый 2 2 2 5 3" xfId="377" xr:uid="{F1D48363-E9E5-4D68-8C6B-82E8B1C149AB}"/>
    <cellStyle name="Финансовый 2 2 2 5 3 2" xfId="889" xr:uid="{E64DEA2F-B7DE-4019-B638-07AA2F05B474}"/>
    <cellStyle name="Финансовый 2 2 2 5 3 2 2" xfId="1913" xr:uid="{9437E485-E42A-4FD4-8566-1980568DE8BE}"/>
    <cellStyle name="Финансовый 2 2 2 5 3 2 2 2" xfId="3424" xr:uid="{EFF380F8-41B3-4ED9-BF14-CA594C436BE2}"/>
    <cellStyle name="Финансовый 2 2 2 5 3 2 3" xfId="3425" xr:uid="{13FD3EB0-E1A0-4E74-97E8-4FD8A4D8158E}"/>
    <cellStyle name="Финансовый 2 2 2 5 3 3" xfId="1401" xr:uid="{17329101-8D49-4558-A9E1-663946658914}"/>
    <cellStyle name="Финансовый 2 2 2 5 3 3 2" xfId="3426" xr:uid="{162D6C0B-6CE3-4A62-AFD4-AB001C41E056}"/>
    <cellStyle name="Финансовый 2 2 2 5 3 4" xfId="3427" xr:uid="{1C9DC123-D3EC-46C5-AC84-7BAA05E2D6CD}"/>
    <cellStyle name="Финансовый 2 2 2 5 4" xfId="633" xr:uid="{DE727AD9-70C5-4FBA-870F-FFA49DC591FE}"/>
    <cellStyle name="Финансовый 2 2 2 5 4 2" xfId="1657" xr:uid="{5AD0D87F-BF39-47C8-93AA-0B249376B7BA}"/>
    <cellStyle name="Финансовый 2 2 2 5 4 2 2" xfId="3428" xr:uid="{4029EED9-0BC6-435B-AD7C-E722E102322A}"/>
    <cellStyle name="Финансовый 2 2 2 5 4 3" xfId="3429" xr:uid="{1DA02F08-AE58-4270-A05C-6E58DE29161A}"/>
    <cellStyle name="Финансовый 2 2 2 5 5" xfId="1145" xr:uid="{60DE972D-EE09-4BC7-AD41-9C2E1FFB896D}"/>
    <cellStyle name="Финансовый 2 2 2 5 5 2" xfId="3430" xr:uid="{427CA5D9-F432-44FF-AEB5-90F8A134F764}"/>
    <cellStyle name="Финансовый 2 2 2 5 6" xfId="3431" xr:uid="{9E0859B0-4397-4B0A-B3E1-8B4DA483AA16}"/>
    <cellStyle name="Финансовый 2 2 2 6" xfId="185" xr:uid="{2FCC7496-319B-467F-825F-F407548963D6}"/>
    <cellStyle name="Финансовый 2 2 2 6 2" xfId="441" xr:uid="{F44A82BF-D8C7-4C42-A0EA-12A39894CCBF}"/>
    <cellStyle name="Финансовый 2 2 2 6 2 2" xfId="953" xr:uid="{8E64D73D-351D-4015-8679-DF258FC5D2C2}"/>
    <cellStyle name="Финансовый 2 2 2 6 2 2 2" xfId="1977" xr:uid="{7FC616C5-45F6-4DFE-A552-90DCD86FC4A7}"/>
    <cellStyle name="Финансовый 2 2 2 6 2 2 2 2" xfId="3432" xr:uid="{5FD67D3F-8BB4-41B0-8E8E-C4152BF29709}"/>
    <cellStyle name="Финансовый 2 2 2 6 2 2 3" xfId="3433" xr:uid="{BA046079-4113-451A-AEC8-C7F99A62F6B3}"/>
    <cellStyle name="Финансовый 2 2 2 6 2 3" xfId="1465" xr:uid="{E2D26AF9-E439-47A3-A129-129409D759B9}"/>
    <cellStyle name="Финансовый 2 2 2 6 2 3 2" xfId="3434" xr:uid="{51B6AA95-E32B-4B81-A974-2D92ACD31EB3}"/>
    <cellStyle name="Финансовый 2 2 2 6 2 4" xfId="3435" xr:uid="{89A90F64-FFCC-40E3-BC62-6B7B8C8F7A21}"/>
    <cellStyle name="Финансовый 2 2 2 6 3" xfId="697" xr:uid="{54A7CBAA-2D50-4BEF-A6FF-4DFB5009B23D}"/>
    <cellStyle name="Финансовый 2 2 2 6 3 2" xfId="1721" xr:uid="{4EBDC60D-1662-4365-B5A8-7B5313D94AD6}"/>
    <cellStyle name="Финансовый 2 2 2 6 3 2 2" xfId="3436" xr:uid="{88B3A664-3086-4E7D-83C8-A18FDAB1D8AD}"/>
    <cellStyle name="Финансовый 2 2 2 6 3 3" xfId="3437" xr:uid="{B7EFBA5C-725A-480C-9918-A49CA0AF696A}"/>
    <cellStyle name="Финансовый 2 2 2 6 4" xfId="1209" xr:uid="{BFE5CF7C-AA27-483B-868E-66AEAA4D2855}"/>
    <cellStyle name="Финансовый 2 2 2 6 4 2" xfId="3438" xr:uid="{5234CBC7-1135-41C6-A798-CD7C41C32C5C}"/>
    <cellStyle name="Финансовый 2 2 2 6 5" xfId="3439" xr:uid="{4D6E0E9E-AE99-4257-9D62-4541736A9E47}"/>
    <cellStyle name="Финансовый 2 2 2 7" xfId="313" xr:uid="{A02C7E1C-5048-4C0F-BB2E-395B2C9403C3}"/>
    <cellStyle name="Финансовый 2 2 2 7 2" xfId="825" xr:uid="{71C5ABBC-1558-4AA5-8FAB-79D5F4FDB5BE}"/>
    <cellStyle name="Финансовый 2 2 2 7 2 2" xfId="1849" xr:uid="{A33EDB67-3CC2-4D07-8465-D6F162CF0DE2}"/>
    <cellStyle name="Финансовый 2 2 2 7 2 2 2" xfId="3440" xr:uid="{8EB0BCD4-0390-4987-B893-660F2BF3EB30}"/>
    <cellStyle name="Финансовый 2 2 2 7 2 3" xfId="3441" xr:uid="{57D7D6DF-8194-4BE2-BAE7-F50D0F4F13AD}"/>
    <cellStyle name="Финансовый 2 2 2 7 3" xfId="1337" xr:uid="{1A942D3A-7B2B-4D12-91AC-734A9AFAE8E2}"/>
    <cellStyle name="Финансовый 2 2 2 7 3 2" xfId="3442" xr:uid="{67307AB6-FF85-41B4-A4DA-D41681C015DA}"/>
    <cellStyle name="Финансовый 2 2 2 7 4" xfId="3443" xr:uid="{2E9F7994-1113-4951-9332-3B0CE92CC231}"/>
    <cellStyle name="Финансовый 2 2 2 8" xfId="569" xr:uid="{AD6D90D5-0311-4A61-8EF3-9A1BD0536D76}"/>
    <cellStyle name="Финансовый 2 2 2 8 2" xfId="1593" xr:uid="{A5D1EE76-786B-438A-8707-1F594FB70F58}"/>
    <cellStyle name="Финансовый 2 2 2 8 2 2" xfId="3444" xr:uid="{BF116669-ACDA-4824-8736-E6362BDB90A0}"/>
    <cellStyle name="Финансовый 2 2 2 8 3" xfId="3445" xr:uid="{43F1563E-9088-48DF-A996-DA9B3BD91EF7}"/>
    <cellStyle name="Финансовый 2 2 2 9" xfId="1081" xr:uid="{D02E9E0F-B692-48B4-BB1D-B521E882C20B}"/>
    <cellStyle name="Финансовый 2 2 2 9 2" xfId="3446" xr:uid="{A129B9A4-EE7D-47F5-B307-1921FBBE5C91}"/>
    <cellStyle name="Финансовый 2 2 3" xfId="60" xr:uid="{3CD37E64-C7D3-41B3-B511-25571822A623}"/>
    <cellStyle name="Финансовый 2 2 3 2" xfId="76" xr:uid="{14663B93-8B8F-4E5B-BACC-0675700493BB}"/>
    <cellStyle name="Финансовый 2 2 3 2 2" xfId="109" xr:uid="{792EB37C-0C99-4003-BC47-041C063CF53D}"/>
    <cellStyle name="Финансовый 2 2 3 2 2 2" xfId="173" xr:uid="{AC3C1D93-A3A3-45D2-B282-C4A640FE73D8}"/>
    <cellStyle name="Финансовый 2 2 3 2 2 2 2" xfId="301" xr:uid="{29325C59-A291-4043-B12D-05CACE3C98D9}"/>
    <cellStyle name="Финансовый 2 2 3 2 2 2 2 2" xfId="557" xr:uid="{45A0A618-1AC0-4704-9318-A17D2C97977B}"/>
    <cellStyle name="Финансовый 2 2 3 2 2 2 2 2 2" xfId="1069" xr:uid="{E7D1CECC-C210-4858-B12E-CC814D19037A}"/>
    <cellStyle name="Финансовый 2 2 3 2 2 2 2 2 2 2" xfId="2093" xr:uid="{E84232C3-91DB-4068-A5C7-B54ADE414E2F}"/>
    <cellStyle name="Финансовый 2 2 3 2 2 2 2 2 2 2 2" xfId="3447" xr:uid="{E7BE1125-FD9B-48CB-9D6E-7E5D6EE247CF}"/>
    <cellStyle name="Финансовый 2 2 3 2 2 2 2 2 2 3" xfId="3448" xr:uid="{EA1D6CA9-B4C0-40A3-ADED-518A63011E3F}"/>
    <cellStyle name="Финансовый 2 2 3 2 2 2 2 2 3" xfId="1581" xr:uid="{CC64872E-98D4-4F6C-BF75-D96B078C9DF7}"/>
    <cellStyle name="Финансовый 2 2 3 2 2 2 2 2 3 2" xfId="3449" xr:uid="{A918E224-358B-4B9A-AD45-A0FF5E0B9AAE}"/>
    <cellStyle name="Финансовый 2 2 3 2 2 2 2 2 4" xfId="3450" xr:uid="{BC16B7F6-51D0-4208-B3BA-43B79BBF971B}"/>
    <cellStyle name="Финансовый 2 2 3 2 2 2 2 3" xfId="813" xr:uid="{34BA11D2-FD35-49EF-AFE1-B9F5A2D075D3}"/>
    <cellStyle name="Финансовый 2 2 3 2 2 2 2 3 2" xfId="1837" xr:uid="{59A9CF56-321B-470E-A773-2B9BE370EE60}"/>
    <cellStyle name="Финансовый 2 2 3 2 2 2 2 3 2 2" xfId="3451" xr:uid="{A091E4C8-92E4-4D76-9C69-107F84015C01}"/>
    <cellStyle name="Финансовый 2 2 3 2 2 2 2 3 3" xfId="3452" xr:uid="{84B3FB65-E2E4-488B-877D-581FA988C838}"/>
    <cellStyle name="Финансовый 2 2 3 2 2 2 2 4" xfId="1325" xr:uid="{00170C6F-2830-43DA-8C14-494EEAFDFCB9}"/>
    <cellStyle name="Финансовый 2 2 3 2 2 2 2 4 2" xfId="3453" xr:uid="{73FFC673-7EF6-4009-B6F2-7F745B55B7E5}"/>
    <cellStyle name="Финансовый 2 2 3 2 2 2 2 5" xfId="3454" xr:uid="{45AE662B-5FAB-49BE-939D-46DF179DF409}"/>
    <cellStyle name="Финансовый 2 2 3 2 2 2 3" xfId="429" xr:uid="{4146035B-1ED0-45E1-A5B1-B9143C05B239}"/>
    <cellStyle name="Финансовый 2 2 3 2 2 2 3 2" xfId="941" xr:uid="{B9E7DC8B-32DB-4600-96A1-697F02CF9205}"/>
    <cellStyle name="Финансовый 2 2 3 2 2 2 3 2 2" xfId="1965" xr:uid="{98893195-3899-4436-8162-4F9EEB97CC23}"/>
    <cellStyle name="Финансовый 2 2 3 2 2 2 3 2 2 2" xfId="3455" xr:uid="{6F3BBE56-4EF3-42AB-9FD0-08C93EBBD09D}"/>
    <cellStyle name="Финансовый 2 2 3 2 2 2 3 2 3" xfId="3456" xr:uid="{5F2EFFFF-234F-47A3-91DD-9578B41E7929}"/>
    <cellStyle name="Финансовый 2 2 3 2 2 2 3 3" xfId="1453" xr:uid="{E3EC63D6-17BB-4594-B515-7B2AE80F6D7E}"/>
    <cellStyle name="Финансовый 2 2 3 2 2 2 3 3 2" xfId="3457" xr:uid="{9A748558-A154-40EA-9C8A-B47AA84E65DF}"/>
    <cellStyle name="Финансовый 2 2 3 2 2 2 3 4" xfId="3458" xr:uid="{EE3D3139-3196-449C-8C38-8CBE1A63C8B7}"/>
    <cellStyle name="Финансовый 2 2 3 2 2 2 4" xfId="685" xr:uid="{76700BA7-4D26-405C-A63C-96BA48D461A7}"/>
    <cellStyle name="Финансовый 2 2 3 2 2 2 4 2" xfId="1709" xr:uid="{428C9A4D-DC88-48C7-8973-F7642929A56E}"/>
    <cellStyle name="Финансовый 2 2 3 2 2 2 4 2 2" xfId="3459" xr:uid="{C189367B-6D2B-4EEC-A8AD-D7CD7E2193D2}"/>
    <cellStyle name="Финансовый 2 2 3 2 2 2 4 3" xfId="3460" xr:uid="{AD2BE596-40B1-4BE1-8A81-044BE63190B5}"/>
    <cellStyle name="Финансовый 2 2 3 2 2 2 5" xfId="1197" xr:uid="{EF962BA0-F8BE-4CE5-A600-3ECBE6C9C920}"/>
    <cellStyle name="Финансовый 2 2 3 2 2 2 5 2" xfId="3461" xr:uid="{3765C942-C5D6-4851-96BB-C3BC3BEC51F3}"/>
    <cellStyle name="Финансовый 2 2 3 2 2 2 6" xfId="3462" xr:uid="{1A991017-74D8-42B5-9062-4E74A6F4E33A}"/>
    <cellStyle name="Финансовый 2 2 3 2 2 3" xfId="237" xr:uid="{7DABB75D-B60A-40EF-89BD-B0D1162D35E6}"/>
    <cellStyle name="Финансовый 2 2 3 2 2 3 2" xfId="493" xr:uid="{BC1516FF-94F3-405B-9B6B-AB08A9E2101F}"/>
    <cellStyle name="Финансовый 2 2 3 2 2 3 2 2" xfId="1005" xr:uid="{F4F79113-EA11-4328-8EB2-42E291228028}"/>
    <cellStyle name="Финансовый 2 2 3 2 2 3 2 2 2" xfId="2029" xr:uid="{234403AD-9F7D-4B4F-8A33-E412CC707481}"/>
    <cellStyle name="Финансовый 2 2 3 2 2 3 2 2 2 2" xfId="3463" xr:uid="{3F8C3246-A25F-4E29-8432-AB1F95494008}"/>
    <cellStyle name="Финансовый 2 2 3 2 2 3 2 2 3" xfId="3464" xr:uid="{F8607F6E-F714-4BF0-9D36-FA9F888042C4}"/>
    <cellStyle name="Финансовый 2 2 3 2 2 3 2 3" xfId="1517" xr:uid="{E5DEE68A-9D59-44C6-A3B1-77109D7A28D1}"/>
    <cellStyle name="Финансовый 2 2 3 2 2 3 2 3 2" xfId="3465" xr:uid="{27CCAE9B-05FF-422D-9C7E-63C60A94A22D}"/>
    <cellStyle name="Финансовый 2 2 3 2 2 3 2 4" xfId="3466" xr:uid="{AE95862A-158C-43FD-A7BC-9D8D79D948C3}"/>
    <cellStyle name="Финансовый 2 2 3 2 2 3 3" xfId="749" xr:uid="{8D6DF25A-E1FE-44CA-B52F-46A4B7214F42}"/>
    <cellStyle name="Финансовый 2 2 3 2 2 3 3 2" xfId="1773" xr:uid="{2364B179-548D-49F5-A3B8-765BE30EF783}"/>
    <cellStyle name="Финансовый 2 2 3 2 2 3 3 2 2" xfId="3467" xr:uid="{4CC1F5B2-F6E2-46F4-9209-66ED38DC61F3}"/>
    <cellStyle name="Финансовый 2 2 3 2 2 3 3 3" xfId="3468" xr:uid="{C857B7E4-44B3-420C-B2EC-C14877E660F2}"/>
    <cellStyle name="Финансовый 2 2 3 2 2 3 4" xfId="1261" xr:uid="{88672D83-5A61-4F0E-8D1F-CB9F510B4D2F}"/>
    <cellStyle name="Финансовый 2 2 3 2 2 3 4 2" xfId="3469" xr:uid="{9904DB99-AB39-4EA2-A1FD-555F7C88FE4E}"/>
    <cellStyle name="Финансовый 2 2 3 2 2 3 5" xfId="3470" xr:uid="{4B644C20-084F-489A-9973-21231A7F3D02}"/>
    <cellStyle name="Финансовый 2 2 3 2 2 4" xfId="365" xr:uid="{AC8249B7-3088-434C-AE75-C9BF00430960}"/>
    <cellStyle name="Финансовый 2 2 3 2 2 4 2" xfId="877" xr:uid="{30CA8600-7F16-4580-820C-698E70B99003}"/>
    <cellStyle name="Финансовый 2 2 3 2 2 4 2 2" xfId="1901" xr:uid="{1CB99AEE-0C6F-4E1D-A13A-7D457FD50C92}"/>
    <cellStyle name="Финансовый 2 2 3 2 2 4 2 2 2" xfId="3471" xr:uid="{7D4ED289-F8B8-41E1-B9EC-8CED49DD1BB8}"/>
    <cellStyle name="Финансовый 2 2 3 2 2 4 2 3" xfId="3472" xr:uid="{4DB3783A-AC75-490B-B3B6-88E337ADCE82}"/>
    <cellStyle name="Финансовый 2 2 3 2 2 4 3" xfId="1389" xr:uid="{7D05BE4E-51DA-43B5-9B76-B2B4E1C012DA}"/>
    <cellStyle name="Финансовый 2 2 3 2 2 4 3 2" xfId="3473" xr:uid="{524C8664-B455-4EF7-A94D-5A64DACAA780}"/>
    <cellStyle name="Финансовый 2 2 3 2 2 4 4" xfId="3474" xr:uid="{A67AFE5F-67C4-49FF-9D27-0135B8322786}"/>
    <cellStyle name="Финансовый 2 2 3 2 2 5" xfId="621" xr:uid="{52693B3A-39EB-4D41-A099-74BE540BFFAF}"/>
    <cellStyle name="Финансовый 2 2 3 2 2 5 2" xfId="1645" xr:uid="{064EC854-11FC-436F-8CBB-552C721E60CF}"/>
    <cellStyle name="Финансовый 2 2 3 2 2 5 2 2" xfId="3475" xr:uid="{EC3AF3E9-AB3F-4F21-9BF0-07110E555D5C}"/>
    <cellStyle name="Финансовый 2 2 3 2 2 5 3" xfId="3476" xr:uid="{DB7548E0-B1BC-4337-87F7-0C5103E73BA4}"/>
    <cellStyle name="Финансовый 2 2 3 2 2 6" xfId="1133" xr:uid="{F616B2BC-3207-4DA1-B88A-FA710F6FFA05}"/>
    <cellStyle name="Финансовый 2 2 3 2 2 6 2" xfId="3477" xr:uid="{429B1AD9-169D-4EC9-85D7-778A04265305}"/>
    <cellStyle name="Финансовый 2 2 3 2 2 7" xfId="3478" xr:uid="{882A1A84-3CD7-4EAB-870B-D10EB24F35FD}"/>
    <cellStyle name="Финансовый 2 2 3 2 3" xfId="141" xr:uid="{4C803BD4-C08D-43C2-ADDD-1820E27194A1}"/>
    <cellStyle name="Финансовый 2 2 3 2 3 2" xfId="269" xr:uid="{DD123383-8FF0-4F66-9EFA-E8689C544E94}"/>
    <cellStyle name="Финансовый 2 2 3 2 3 2 2" xfId="525" xr:uid="{FE04DD46-90F6-41CA-9665-C236F02CB59B}"/>
    <cellStyle name="Финансовый 2 2 3 2 3 2 2 2" xfId="1037" xr:uid="{6BE1AEC5-C39A-493B-AA4B-752D133C4F97}"/>
    <cellStyle name="Финансовый 2 2 3 2 3 2 2 2 2" xfId="2061" xr:uid="{A69347A9-A184-4C9A-8C52-FBDFF9A00A52}"/>
    <cellStyle name="Финансовый 2 2 3 2 3 2 2 2 2 2" xfId="3479" xr:uid="{537796CA-61B8-4BE9-8933-40E905122454}"/>
    <cellStyle name="Финансовый 2 2 3 2 3 2 2 2 3" xfId="3480" xr:uid="{C19E9340-CCB4-42AF-9DB8-65445B0D3A1D}"/>
    <cellStyle name="Финансовый 2 2 3 2 3 2 2 3" xfId="1549" xr:uid="{F4595FE5-E7F0-4430-853E-BF00D2DFACF9}"/>
    <cellStyle name="Финансовый 2 2 3 2 3 2 2 3 2" xfId="3481" xr:uid="{184AC6FA-F17B-4748-8B67-ACE1CA45EC72}"/>
    <cellStyle name="Финансовый 2 2 3 2 3 2 2 4" xfId="3482" xr:uid="{720CD6D9-5BBC-408E-AC67-6BDD3237E24C}"/>
    <cellStyle name="Финансовый 2 2 3 2 3 2 3" xfId="781" xr:uid="{2CE38CFB-49BF-4A04-B018-882333386C71}"/>
    <cellStyle name="Финансовый 2 2 3 2 3 2 3 2" xfId="1805" xr:uid="{3A60EA8D-7826-4A5E-B842-D0247C796C6A}"/>
    <cellStyle name="Финансовый 2 2 3 2 3 2 3 2 2" xfId="3483" xr:uid="{C2C77C84-2B93-4414-9678-E88F2D5D0669}"/>
    <cellStyle name="Финансовый 2 2 3 2 3 2 3 3" xfId="3484" xr:uid="{1DDE1107-E5C9-4916-93F7-CA538E584FAD}"/>
    <cellStyle name="Финансовый 2 2 3 2 3 2 4" xfId="1293" xr:uid="{9CBBD16D-6308-4720-A39A-53BA5DF0223E}"/>
    <cellStyle name="Финансовый 2 2 3 2 3 2 4 2" xfId="3485" xr:uid="{4C50E749-0E96-4400-B495-547E7E0BD610}"/>
    <cellStyle name="Финансовый 2 2 3 2 3 2 5" xfId="3486" xr:uid="{D540901A-6C3A-4BE8-8F0B-95FCBB176B16}"/>
    <cellStyle name="Финансовый 2 2 3 2 3 3" xfId="397" xr:uid="{3E1E5F37-DC17-4708-BE90-0D41C8D635A9}"/>
    <cellStyle name="Финансовый 2 2 3 2 3 3 2" xfId="909" xr:uid="{F40DB87D-2099-4C98-B47F-4BCED8730B7B}"/>
    <cellStyle name="Финансовый 2 2 3 2 3 3 2 2" xfId="1933" xr:uid="{5DC7B80B-07E1-434B-96EF-602CE96457CB}"/>
    <cellStyle name="Финансовый 2 2 3 2 3 3 2 2 2" xfId="3487" xr:uid="{F8DDD981-08EA-451F-BB0C-8FF7539E99B8}"/>
    <cellStyle name="Финансовый 2 2 3 2 3 3 2 3" xfId="3488" xr:uid="{99CBAB3D-18AA-4A09-A49B-DC919DC9077D}"/>
    <cellStyle name="Финансовый 2 2 3 2 3 3 3" xfId="1421" xr:uid="{36CE4220-0037-493C-BCD0-1512A43E3536}"/>
    <cellStyle name="Финансовый 2 2 3 2 3 3 3 2" xfId="3489" xr:uid="{8E4DDBFA-1D5F-4873-A019-1BD4ACDF8485}"/>
    <cellStyle name="Финансовый 2 2 3 2 3 3 4" xfId="3490" xr:uid="{D0ADF453-6E37-4A5F-B3B3-0BD33D49FA37}"/>
    <cellStyle name="Финансовый 2 2 3 2 3 4" xfId="653" xr:uid="{D662C414-E2A8-4A2E-9FEF-45E87609596B}"/>
    <cellStyle name="Финансовый 2 2 3 2 3 4 2" xfId="1677" xr:uid="{66B09139-4EBC-4D2A-960F-2880711EB8CD}"/>
    <cellStyle name="Финансовый 2 2 3 2 3 4 2 2" xfId="3491" xr:uid="{EBF4AFCD-BFE4-442D-996E-6DD8016A582E}"/>
    <cellStyle name="Финансовый 2 2 3 2 3 4 3" xfId="3492" xr:uid="{E84CDA4F-6EE3-4B31-B326-207524CE6D0F}"/>
    <cellStyle name="Финансовый 2 2 3 2 3 5" xfId="1165" xr:uid="{FFFC70FF-0294-4AE3-AB7C-559EA3A1AB74}"/>
    <cellStyle name="Финансовый 2 2 3 2 3 5 2" xfId="3493" xr:uid="{25B307A4-B851-4B51-A976-4CFEAFD573EA}"/>
    <cellStyle name="Финансовый 2 2 3 2 3 6" xfId="3494" xr:uid="{88E4196A-B0A7-4D98-9861-6D90C96CE639}"/>
    <cellStyle name="Финансовый 2 2 3 2 4" xfId="205" xr:uid="{40A06056-E42E-435C-B76D-D16FB1B32FE7}"/>
    <cellStyle name="Финансовый 2 2 3 2 4 2" xfId="461" xr:uid="{620E151D-EB6D-4794-8AF0-A24F4A32657C}"/>
    <cellStyle name="Финансовый 2 2 3 2 4 2 2" xfId="973" xr:uid="{4D814FAC-E8E9-44C5-86F6-F8CB33DFA9F4}"/>
    <cellStyle name="Финансовый 2 2 3 2 4 2 2 2" xfId="1997" xr:uid="{7A6B5BAC-6C6C-445C-A96D-27A0077E8694}"/>
    <cellStyle name="Финансовый 2 2 3 2 4 2 2 2 2" xfId="3495" xr:uid="{DF5A2C7F-9200-4C72-B6D1-A651BB19EA3B}"/>
    <cellStyle name="Финансовый 2 2 3 2 4 2 2 3" xfId="3496" xr:uid="{00478476-DAC9-4F1F-80CB-2441CB00450E}"/>
    <cellStyle name="Финансовый 2 2 3 2 4 2 3" xfId="1485" xr:uid="{1F60EC39-AD9D-4448-872C-99EBCD347762}"/>
    <cellStyle name="Финансовый 2 2 3 2 4 2 3 2" xfId="3497" xr:uid="{E43F35EE-FFCF-4FF7-BA23-3C26F4FBE729}"/>
    <cellStyle name="Финансовый 2 2 3 2 4 2 4" xfId="3498" xr:uid="{57E434C0-A73E-4AA6-9BB6-9C168405F005}"/>
    <cellStyle name="Финансовый 2 2 3 2 4 3" xfId="717" xr:uid="{0C01F09F-2386-4645-9B7B-0CA96E098182}"/>
    <cellStyle name="Финансовый 2 2 3 2 4 3 2" xfId="1741" xr:uid="{8103BB07-37BD-4A79-966D-726A5AB3007C}"/>
    <cellStyle name="Финансовый 2 2 3 2 4 3 2 2" xfId="3499" xr:uid="{5276FAF6-B46F-4B75-8E23-2CBD24989F85}"/>
    <cellStyle name="Финансовый 2 2 3 2 4 3 3" xfId="3500" xr:uid="{EC96933D-08FD-410A-8480-3E0E73BEC9EA}"/>
    <cellStyle name="Финансовый 2 2 3 2 4 4" xfId="1229" xr:uid="{D1997671-E298-466C-AD44-902BCE3E1FCB}"/>
    <cellStyle name="Финансовый 2 2 3 2 4 4 2" xfId="3501" xr:uid="{2F7E4846-14B0-4480-AA02-6615DFDEFCB5}"/>
    <cellStyle name="Финансовый 2 2 3 2 4 5" xfId="3502" xr:uid="{8B928318-E442-4823-8B58-B55DF98E4908}"/>
    <cellStyle name="Финансовый 2 2 3 2 5" xfId="333" xr:uid="{4F05F7B5-9795-4B97-B970-BF95826EC4C8}"/>
    <cellStyle name="Финансовый 2 2 3 2 5 2" xfId="845" xr:uid="{70642B0E-685C-4443-A2C4-229C44494C65}"/>
    <cellStyle name="Финансовый 2 2 3 2 5 2 2" xfId="1869" xr:uid="{E56D3C60-069B-402B-8C6A-A2D6F5567B80}"/>
    <cellStyle name="Финансовый 2 2 3 2 5 2 2 2" xfId="3503" xr:uid="{913581A9-5997-4259-8C5D-7C1C647DC031}"/>
    <cellStyle name="Финансовый 2 2 3 2 5 2 3" xfId="3504" xr:uid="{0D4C65F8-36D3-4559-8CDD-F94BEE350DD4}"/>
    <cellStyle name="Финансовый 2 2 3 2 5 3" xfId="1357" xr:uid="{125714B0-97C9-49B7-AFF3-8FE95C434292}"/>
    <cellStyle name="Финансовый 2 2 3 2 5 3 2" xfId="3505" xr:uid="{A3D72998-BBF8-43D1-8532-F63271D6237A}"/>
    <cellStyle name="Финансовый 2 2 3 2 5 4" xfId="3506" xr:uid="{527A63FC-7577-4ADC-96CC-78B4627FA0F6}"/>
    <cellStyle name="Финансовый 2 2 3 2 6" xfId="589" xr:uid="{7C747555-D589-411C-8B98-4D540EC2298F}"/>
    <cellStyle name="Финансовый 2 2 3 2 6 2" xfId="1613" xr:uid="{9E6F3957-871C-4BF7-9602-FCE932260D22}"/>
    <cellStyle name="Финансовый 2 2 3 2 6 2 2" xfId="3507" xr:uid="{61CCFB9A-FE21-45D6-9FA1-50E17168893E}"/>
    <cellStyle name="Финансовый 2 2 3 2 6 3" xfId="3508" xr:uid="{12CFA2BA-9DC4-4498-98C1-312B46F4501A}"/>
    <cellStyle name="Финансовый 2 2 3 2 7" xfId="1101" xr:uid="{7E7C3D5B-B4EC-4C16-800C-0678B3266AE9}"/>
    <cellStyle name="Финансовый 2 2 3 2 7 2" xfId="3509" xr:uid="{062C2332-9C80-41BF-928D-8808EBE5D373}"/>
    <cellStyle name="Финансовый 2 2 3 2 8" xfId="3510" xr:uid="{767B6627-8172-47C8-9C70-1C3A82A80EA8}"/>
    <cellStyle name="Финансовый 2 2 3 3" xfId="93" xr:uid="{2F8A4657-13B4-4D61-BDD1-B5B1B4EC480B}"/>
    <cellStyle name="Финансовый 2 2 3 3 2" xfId="157" xr:uid="{2B129153-4FA5-4C70-A20D-72776A3F324C}"/>
    <cellStyle name="Финансовый 2 2 3 3 2 2" xfId="285" xr:uid="{06C88F20-7437-4BBF-9229-00B9994475E3}"/>
    <cellStyle name="Финансовый 2 2 3 3 2 2 2" xfId="541" xr:uid="{88322A87-A218-488F-9EE4-A7C90FE08256}"/>
    <cellStyle name="Финансовый 2 2 3 3 2 2 2 2" xfId="1053" xr:uid="{8AF4E884-3C2E-46A8-8489-FC9BCFE865FB}"/>
    <cellStyle name="Финансовый 2 2 3 3 2 2 2 2 2" xfId="2077" xr:uid="{A797F2A4-14B5-4C0E-84D1-489F08A17492}"/>
    <cellStyle name="Финансовый 2 2 3 3 2 2 2 2 2 2" xfId="3511" xr:uid="{87D0545A-9E10-4B5F-BF1E-DB97AC16B3BA}"/>
    <cellStyle name="Финансовый 2 2 3 3 2 2 2 2 3" xfId="3512" xr:uid="{281F465D-50B4-4376-81A9-1560FA48E943}"/>
    <cellStyle name="Финансовый 2 2 3 3 2 2 2 3" xfId="1565" xr:uid="{FCECF33D-9086-4008-9327-C16EFAD82758}"/>
    <cellStyle name="Финансовый 2 2 3 3 2 2 2 3 2" xfId="3513" xr:uid="{04A28F27-54C5-4F62-9708-42F24B98440D}"/>
    <cellStyle name="Финансовый 2 2 3 3 2 2 2 4" xfId="3514" xr:uid="{34793DCE-F57A-462A-8A97-40DC96832D79}"/>
    <cellStyle name="Финансовый 2 2 3 3 2 2 3" xfId="797" xr:uid="{4179FA60-6F08-41C4-A838-1A4B61B414BB}"/>
    <cellStyle name="Финансовый 2 2 3 3 2 2 3 2" xfId="1821" xr:uid="{EFB50FF0-9A3E-41D5-A4B3-A717A41E3E2A}"/>
    <cellStyle name="Финансовый 2 2 3 3 2 2 3 2 2" xfId="3515" xr:uid="{98980256-9540-4248-BB1B-1B4BA9AC9D02}"/>
    <cellStyle name="Финансовый 2 2 3 3 2 2 3 3" xfId="3516" xr:uid="{D2405CC8-7064-424A-BB77-05007AC13E11}"/>
    <cellStyle name="Финансовый 2 2 3 3 2 2 4" xfId="1309" xr:uid="{5A12EC26-6552-44E3-9061-6F500B438B60}"/>
    <cellStyle name="Финансовый 2 2 3 3 2 2 4 2" xfId="3517" xr:uid="{A3019C2F-09B3-47F1-9B18-F78A08A0C63B}"/>
    <cellStyle name="Финансовый 2 2 3 3 2 2 5" xfId="3518" xr:uid="{9C48CFF2-9CDF-4FDF-B017-D52636BB0E9B}"/>
    <cellStyle name="Финансовый 2 2 3 3 2 3" xfId="413" xr:uid="{9C3C3B7B-3306-47BD-8B86-5BECEDD43DCD}"/>
    <cellStyle name="Финансовый 2 2 3 3 2 3 2" xfId="925" xr:uid="{670D1C62-0AF9-455D-B24C-0BE8F5D20609}"/>
    <cellStyle name="Финансовый 2 2 3 3 2 3 2 2" xfId="1949" xr:uid="{1F9A512D-E1EF-485B-A3CA-07EBC7E64790}"/>
    <cellStyle name="Финансовый 2 2 3 3 2 3 2 2 2" xfId="3519" xr:uid="{35CB0B96-0FD7-48D2-A77D-10B472A506F7}"/>
    <cellStyle name="Финансовый 2 2 3 3 2 3 2 3" xfId="3520" xr:uid="{865102D2-BC9B-4D35-90A9-6551A8549B77}"/>
    <cellStyle name="Финансовый 2 2 3 3 2 3 3" xfId="1437" xr:uid="{7F0D203D-E3C3-4455-A7AD-760B83AD529A}"/>
    <cellStyle name="Финансовый 2 2 3 3 2 3 3 2" xfId="3521" xr:uid="{A8637727-12EE-4549-94A1-18528C974E20}"/>
    <cellStyle name="Финансовый 2 2 3 3 2 3 4" xfId="3522" xr:uid="{024710D9-CC2C-4049-A265-6DF9DF184F33}"/>
    <cellStyle name="Финансовый 2 2 3 3 2 4" xfId="669" xr:uid="{54BA1258-1AE8-4663-9FF3-44AB7C71288E}"/>
    <cellStyle name="Финансовый 2 2 3 3 2 4 2" xfId="1693" xr:uid="{651DDCA6-E3BA-4D42-845A-7CF151FAA002}"/>
    <cellStyle name="Финансовый 2 2 3 3 2 4 2 2" xfId="3523" xr:uid="{04F2AF37-2BAC-4080-AB2D-96DF724745F0}"/>
    <cellStyle name="Финансовый 2 2 3 3 2 4 3" xfId="3524" xr:uid="{53BD19E6-83BE-4051-A049-2CAC08FF3D11}"/>
    <cellStyle name="Финансовый 2 2 3 3 2 5" xfId="1181" xr:uid="{C9093D79-33D3-4865-9947-20797D50B2AB}"/>
    <cellStyle name="Финансовый 2 2 3 3 2 5 2" xfId="3525" xr:uid="{C764D92E-1E27-4CBE-BC0D-85A767925417}"/>
    <cellStyle name="Финансовый 2 2 3 3 2 6" xfId="3526" xr:uid="{9EC402DF-80A3-4D87-BE97-94ED2319A64F}"/>
    <cellStyle name="Финансовый 2 2 3 3 3" xfId="221" xr:uid="{65E62605-5F87-4980-A7A2-FCCC644C8A1D}"/>
    <cellStyle name="Финансовый 2 2 3 3 3 2" xfId="477" xr:uid="{453B2D42-7410-40A3-A423-2080998C40AA}"/>
    <cellStyle name="Финансовый 2 2 3 3 3 2 2" xfId="989" xr:uid="{A1D2BC4B-67FD-404E-AF46-629D5DC428CF}"/>
    <cellStyle name="Финансовый 2 2 3 3 3 2 2 2" xfId="2013" xr:uid="{A7E9D256-92BA-4FEB-8740-72CF7A059897}"/>
    <cellStyle name="Финансовый 2 2 3 3 3 2 2 2 2" xfId="3527" xr:uid="{50E08837-55F3-4DF5-9478-0B903B360C3D}"/>
    <cellStyle name="Финансовый 2 2 3 3 3 2 2 3" xfId="3528" xr:uid="{19A93282-3018-408F-AB56-0522A24D4335}"/>
    <cellStyle name="Финансовый 2 2 3 3 3 2 3" xfId="1501" xr:uid="{F57324C5-20E2-4460-B1E7-EF7EBEAED295}"/>
    <cellStyle name="Финансовый 2 2 3 3 3 2 3 2" xfId="3529" xr:uid="{FA74B223-8BCD-45D3-80EE-EAAD3D7DB921}"/>
    <cellStyle name="Финансовый 2 2 3 3 3 2 4" xfId="3530" xr:uid="{ED84AB05-6781-4F46-9DBB-55E7B03C4F4C}"/>
    <cellStyle name="Финансовый 2 2 3 3 3 3" xfId="733" xr:uid="{E43AD299-7EBD-4B1B-A363-54C9318B5D4D}"/>
    <cellStyle name="Финансовый 2 2 3 3 3 3 2" xfId="1757" xr:uid="{7A9C7B35-9C9A-43D7-8FF4-FE63368268B7}"/>
    <cellStyle name="Финансовый 2 2 3 3 3 3 2 2" xfId="3531" xr:uid="{023813AA-7AF6-4310-A11E-BD520C89D67F}"/>
    <cellStyle name="Финансовый 2 2 3 3 3 3 3" xfId="3532" xr:uid="{98B22A14-84AB-4ED4-83EC-1CB85CD836D3}"/>
    <cellStyle name="Финансовый 2 2 3 3 3 4" xfId="1245" xr:uid="{4E26FC0B-1B42-4B6F-A10B-174B9A39826F}"/>
    <cellStyle name="Финансовый 2 2 3 3 3 4 2" xfId="3533" xr:uid="{9A8755F6-7AB4-48C9-B496-205E637DCD24}"/>
    <cellStyle name="Финансовый 2 2 3 3 3 5" xfId="3534" xr:uid="{0388A995-9369-4F0A-9FAA-3440731E105C}"/>
    <cellStyle name="Финансовый 2 2 3 3 4" xfId="349" xr:uid="{D3B2E654-B043-4CB8-9ACD-08CDA18FCBC2}"/>
    <cellStyle name="Финансовый 2 2 3 3 4 2" xfId="861" xr:uid="{9FF18DCF-CF45-470D-A09F-3F861A451606}"/>
    <cellStyle name="Финансовый 2 2 3 3 4 2 2" xfId="1885" xr:uid="{2D5E6A96-3D18-4E52-9AD2-CBAF6D2950E8}"/>
    <cellStyle name="Финансовый 2 2 3 3 4 2 2 2" xfId="3535" xr:uid="{08B24630-5B60-44D5-8326-E92FF60579C7}"/>
    <cellStyle name="Финансовый 2 2 3 3 4 2 3" xfId="3536" xr:uid="{ACCFFA71-100E-4E06-94B1-E86B398B43C3}"/>
    <cellStyle name="Финансовый 2 2 3 3 4 3" xfId="1373" xr:uid="{7C23AB4D-4C2C-49E0-A7DD-88D581EB9E04}"/>
    <cellStyle name="Финансовый 2 2 3 3 4 3 2" xfId="3537" xr:uid="{D131A03B-3036-4A07-BCA7-99BBECCE6399}"/>
    <cellStyle name="Финансовый 2 2 3 3 4 4" xfId="3538" xr:uid="{F39D7F67-EF40-4774-8714-FADDA93C3D48}"/>
    <cellStyle name="Финансовый 2 2 3 3 5" xfId="605" xr:uid="{EA76CBF6-E75A-4547-8769-A96485028CCB}"/>
    <cellStyle name="Финансовый 2 2 3 3 5 2" xfId="1629" xr:uid="{BAC926E0-E533-4212-8E96-9894A8B420E6}"/>
    <cellStyle name="Финансовый 2 2 3 3 5 2 2" xfId="3539" xr:uid="{327CC357-00AF-4BC0-ADFE-AF81903A0E7E}"/>
    <cellStyle name="Финансовый 2 2 3 3 5 3" xfId="3540" xr:uid="{65BDA417-38B4-43E7-8E20-B97258AC043A}"/>
    <cellStyle name="Финансовый 2 2 3 3 6" xfId="1117" xr:uid="{D639C659-1D59-4730-AA39-A925A52B7ED6}"/>
    <cellStyle name="Финансовый 2 2 3 3 6 2" xfId="3541" xr:uid="{F9607C3B-C267-47C3-951A-DA3BE8F7177B}"/>
    <cellStyle name="Финансовый 2 2 3 3 7" xfId="3542" xr:uid="{3284BDA3-125E-4219-B7B1-99C9E7207E91}"/>
    <cellStyle name="Финансовый 2 2 3 4" xfId="125" xr:uid="{86C3750A-E8AC-4637-9930-8BB2CA38C28F}"/>
    <cellStyle name="Финансовый 2 2 3 4 2" xfId="253" xr:uid="{13580D16-5015-43D0-9D57-51F7B392F74A}"/>
    <cellStyle name="Финансовый 2 2 3 4 2 2" xfId="509" xr:uid="{5E9795D3-2E41-46FC-9505-94DE7F4834E6}"/>
    <cellStyle name="Финансовый 2 2 3 4 2 2 2" xfId="1021" xr:uid="{F627A221-FC98-4E72-82BC-93767E7C0BBF}"/>
    <cellStyle name="Финансовый 2 2 3 4 2 2 2 2" xfId="2045" xr:uid="{695E233A-32F4-48A2-9B88-25597A22F4BA}"/>
    <cellStyle name="Финансовый 2 2 3 4 2 2 2 2 2" xfId="3543" xr:uid="{0F4ACB90-EAC6-4304-AD1B-6296CC5F978C}"/>
    <cellStyle name="Финансовый 2 2 3 4 2 2 2 3" xfId="3544" xr:uid="{8C7AC8E6-1348-4104-9A35-0B06CCE8A15C}"/>
    <cellStyle name="Финансовый 2 2 3 4 2 2 3" xfId="1533" xr:uid="{252EA161-86D2-4EE0-B5D9-B20BE56993B2}"/>
    <cellStyle name="Финансовый 2 2 3 4 2 2 3 2" xfId="3545" xr:uid="{D1F3A261-9279-4B03-8446-9742DDFF60F4}"/>
    <cellStyle name="Финансовый 2 2 3 4 2 2 4" xfId="3546" xr:uid="{60EC2052-B9DF-467F-A02E-3FC7DF0DDFCE}"/>
    <cellStyle name="Финансовый 2 2 3 4 2 3" xfId="765" xr:uid="{4068A635-B250-48C2-BFD9-48565A9676BE}"/>
    <cellStyle name="Финансовый 2 2 3 4 2 3 2" xfId="1789" xr:uid="{A13761AD-023F-423F-8C0B-89A5DA4EBF6E}"/>
    <cellStyle name="Финансовый 2 2 3 4 2 3 2 2" xfId="3547" xr:uid="{6FF091F5-74FF-40D6-8FBE-61917BD8E3CC}"/>
    <cellStyle name="Финансовый 2 2 3 4 2 3 3" xfId="3548" xr:uid="{FC295DC1-2F80-477B-A70F-8DF680C69AB8}"/>
    <cellStyle name="Финансовый 2 2 3 4 2 4" xfId="1277" xr:uid="{949490B1-F56A-4511-AE80-35CA090B6DFE}"/>
    <cellStyle name="Финансовый 2 2 3 4 2 4 2" xfId="3549" xr:uid="{59198583-321A-4CBE-ADF4-E768563FF76D}"/>
    <cellStyle name="Финансовый 2 2 3 4 2 5" xfId="3550" xr:uid="{0621C6AD-2FFB-429D-9480-31B7B18B2FA9}"/>
    <cellStyle name="Финансовый 2 2 3 4 3" xfId="381" xr:uid="{A0A2FE7B-0441-4FB4-A011-3DC7D50B553D}"/>
    <cellStyle name="Финансовый 2 2 3 4 3 2" xfId="893" xr:uid="{5221303A-9589-4FBD-BD5A-F389D567F902}"/>
    <cellStyle name="Финансовый 2 2 3 4 3 2 2" xfId="1917" xr:uid="{3B187B8A-FD92-4649-9636-18E96F03675F}"/>
    <cellStyle name="Финансовый 2 2 3 4 3 2 2 2" xfId="3551" xr:uid="{DD563469-DB12-4D82-A91A-7A4AEA4C4E10}"/>
    <cellStyle name="Финансовый 2 2 3 4 3 2 3" xfId="3552" xr:uid="{AA4D2ED5-D6CE-4CDC-AA90-50A85D89E1A6}"/>
    <cellStyle name="Финансовый 2 2 3 4 3 3" xfId="1405" xr:uid="{4D49D939-2BCB-4C8B-A956-C36023E5DB25}"/>
    <cellStyle name="Финансовый 2 2 3 4 3 3 2" xfId="3553" xr:uid="{EF5833BE-F00F-4037-AE4C-2A5547856DF4}"/>
    <cellStyle name="Финансовый 2 2 3 4 3 4" xfId="3554" xr:uid="{CEE1D8B5-464C-412F-8DB5-3ED639432C84}"/>
    <cellStyle name="Финансовый 2 2 3 4 4" xfId="637" xr:uid="{01DCCF8E-B8D4-4EFC-AC93-6892F2152989}"/>
    <cellStyle name="Финансовый 2 2 3 4 4 2" xfId="1661" xr:uid="{A3EFD2B3-3D7D-41FC-B7EC-93920857C2CB}"/>
    <cellStyle name="Финансовый 2 2 3 4 4 2 2" xfId="3555" xr:uid="{E16CEF34-783F-4924-9BC5-B7CC966C9436}"/>
    <cellStyle name="Финансовый 2 2 3 4 4 3" xfId="3556" xr:uid="{0F0137E5-19F1-488D-A8E2-6023E86C907E}"/>
    <cellStyle name="Финансовый 2 2 3 4 5" xfId="1149" xr:uid="{104911E8-AC50-4632-AC81-C0A76788A956}"/>
    <cellStyle name="Финансовый 2 2 3 4 5 2" xfId="3557" xr:uid="{0EEAB096-62DF-435E-96E2-36A8065D0D50}"/>
    <cellStyle name="Финансовый 2 2 3 4 6" xfId="3558" xr:uid="{2024B672-0B01-4C39-B585-21E14199AC1A}"/>
    <cellStyle name="Финансовый 2 2 3 5" xfId="189" xr:uid="{28E0C61C-CE5A-4B05-BA3F-9F99EE46BE15}"/>
    <cellStyle name="Финансовый 2 2 3 5 2" xfId="445" xr:uid="{20B28059-DA47-422B-95AD-01A75A0F5AC5}"/>
    <cellStyle name="Финансовый 2 2 3 5 2 2" xfId="957" xr:uid="{FA0EC322-C1FA-4C31-B455-2665FD25FD6C}"/>
    <cellStyle name="Финансовый 2 2 3 5 2 2 2" xfId="1981" xr:uid="{F79DEEAF-C7EE-4DFF-A993-F9EF1F99225B}"/>
    <cellStyle name="Финансовый 2 2 3 5 2 2 2 2" xfId="3559" xr:uid="{FF4C029C-B79A-4F6A-802A-F9635D9EC022}"/>
    <cellStyle name="Финансовый 2 2 3 5 2 2 3" xfId="3560" xr:uid="{C7320663-36D9-4AB6-A4A4-4883BA77E11D}"/>
    <cellStyle name="Финансовый 2 2 3 5 2 3" xfId="1469" xr:uid="{A9EA4AE3-0FCB-4537-94ED-03651D289152}"/>
    <cellStyle name="Финансовый 2 2 3 5 2 3 2" xfId="3561" xr:uid="{9FE08C16-FC1E-4187-92C9-EF66F8E1ED6F}"/>
    <cellStyle name="Финансовый 2 2 3 5 2 4" xfId="3562" xr:uid="{7E268ACA-3F2C-4A9A-BEE9-8193AA797A50}"/>
    <cellStyle name="Финансовый 2 2 3 5 3" xfId="701" xr:uid="{9260F9DB-30DC-417A-9595-2BF30EB58DBF}"/>
    <cellStyle name="Финансовый 2 2 3 5 3 2" xfId="1725" xr:uid="{F74425A3-672F-4780-AD66-1C96F84EDC71}"/>
    <cellStyle name="Финансовый 2 2 3 5 3 2 2" xfId="3563" xr:uid="{D7D7DEB5-0BED-496A-960A-60BE3B6B6AB3}"/>
    <cellStyle name="Финансовый 2 2 3 5 3 3" xfId="3564" xr:uid="{361C09FD-CDAF-4C0F-86BC-DD11FBA31147}"/>
    <cellStyle name="Финансовый 2 2 3 5 4" xfId="1213" xr:uid="{70E70139-ED20-4EC8-8D6E-9E69920CD948}"/>
    <cellStyle name="Финансовый 2 2 3 5 4 2" xfId="3565" xr:uid="{57DE4DD8-8AF7-4AAE-BACE-752E58513B98}"/>
    <cellStyle name="Финансовый 2 2 3 5 5" xfId="3566" xr:uid="{8D3EA49A-7DF4-4E45-B187-C9C387BF6DA2}"/>
    <cellStyle name="Финансовый 2 2 3 6" xfId="317" xr:uid="{A290FE30-77DD-4220-BF65-D9CB8C94AE80}"/>
    <cellStyle name="Финансовый 2 2 3 6 2" xfId="829" xr:uid="{44F2D36C-0161-44F5-8B95-5786CF9BD54D}"/>
    <cellStyle name="Финансовый 2 2 3 6 2 2" xfId="1853" xr:uid="{44F08E4A-3AB8-49B1-A6D1-26AEEC285A0D}"/>
    <cellStyle name="Финансовый 2 2 3 6 2 2 2" xfId="3567" xr:uid="{F9A04978-72C9-4982-B948-EE9BFCCDE82B}"/>
    <cellStyle name="Финансовый 2 2 3 6 2 3" xfId="3568" xr:uid="{7CEF63E8-72A9-4D83-AD3F-C2C35834249A}"/>
    <cellStyle name="Финансовый 2 2 3 6 3" xfId="1341" xr:uid="{43B35E19-F574-47A1-8B05-BFFB9448F88A}"/>
    <cellStyle name="Финансовый 2 2 3 6 3 2" xfId="3569" xr:uid="{8FDD63E2-5ADD-4BCC-AA1E-BB0422027285}"/>
    <cellStyle name="Финансовый 2 2 3 6 4" xfId="3570" xr:uid="{AE568532-1745-44CF-A33A-DF3318720D5C}"/>
    <cellStyle name="Финансовый 2 2 3 7" xfId="573" xr:uid="{12DAA4DE-91C4-417F-B4A5-04ADF4B9BBA9}"/>
    <cellStyle name="Финансовый 2 2 3 7 2" xfId="1597" xr:uid="{59338BF5-2C67-40B7-B632-4CCB14371090}"/>
    <cellStyle name="Финансовый 2 2 3 7 2 2" xfId="3571" xr:uid="{2D48BEE1-008A-45AD-A68C-8B9946B0110E}"/>
    <cellStyle name="Финансовый 2 2 3 7 3" xfId="3572" xr:uid="{85CF3837-C846-4439-9193-EFE1CA3876E2}"/>
    <cellStyle name="Финансовый 2 2 3 8" xfId="1085" xr:uid="{16BFFC98-FDAC-42EF-948B-4B771A279AFF}"/>
    <cellStyle name="Финансовый 2 2 3 8 2" xfId="3573" xr:uid="{469CC059-5A0E-41C3-8383-F796CF4719B5}"/>
    <cellStyle name="Финансовый 2 2 3 9" xfId="3574" xr:uid="{A5F0F77C-3A69-4FFA-91B7-21DCCA5E284E}"/>
    <cellStyle name="Финансовый 2 2 4" xfId="68" xr:uid="{EF917889-C0C0-43F5-BD3B-B1F6FAECA141}"/>
    <cellStyle name="Финансовый 2 2 4 2" xfId="101" xr:uid="{98DE2EBD-ED4F-407E-8909-32FA409B45E3}"/>
    <cellStyle name="Финансовый 2 2 4 2 2" xfId="165" xr:uid="{4F6E6128-4E85-4F5D-B61F-C299B46ECAD6}"/>
    <cellStyle name="Финансовый 2 2 4 2 2 2" xfId="293" xr:uid="{16C156A2-FDFC-45A7-BE13-9A9AC5FD6B81}"/>
    <cellStyle name="Финансовый 2 2 4 2 2 2 2" xfId="549" xr:uid="{FA910A52-7CFF-4347-A9CF-35EEFDAB5E1A}"/>
    <cellStyle name="Финансовый 2 2 4 2 2 2 2 2" xfId="1061" xr:uid="{54FA2A46-2F9F-4CC8-8404-D8F54867D282}"/>
    <cellStyle name="Финансовый 2 2 4 2 2 2 2 2 2" xfId="2085" xr:uid="{02F1FDBD-F149-4AC7-ADE2-F0CF429DCE13}"/>
    <cellStyle name="Финансовый 2 2 4 2 2 2 2 2 2 2" xfId="3575" xr:uid="{59F9E97D-299D-475F-84D1-5087D87AFAFD}"/>
    <cellStyle name="Финансовый 2 2 4 2 2 2 2 2 3" xfId="3576" xr:uid="{95F0BA97-A386-423A-A6FA-5BC4B15E0466}"/>
    <cellStyle name="Финансовый 2 2 4 2 2 2 2 3" xfId="1573" xr:uid="{188BE62F-FBBF-4A11-B3F2-63143C55317C}"/>
    <cellStyle name="Финансовый 2 2 4 2 2 2 2 3 2" xfId="3577" xr:uid="{8763B41C-53AD-49FC-92E3-681E856C5986}"/>
    <cellStyle name="Финансовый 2 2 4 2 2 2 2 4" xfId="3578" xr:uid="{5AEC3E85-22C7-44B6-8332-7EF7E95EDD36}"/>
    <cellStyle name="Финансовый 2 2 4 2 2 2 3" xfId="805" xr:uid="{32D0946B-43F3-4116-8D14-93FA86CFFD1C}"/>
    <cellStyle name="Финансовый 2 2 4 2 2 2 3 2" xfId="1829" xr:uid="{63D65E14-C5EF-4074-9B04-DF9964A9D394}"/>
    <cellStyle name="Финансовый 2 2 4 2 2 2 3 2 2" xfId="3579" xr:uid="{7C7B9ACC-57A2-43B5-82D2-75F62CE5C2AA}"/>
    <cellStyle name="Финансовый 2 2 4 2 2 2 3 3" xfId="3580" xr:uid="{F7F73861-DAE0-4276-BDCB-F9638EC02267}"/>
    <cellStyle name="Финансовый 2 2 4 2 2 2 4" xfId="1317" xr:uid="{8978D165-D35F-46C8-9E73-96258A532103}"/>
    <cellStyle name="Финансовый 2 2 4 2 2 2 4 2" xfId="3581" xr:uid="{815B7C9D-CFA8-48FB-9CDA-D435D2F5E3B4}"/>
    <cellStyle name="Финансовый 2 2 4 2 2 2 5" xfId="3582" xr:uid="{9BF053EB-24EE-404C-9339-8375FF5EA716}"/>
    <cellStyle name="Финансовый 2 2 4 2 2 3" xfId="421" xr:uid="{8CD53B74-B35E-4ED8-B8BA-1DC5ADEE5CA0}"/>
    <cellStyle name="Финансовый 2 2 4 2 2 3 2" xfId="933" xr:uid="{594FED65-8FF7-478D-BABC-472D82219A1E}"/>
    <cellStyle name="Финансовый 2 2 4 2 2 3 2 2" xfId="1957" xr:uid="{FD408FB2-B56E-47F7-A308-B295CA0715E4}"/>
    <cellStyle name="Финансовый 2 2 4 2 2 3 2 2 2" xfId="3583" xr:uid="{FAE999CA-33EA-4F05-922A-6D4194CCE32E}"/>
    <cellStyle name="Финансовый 2 2 4 2 2 3 2 3" xfId="3584" xr:uid="{76D7191D-E7B3-4288-ACAC-5A0818CC13E9}"/>
    <cellStyle name="Финансовый 2 2 4 2 2 3 3" xfId="1445" xr:uid="{34C7795D-DBF0-4359-A31F-D8E1FDEBB1A4}"/>
    <cellStyle name="Финансовый 2 2 4 2 2 3 3 2" xfId="3585" xr:uid="{7E900FA3-543B-4E83-A89C-B25C184C13B4}"/>
    <cellStyle name="Финансовый 2 2 4 2 2 3 4" xfId="3586" xr:uid="{A59E09DE-3A52-49A6-9856-C76D9AB29BCD}"/>
    <cellStyle name="Финансовый 2 2 4 2 2 4" xfId="677" xr:uid="{2AE080DC-2853-4868-9103-DA50160F02D7}"/>
    <cellStyle name="Финансовый 2 2 4 2 2 4 2" xfId="1701" xr:uid="{11C02119-C31F-4FC9-AD98-00359CA7C9C7}"/>
    <cellStyle name="Финансовый 2 2 4 2 2 4 2 2" xfId="3587" xr:uid="{CFF7965F-A9BA-405A-BF9B-3E46B553B06E}"/>
    <cellStyle name="Финансовый 2 2 4 2 2 4 3" xfId="3588" xr:uid="{BEE3D693-0C83-418C-A662-ED3835EA5382}"/>
    <cellStyle name="Финансовый 2 2 4 2 2 5" xfId="1189" xr:uid="{882639F0-49A7-4EEB-8882-0E9CCE5171C9}"/>
    <cellStyle name="Финансовый 2 2 4 2 2 5 2" xfId="3589" xr:uid="{A7E72568-E776-4F27-B3E0-6E9A39B11F03}"/>
    <cellStyle name="Финансовый 2 2 4 2 2 6" xfId="3590" xr:uid="{34E068F7-F3D5-4F06-8746-F52B541314BD}"/>
    <cellStyle name="Финансовый 2 2 4 2 3" xfId="229" xr:uid="{2C9FBB03-3FB0-4204-9475-F5F687A1AC76}"/>
    <cellStyle name="Финансовый 2 2 4 2 3 2" xfId="485" xr:uid="{74A040E8-4F1A-4E2D-976A-2491F2E0E0CD}"/>
    <cellStyle name="Финансовый 2 2 4 2 3 2 2" xfId="997" xr:uid="{15678E04-3313-4E07-AEDC-9CA1EC343466}"/>
    <cellStyle name="Финансовый 2 2 4 2 3 2 2 2" xfId="2021" xr:uid="{6769F4DE-C42C-4490-BC60-1FF200F6AA9D}"/>
    <cellStyle name="Финансовый 2 2 4 2 3 2 2 2 2" xfId="3591" xr:uid="{C3B790D1-7633-4335-ACE9-496DCAE30919}"/>
    <cellStyle name="Финансовый 2 2 4 2 3 2 2 3" xfId="3592" xr:uid="{E32F55E6-EDC5-45B2-AF39-77194C0E40FF}"/>
    <cellStyle name="Финансовый 2 2 4 2 3 2 3" xfId="1509" xr:uid="{FD07AEF5-D9A8-4251-BEEA-1E24C0A6EA8D}"/>
    <cellStyle name="Финансовый 2 2 4 2 3 2 3 2" xfId="3593" xr:uid="{1081EF94-3AB3-4C55-B188-0EBFD3ED5023}"/>
    <cellStyle name="Финансовый 2 2 4 2 3 2 4" xfId="3594" xr:uid="{81EA7AFC-0E04-4FEC-9E2C-FF7A7BCECA8D}"/>
    <cellStyle name="Финансовый 2 2 4 2 3 3" xfId="741" xr:uid="{ED5CC1CD-9BAE-43E6-A4AA-81CF90616D7C}"/>
    <cellStyle name="Финансовый 2 2 4 2 3 3 2" xfId="1765" xr:uid="{B7815D9C-8ED1-43F3-B015-7D491B454EB9}"/>
    <cellStyle name="Финансовый 2 2 4 2 3 3 2 2" xfId="3595" xr:uid="{4F497922-0A1D-4E03-B86A-AD25A0020400}"/>
    <cellStyle name="Финансовый 2 2 4 2 3 3 3" xfId="3596" xr:uid="{94F825D5-6CFD-4765-AFEA-B38D9ACCEE64}"/>
    <cellStyle name="Финансовый 2 2 4 2 3 4" xfId="1253" xr:uid="{659B072A-61A8-4FB6-BEAD-C9E132E4BFB3}"/>
    <cellStyle name="Финансовый 2 2 4 2 3 4 2" xfId="3597" xr:uid="{B3B5828F-8490-48AC-B701-C99306D5A120}"/>
    <cellStyle name="Финансовый 2 2 4 2 3 5" xfId="3598" xr:uid="{6E52150B-DF35-4172-924B-E69ADEBF2D4F}"/>
    <cellStyle name="Финансовый 2 2 4 2 4" xfId="357" xr:uid="{14C19C71-38D0-45E7-9BC9-F23BAC364759}"/>
    <cellStyle name="Финансовый 2 2 4 2 4 2" xfId="869" xr:uid="{6D3E0E87-C11E-479C-AF49-9BF5E982A42C}"/>
    <cellStyle name="Финансовый 2 2 4 2 4 2 2" xfId="1893" xr:uid="{548BC62C-9C42-46CB-9AAC-F3784D9A2552}"/>
    <cellStyle name="Финансовый 2 2 4 2 4 2 2 2" xfId="3599" xr:uid="{C8DD1A33-9DC7-4391-82DE-E20A9E0FA3E7}"/>
    <cellStyle name="Финансовый 2 2 4 2 4 2 3" xfId="3600" xr:uid="{66387CC9-5F19-43D1-AF22-6B9572E4EAE3}"/>
    <cellStyle name="Финансовый 2 2 4 2 4 3" xfId="1381" xr:uid="{C02FC9E5-CEEF-4EAD-B95B-B0B1D159622A}"/>
    <cellStyle name="Финансовый 2 2 4 2 4 3 2" xfId="3601" xr:uid="{4451DBA2-A817-4497-A918-A9C88BA7DD82}"/>
    <cellStyle name="Финансовый 2 2 4 2 4 4" xfId="3602" xr:uid="{0EDA52F5-182E-4CCE-880C-9F146A0F2DD2}"/>
    <cellStyle name="Финансовый 2 2 4 2 5" xfId="613" xr:uid="{F72D3BCC-9B29-484D-AF7A-5596A14D9111}"/>
    <cellStyle name="Финансовый 2 2 4 2 5 2" xfId="1637" xr:uid="{71741006-8C95-45B5-A262-648230B6BE3A}"/>
    <cellStyle name="Финансовый 2 2 4 2 5 2 2" xfId="3603" xr:uid="{696E4451-1D4A-4F02-A607-DE7E46E69965}"/>
    <cellStyle name="Финансовый 2 2 4 2 5 3" xfId="3604" xr:uid="{95F53514-415C-446D-8EEF-3C4584C49891}"/>
    <cellStyle name="Финансовый 2 2 4 2 6" xfId="1125" xr:uid="{A6AEB954-62B5-450B-ADEA-7B8929107980}"/>
    <cellStyle name="Финансовый 2 2 4 2 6 2" xfId="3605" xr:uid="{C436C67B-4433-4E32-8A17-AEBFBA8A8518}"/>
    <cellStyle name="Финансовый 2 2 4 2 7" xfId="3606" xr:uid="{5AE5CE35-1661-4F8B-88E3-22B429D078B6}"/>
    <cellStyle name="Финансовый 2 2 4 3" xfId="133" xr:uid="{CB636936-0F56-4681-8655-22C5D21DDD91}"/>
    <cellStyle name="Финансовый 2 2 4 3 2" xfId="261" xr:uid="{F9E786C6-2DA7-44F1-8121-A0B5D5F4A3A6}"/>
    <cellStyle name="Финансовый 2 2 4 3 2 2" xfId="517" xr:uid="{103D6AB1-0585-478F-BBCF-BF482D3AAB80}"/>
    <cellStyle name="Финансовый 2 2 4 3 2 2 2" xfId="1029" xr:uid="{47BA23EA-D531-4166-996A-A17F660DDB02}"/>
    <cellStyle name="Финансовый 2 2 4 3 2 2 2 2" xfId="2053" xr:uid="{B13ABA9F-46AA-4E48-9D65-B1FF749A3B75}"/>
    <cellStyle name="Финансовый 2 2 4 3 2 2 2 2 2" xfId="3607" xr:uid="{25E5A317-44AC-4C43-8106-00ECBDAA3752}"/>
    <cellStyle name="Финансовый 2 2 4 3 2 2 2 3" xfId="3608" xr:uid="{7A1F1D37-4BA3-4B79-B6F0-114A811B8989}"/>
    <cellStyle name="Финансовый 2 2 4 3 2 2 3" xfId="1541" xr:uid="{D4589A8E-2F62-402A-9A95-3095F4C576F5}"/>
    <cellStyle name="Финансовый 2 2 4 3 2 2 3 2" xfId="3609" xr:uid="{48702720-8308-4D46-BE1E-49F2CE403C68}"/>
    <cellStyle name="Финансовый 2 2 4 3 2 2 4" xfId="3610" xr:uid="{3F8CE4E7-5C45-4188-B3A8-D73E6371FE8D}"/>
    <cellStyle name="Финансовый 2 2 4 3 2 3" xfId="773" xr:uid="{B17C5907-1A67-4411-BE28-0C97C02B7940}"/>
    <cellStyle name="Финансовый 2 2 4 3 2 3 2" xfId="1797" xr:uid="{41595A14-8B25-4CEA-B548-397BC31D780C}"/>
    <cellStyle name="Финансовый 2 2 4 3 2 3 2 2" xfId="3611" xr:uid="{80A141F7-4C11-4F47-A3E7-6878D25D0A03}"/>
    <cellStyle name="Финансовый 2 2 4 3 2 3 3" xfId="3612" xr:uid="{B80AD67F-DEF4-4602-8469-02CA2A5C88A0}"/>
    <cellStyle name="Финансовый 2 2 4 3 2 4" xfId="1285" xr:uid="{DC74A803-2C75-4610-9797-BB7856BE3897}"/>
    <cellStyle name="Финансовый 2 2 4 3 2 4 2" xfId="3613" xr:uid="{63B6914C-94BA-407A-A804-DF2556643661}"/>
    <cellStyle name="Финансовый 2 2 4 3 2 5" xfId="3614" xr:uid="{12873F53-1D24-4C4A-8595-C089DB2F1957}"/>
    <cellStyle name="Финансовый 2 2 4 3 3" xfId="389" xr:uid="{CCD68494-C2EC-4863-801C-CCBB38144CD0}"/>
    <cellStyle name="Финансовый 2 2 4 3 3 2" xfId="901" xr:uid="{632FC371-581D-4886-92E0-1697CD78A34E}"/>
    <cellStyle name="Финансовый 2 2 4 3 3 2 2" xfId="1925" xr:uid="{AE17234A-1697-4C3A-B883-FE7A65E4BD1B}"/>
    <cellStyle name="Финансовый 2 2 4 3 3 2 2 2" xfId="3615" xr:uid="{5512FF74-40A2-4B58-9158-363ADA77ED03}"/>
    <cellStyle name="Финансовый 2 2 4 3 3 2 3" xfId="3616" xr:uid="{8EEDACB9-7BAC-486C-822F-A878F61DBF7E}"/>
    <cellStyle name="Финансовый 2 2 4 3 3 3" xfId="1413" xr:uid="{C095F575-775F-492D-83E2-CFA40D1E06BF}"/>
    <cellStyle name="Финансовый 2 2 4 3 3 3 2" xfId="3617" xr:uid="{A5461FDD-112A-419E-9C7E-DA64BFD5D959}"/>
    <cellStyle name="Финансовый 2 2 4 3 3 4" xfId="3618" xr:uid="{60858B4F-BC6C-417A-BE17-7809C367F60B}"/>
    <cellStyle name="Финансовый 2 2 4 3 4" xfId="645" xr:uid="{98581F64-579B-40A1-A948-5BD0A993C1EA}"/>
    <cellStyle name="Финансовый 2 2 4 3 4 2" xfId="1669" xr:uid="{7009ECB8-4700-43F8-8467-8134A827289E}"/>
    <cellStyle name="Финансовый 2 2 4 3 4 2 2" xfId="3619" xr:uid="{8BCA6EB1-A2C6-4C40-8060-64AF960BD9E1}"/>
    <cellStyle name="Финансовый 2 2 4 3 4 3" xfId="3620" xr:uid="{4A5507E2-CC03-4318-9FA0-F25A28792B45}"/>
    <cellStyle name="Финансовый 2 2 4 3 5" xfId="1157" xr:uid="{65356687-C196-4300-97B2-BEBC59062582}"/>
    <cellStyle name="Финансовый 2 2 4 3 5 2" xfId="3621" xr:uid="{FB261DE5-F0B8-4B33-8E7A-107595ACFFEA}"/>
    <cellStyle name="Финансовый 2 2 4 3 6" xfId="3622" xr:uid="{B4DB120D-2F1F-4953-85A3-5EB17031B7D8}"/>
    <cellStyle name="Финансовый 2 2 4 4" xfId="197" xr:uid="{7F64B097-B846-4990-9444-544628AC0407}"/>
    <cellStyle name="Финансовый 2 2 4 4 2" xfId="453" xr:uid="{D775232F-919C-4845-8ED6-D029D0EDFA50}"/>
    <cellStyle name="Финансовый 2 2 4 4 2 2" xfId="965" xr:uid="{2A72FDB8-94C2-4185-A7E5-A826F25ADB8A}"/>
    <cellStyle name="Финансовый 2 2 4 4 2 2 2" xfId="1989" xr:uid="{5A3F6416-DC58-4CD3-84EB-F25C602C5234}"/>
    <cellStyle name="Финансовый 2 2 4 4 2 2 2 2" xfId="3623" xr:uid="{0BBA52EE-7691-44BD-954E-3AC39D768990}"/>
    <cellStyle name="Финансовый 2 2 4 4 2 2 3" xfId="3624" xr:uid="{16B06C30-5983-416E-A9A7-4FAE7F48A163}"/>
    <cellStyle name="Финансовый 2 2 4 4 2 3" xfId="1477" xr:uid="{F2B3D828-05BF-41FB-A5E4-8F3F7078293B}"/>
    <cellStyle name="Финансовый 2 2 4 4 2 3 2" xfId="3625" xr:uid="{61169B3B-C3C1-490E-83F6-8DDFB7D3BBCA}"/>
    <cellStyle name="Финансовый 2 2 4 4 2 4" xfId="3626" xr:uid="{149E21D0-C8BA-4735-BC7D-88F02DE05B93}"/>
    <cellStyle name="Финансовый 2 2 4 4 3" xfId="709" xr:uid="{057F9B94-F58A-4E17-8161-28F708F5AB84}"/>
    <cellStyle name="Финансовый 2 2 4 4 3 2" xfId="1733" xr:uid="{CB848E68-EC1C-446A-A4C6-9DD8FFA8DEA1}"/>
    <cellStyle name="Финансовый 2 2 4 4 3 2 2" xfId="3627" xr:uid="{1BB5B62F-7DE0-4ED6-8F0B-64318C8A79C2}"/>
    <cellStyle name="Финансовый 2 2 4 4 3 3" xfId="3628" xr:uid="{5C94F3D1-B000-415A-8336-3EEF777EE1FC}"/>
    <cellStyle name="Финансовый 2 2 4 4 4" xfId="1221" xr:uid="{4E3E6AF6-0AF0-4B4E-8BCE-20BA4B8D96F8}"/>
    <cellStyle name="Финансовый 2 2 4 4 4 2" xfId="3629" xr:uid="{CCDDE86D-F582-4861-A5CB-285B63FFA7CC}"/>
    <cellStyle name="Финансовый 2 2 4 4 5" xfId="3630" xr:uid="{5EA28547-39AB-4391-A0E6-2A55DABD1C8E}"/>
    <cellStyle name="Финансовый 2 2 4 5" xfId="325" xr:uid="{EB28D1C5-C957-493E-9B04-F0FB531AA861}"/>
    <cellStyle name="Финансовый 2 2 4 5 2" xfId="837" xr:uid="{D9F74A83-4ACB-4A60-9A03-DAF00DEB6F73}"/>
    <cellStyle name="Финансовый 2 2 4 5 2 2" xfId="1861" xr:uid="{4B3E30DC-0AA3-4602-B7F5-8B586957AD57}"/>
    <cellStyle name="Финансовый 2 2 4 5 2 2 2" xfId="3631" xr:uid="{39F7757D-1586-4B22-B1C6-9749F3334B5A}"/>
    <cellStyle name="Финансовый 2 2 4 5 2 3" xfId="3632" xr:uid="{404D9440-F8DE-405B-8E00-080657F63AA8}"/>
    <cellStyle name="Финансовый 2 2 4 5 3" xfId="1349" xr:uid="{5338A984-7498-4FD7-ADC9-DD4222E2D62E}"/>
    <cellStyle name="Финансовый 2 2 4 5 3 2" xfId="3633" xr:uid="{683458CF-C24E-4A4C-90DF-8509DE7B9752}"/>
    <cellStyle name="Финансовый 2 2 4 5 4" xfId="3634" xr:uid="{B37C45A5-BE7D-4A10-8B3A-F461388B0EEE}"/>
    <cellStyle name="Финансовый 2 2 4 6" xfId="581" xr:uid="{2C673CB0-6D58-4B6D-8FEF-4C19FB57B1D3}"/>
    <cellStyle name="Финансовый 2 2 4 6 2" xfId="1605" xr:uid="{1E620145-C2E3-429D-9784-072AF9D922B8}"/>
    <cellStyle name="Финансовый 2 2 4 6 2 2" xfId="3635" xr:uid="{01BCC6D2-5092-46A0-A96E-1A10D72795DB}"/>
    <cellStyle name="Финансовый 2 2 4 6 3" xfId="3636" xr:uid="{DDDACF00-CF81-4989-99A4-0185EB4A48B3}"/>
    <cellStyle name="Финансовый 2 2 4 7" xfId="1093" xr:uid="{AAEB3CF8-5797-44E0-A942-FC884767B1A4}"/>
    <cellStyle name="Финансовый 2 2 4 7 2" xfId="3637" xr:uid="{401F0C99-EF4B-4DAF-A11B-2D99B7BC729C}"/>
    <cellStyle name="Финансовый 2 2 4 8" xfId="3638" xr:uid="{548B750D-A0D7-4547-8FB1-50EEBB14E512}"/>
    <cellStyle name="Финансовый 2 2 5" xfId="85" xr:uid="{134B6338-EE7D-451C-A098-AEA99C0B1F5D}"/>
    <cellStyle name="Финансовый 2 2 5 2" xfId="149" xr:uid="{07EB14F0-61E5-449F-8D0F-8318531BBA65}"/>
    <cellStyle name="Финансовый 2 2 5 2 2" xfId="277" xr:uid="{B406CCBE-320E-45C7-88F6-3A36F0BE2F38}"/>
    <cellStyle name="Финансовый 2 2 5 2 2 2" xfId="533" xr:uid="{CA1FB92F-39D1-46E2-B1AF-751E172B6331}"/>
    <cellStyle name="Финансовый 2 2 5 2 2 2 2" xfId="1045" xr:uid="{F9F9CB43-EA43-4203-A8EA-F0536F92DEFD}"/>
    <cellStyle name="Финансовый 2 2 5 2 2 2 2 2" xfId="2069" xr:uid="{0B39D112-F1D3-40B1-9F8C-86E44DD299BB}"/>
    <cellStyle name="Финансовый 2 2 5 2 2 2 2 2 2" xfId="3639" xr:uid="{9BA299FE-F747-4043-A474-3DFFFE6F2F12}"/>
    <cellStyle name="Финансовый 2 2 5 2 2 2 2 3" xfId="3640" xr:uid="{1C92295F-3123-4548-BACC-1EF1045FE771}"/>
    <cellStyle name="Финансовый 2 2 5 2 2 2 3" xfId="1557" xr:uid="{860A90B0-835D-4B30-B023-01E1BA04EA3C}"/>
    <cellStyle name="Финансовый 2 2 5 2 2 2 3 2" xfId="3641" xr:uid="{5922F3FB-7354-4948-BB15-6D746A3D1BE7}"/>
    <cellStyle name="Финансовый 2 2 5 2 2 2 4" xfId="3642" xr:uid="{85072B45-938B-4C4A-B64B-55053B9E6637}"/>
    <cellStyle name="Финансовый 2 2 5 2 2 3" xfId="789" xr:uid="{133F1ABC-56EC-457D-924F-2D0BCF30F547}"/>
    <cellStyle name="Финансовый 2 2 5 2 2 3 2" xfId="1813" xr:uid="{F45DF090-3DB3-4DE3-8275-E598AADC7286}"/>
    <cellStyle name="Финансовый 2 2 5 2 2 3 2 2" xfId="3643" xr:uid="{B46D3E50-4CA4-446A-93A6-4C219EC7687C}"/>
    <cellStyle name="Финансовый 2 2 5 2 2 3 3" xfId="3644" xr:uid="{B3CDF3D7-3E30-4CC0-9B75-EEF4302CDAE8}"/>
    <cellStyle name="Финансовый 2 2 5 2 2 4" xfId="1301" xr:uid="{E0BA71E9-98DF-453B-B98E-D96B3A512D36}"/>
    <cellStyle name="Финансовый 2 2 5 2 2 4 2" xfId="3645" xr:uid="{19EFBCD9-07FE-4FE0-A697-FC4DCE5CA72C}"/>
    <cellStyle name="Финансовый 2 2 5 2 2 5" xfId="3646" xr:uid="{442430C8-FF13-4F5C-89DB-D6605B1C295C}"/>
    <cellStyle name="Финансовый 2 2 5 2 3" xfId="405" xr:uid="{6FEE124B-9907-49BF-9E9F-145BF6CB383A}"/>
    <cellStyle name="Финансовый 2 2 5 2 3 2" xfId="917" xr:uid="{638EC094-CC71-4C00-B721-2613E7221283}"/>
    <cellStyle name="Финансовый 2 2 5 2 3 2 2" xfId="1941" xr:uid="{A36A057E-7E36-48C6-B43A-23FC8052B15F}"/>
    <cellStyle name="Финансовый 2 2 5 2 3 2 2 2" xfId="3647" xr:uid="{A655304F-D067-4761-AC59-94A7B9C4DE03}"/>
    <cellStyle name="Финансовый 2 2 5 2 3 2 3" xfId="3648" xr:uid="{AA808766-151D-4F6E-BE8D-2D9F376B67A0}"/>
    <cellStyle name="Финансовый 2 2 5 2 3 3" xfId="1429" xr:uid="{8EC17B3D-E545-402A-AFA6-0228DF41FE46}"/>
    <cellStyle name="Финансовый 2 2 5 2 3 3 2" xfId="3649" xr:uid="{1C20109E-ACFA-451B-B8F5-B73EFFBBEBDD}"/>
    <cellStyle name="Финансовый 2 2 5 2 3 4" xfId="3650" xr:uid="{CA45A6F4-51CE-494A-83CB-ADC4B9DB4117}"/>
    <cellStyle name="Финансовый 2 2 5 2 4" xfId="661" xr:uid="{9799DFDE-9BBD-48AD-BF4E-12762EA61351}"/>
    <cellStyle name="Финансовый 2 2 5 2 4 2" xfId="1685" xr:uid="{5B8C471D-2F1D-4E35-A534-99A2CAB38576}"/>
    <cellStyle name="Финансовый 2 2 5 2 4 2 2" xfId="3651" xr:uid="{8C5AC3F4-52A5-4955-8BC8-BD07FB35CCA2}"/>
    <cellStyle name="Финансовый 2 2 5 2 4 3" xfId="3652" xr:uid="{B208747B-A6C5-47AD-ABD4-D1FE8EBE4EB6}"/>
    <cellStyle name="Финансовый 2 2 5 2 5" xfId="1173" xr:uid="{499215A6-E31A-433A-9985-160889535FE0}"/>
    <cellStyle name="Финансовый 2 2 5 2 5 2" xfId="3653" xr:uid="{1BB40D5B-5E2A-491A-8F89-DBBE27B47614}"/>
    <cellStyle name="Финансовый 2 2 5 2 6" xfId="3654" xr:uid="{8E575060-85A3-4B7A-A65C-510B1B2F24AC}"/>
    <cellStyle name="Финансовый 2 2 5 3" xfId="213" xr:uid="{91AD091C-BFF0-4603-901B-E763A8B12369}"/>
    <cellStyle name="Финансовый 2 2 5 3 2" xfId="469" xr:uid="{D8125CBA-0DAE-4632-825C-66D89B3BAA79}"/>
    <cellStyle name="Финансовый 2 2 5 3 2 2" xfId="981" xr:uid="{E0074553-45E3-497A-A460-5645777E33C4}"/>
    <cellStyle name="Финансовый 2 2 5 3 2 2 2" xfId="2005" xr:uid="{92256A07-0BE1-4F7B-8717-5D8424C78914}"/>
    <cellStyle name="Финансовый 2 2 5 3 2 2 2 2" xfId="3655" xr:uid="{65C849C3-FD40-4E2F-ABE2-1036A5B40B44}"/>
    <cellStyle name="Финансовый 2 2 5 3 2 2 3" xfId="3656" xr:uid="{07865B40-C249-4F80-A9AA-E5166BEBABF5}"/>
    <cellStyle name="Финансовый 2 2 5 3 2 3" xfId="1493" xr:uid="{85582719-6B81-4A30-A581-97F4CD2D6AA7}"/>
    <cellStyle name="Финансовый 2 2 5 3 2 3 2" xfId="3657" xr:uid="{3CF7C647-5148-47B2-A571-6BA6FF2511A9}"/>
    <cellStyle name="Финансовый 2 2 5 3 2 4" xfId="3658" xr:uid="{57613D51-3B01-4659-A8D1-E4B582195749}"/>
    <cellStyle name="Финансовый 2 2 5 3 3" xfId="725" xr:uid="{76B5558B-6C72-4B7B-B6C3-E555D80F457F}"/>
    <cellStyle name="Финансовый 2 2 5 3 3 2" xfId="1749" xr:uid="{02D47DD4-128C-4315-A658-690357DC0AE0}"/>
    <cellStyle name="Финансовый 2 2 5 3 3 2 2" xfId="3659" xr:uid="{3AEB348A-30B6-4DCC-82A5-AAE301EE38DE}"/>
    <cellStyle name="Финансовый 2 2 5 3 3 3" xfId="3660" xr:uid="{98110EE3-65DB-462D-886E-3F90CBDFEE0D}"/>
    <cellStyle name="Финансовый 2 2 5 3 4" xfId="1237" xr:uid="{7C6D8B4F-D9BF-4A51-BE9E-BF68FEEE36EE}"/>
    <cellStyle name="Финансовый 2 2 5 3 4 2" xfId="3661" xr:uid="{100B71A7-07AE-4A7D-BD6C-268D010A4AE1}"/>
    <cellStyle name="Финансовый 2 2 5 3 5" xfId="3662" xr:uid="{46CE6BF2-EAD6-4A6D-B7BC-28C7C76E4716}"/>
    <cellStyle name="Финансовый 2 2 5 4" xfId="341" xr:uid="{4B843914-2A5A-46CA-8464-FCF3C5C74004}"/>
    <cellStyle name="Финансовый 2 2 5 4 2" xfId="853" xr:uid="{B7F73F09-C4C4-4AC9-AB0D-76A275162A84}"/>
    <cellStyle name="Финансовый 2 2 5 4 2 2" xfId="1877" xr:uid="{38FEB95F-67E4-4DAC-B1CD-0AC681FB9D8C}"/>
    <cellStyle name="Финансовый 2 2 5 4 2 2 2" xfId="3663" xr:uid="{16845AB5-EDBD-45EC-8ACE-16831424D155}"/>
    <cellStyle name="Финансовый 2 2 5 4 2 3" xfId="3664" xr:uid="{64AC2A7B-7132-4B79-95D5-F20030823300}"/>
    <cellStyle name="Финансовый 2 2 5 4 3" xfId="1365" xr:uid="{2DB92DCC-6E1C-4251-8E90-7260D048F09B}"/>
    <cellStyle name="Финансовый 2 2 5 4 3 2" xfId="3665" xr:uid="{3C6B963D-D5B4-4D0C-91A2-4D226144BBD3}"/>
    <cellStyle name="Финансовый 2 2 5 4 4" xfId="3666" xr:uid="{781336E6-1096-44B5-AD30-35E7D0D43016}"/>
    <cellStyle name="Финансовый 2 2 5 5" xfId="597" xr:uid="{91BC5BF6-B7A0-4283-858A-B571E03FFE55}"/>
    <cellStyle name="Финансовый 2 2 5 5 2" xfId="1621" xr:uid="{99BB6F6B-24ED-4073-BBCC-32FDC24605E0}"/>
    <cellStyle name="Финансовый 2 2 5 5 2 2" xfId="3667" xr:uid="{AAA1CF26-66EE-4B51-924D-83D32FE2AA36}"/>
    <cellStyle name="Финансовый 2 2 5 5 3" xfId="3668" xr:uid="{F9096176-300B-47E3-968D-DB04DFBE58B0}"/>
    <cellStyle name="Финансовый 2 2 5 6" xfId="1109" xr:uid="{1200A144-7D52-464D-8390-58A2F1E81AFD}"/>
    <cellStyle name="Финансовый 2 2 5 6 2" xfId="3669" xr:uid="{1B0BA038-9AA1-40DE-83FA-0A0CA13CC4AB}"/>
    <cellStyle name="Финансовый 2 2 5 7" xfId="3670" xr:uid="{166BF8A2-EE11-46D8-B940-305D51ED77A8}"/>
    <cellStyle name="Финансовый 2 2 6" xfId="117" xr:uid="{AF206EA7-E349-4720-BABF-8C1F84D78DB3}"/>
    <cellStyle name="Финансовый 2 2 6 2" xfId="245" xr:uid="{5EF74DD7-CA39-402E-B3E1-9267A2F5B3D2}"/>
    <cellStyle name="Финансовый 2 2 6 2 2" xfId="501" xr:uid="{C66D580A-0A3F-4463-BB95-E7148EC5F7F8}"/>
    <cellStyle name="Финансовый 2 2 6 2 2 2" xfId="1013" xr:uid="{AE617F44-E2AB-4E78-996D-C2270FA120C3}"/>
    <cellStyle name="Финансовый 2 2 6 2 2 2 2" xfId="2037" xr:uid="{6892DF5C-57C7-4BC6-A7D7-A9704A0A35D6}"/>
    <cellStyle name="Финансовый 2 2 6 2 2 2 2 2" xfId="3671" xr:uid="{5E142B49-4DDE-4529-8714-9BA146E3CC3F}"/>
    <cellStyle name="Финансовый 2 2 6 2 2 2 3" xfId="3672" xr:uid="{EF47C2F2-CE61-45A7-8088-AB1B6FB96E9C}"/>
    <cellStyle name="Финансовый 2 2 6 2 2 3" xfId="1525" xr:uid="{AF33D5E2-79BF-4084-9F9C-3BEBD85C8B1E}"/>
    <cellStyle name="Финансовый 2 2 6 2 2 3 2" xfId="3673" xr:uid="{0DC41644-672F-4F3E-88CC-716BE8F88C1D}"/>
    <cellStyle name="Финансовый 2 2 6 2 2 4" xfId="3674" xr:uid="{7A2825CB-8788-49D8-A9CF-565C2F4E47FF}"/>
    <cellStyle name="Финансовый 2 2 6 2 3" xfId="757" xr:uid="{75A269D2-4344-488E-92D2-D419BBE171DC}"/>
    <cellStyle name="Финансовый 2 2 6 2 3 2" xfId="1781" xr:uid="{106EDDC3-DCCC-4EA9-953F-0916E313E792}"/>
    <cellStyle name="Финансовый 2 2 6 2 3 2 2" xfId="3675" xr:uid="{EAAFCC95-3441-4943-9F19-7B30B8274622}"/>
    <cellStyle name="Финансовый 2 2 6 2 3 3" xfId="3676" xr:uid="{CDFA53AB-EEAA-4DC3-A902-3F24062F3E13}"/>
    <cellStyle name="Финансовый 2 2 6 2 4" xfId="1269" xr:uid="{234245A5-ED48-4E89-9463-371D617205D2}"/>
    <cellStyle name="Финансовый 2 2 6 2 4 2" xfId="3677" xr:uid="{E50560AD-F191-4696-B142-7F32C1CF5BC5}"/>
    <cellStyle name="Финансовый 2 2 6 2 5" xfId="3678" xr:uid="{28119F3F-3C6C-4997-BDAF-04B8FA4DDBE6}"/>
    <cellStyle name="Финансовый 2 2 6 3" xfId="373" xr:uid="{80D3A76E-D4CE-46B7-9A4F-D06339AEC143}"/>
    <cellStyle name="Финансовый 2 2 6 3 2" xfId="885" xr:uid="{FA86EF06-21CE-43A9-9F3D-A2013C0BA396}"/>
    <cellStyle name="Финансовый 2 2 6 3 2 2" xfId="1909" xr:uid="{F14B4228-A2AC-4145-B49D-C23E43F75BFE}"/>
    <cellStyle name="Финансовый 2 2 6 3 2 2 2" xfId="3679" xr:uid="{3AE1C57B-1CCD-48DB-BBF4-6434E8961892}"/>
    <cellStyle name="Финансовый 2 2 6 3 2 3" xfId="3680" xr:uid="{84D0D821-D553-4B1B-A6C5-3CE67C728BE4}"/>
    <cellStyle name="Финансовый 2 2 6 3 3" xfId="1397" xr:uid="{0AD880FF-6FA0-4F7B-AD4D-0D6CEADFAF73}"/>
    <cellStyle name="Финансовый 2 2 6 3 3 2" xfId="3681" xr:uid="{05283B09-A987-4CA7-80D6-621521B62982}"/>
    <cellStyle name="Финансовый 2 2 6 3 4" xfId="3682" xr:uid="{9C06DEA4-A1B6-4B1C-8174-E213119E6E69}"/>
    <cellStyle name="Финансовый 2 2 6 4" xfId="629" xr:uid="{D770D057-B3C7-4B4F-8C9C-31C5BA1F7661}"/>
    <cellStyle name="Финансовый 2 2 6 4 2" xfId="1653" xr:uid="{31943700-71BA-42A6-8F0C-1FFFC13410A8}"/>
    <cellStyle name="Финансовый 2 2 6 4 2 2" xfId="3683" xr:uid="{DAAAE713-7A1E-49BF-8A4E-0726A026E491}"/>
    <cellStyle name="Финансовый 2 2 6 4 3" xfId="3684" xr:uid="{093182ED-35B4-4C38-AA88-8363F549AB06}"/>
    <cellStyle name="Финансовый 2 2 6 5" xfId="1141" xr:uid="{70A5ADAA-A5C9-4D21-A2FE-5BC07AF6DCD0}"/>
    <cellStyle name="Финансовый 2 2 6 5 2" xfId="3685" xr:uid="{508D2D08-BD73-4AFA-9ADE-3D8863AD8897}"/>
    <cellStyle name="Финансовый 2 2 6 6" xfId="3686" xr:uid="{6B5AA0A9-C666-422E-A29A-7CB0C92AF166}"/>
    <cellStyle name="Финансовый 2 2 7" xfId="181" xr:uid="{3B193603-7609-49F5-8F77-CE8CE9F95087}"/>
    <cellStyle name="Финансовый 2 2 7 2" xfId="437" xr:uid="{20941921-6184-4627-B642-45B1DF2DF8DB}"/>
    <cellStyle name="Финансовый 2 2 7 2 2" xfId="949" xr:uid="{F1219E00-4290-4E1A-AA53-87A1C4BCB287}"/>
    <cellStyle name="Финансовый 2 2 7 2 2 2" xfId="1973" xr:uid="{3D4B9D0D-5699-45D0-9B09-0D435ED215F7}"/>
    <cellStyle name="Финансовый 2 2 7 2 2 2 2" xfId="3687" xr:uid="{18562581-4AEF-4524-A90E-8883F3B57A74}"/>
    <cellStyle name="Финансовый 2 2 7 2 2 3" xfId="3688" xr:uid="{AD11FB62-A9C8-4131-866C-23B06DDB683B}"/>
    <cellStyle name="Финансовый 2 2 7 2 3" xfId="1461" xr:uid="{869D870D-9653-462D-933C-7187DA92C9AE}"/>
    <cellStyle name="Финансовый 2 2 7 2 3 2" xfId="3689" xr:uid="{8A73DFA7-5E3E-4B7A-AA70-440A67A1A7F6}"/>
    <cellStyle name="Финансовый 2 2 7 2 4" xfId="3690" xr:uid="{6FD85ABE-AA05-4941-85DF-4CF08D1649DC}"/>
    <cellStyle name="Финансовый 2 2 7 3" xfId="693" xr:uid="{949E6CB6-0786-4AEB-BA49-2AD163B2B793}"/>
    <cellStyle name="Финансовый 2 2 7 3 2" xfId="1717" xr:uid="{EC7F2F0E-5023-4BAE-9F43-231A8982D20E}"/>
    <cellStyle name="Финансовый 2 2 7 3 2 2" xfId="3691" xr:uid="{D63F784C-4B3A-49C4-9612-4A00F69A47A6}"/>
    <cellStyle name="Финансовый 2 2 7 3 3" xfId="3692" xr:uid="{2AE91D05-D8A8-499D-BE1C-BC75F6496A4E}"/>
    <cellStyle name="Финансовый 2 2 7 4" xfId="1205" xr:uid="{99246395-8B71-452E-BDC6-0658E8C950C1}"/>
    <cellStyle name="Финансовый 2 2 7 4 2" xfId="3693" xr:uid="{07E759B2-855F-435C-A024-F556CAA317B6}"/>
    <cellStyle name="Финансовый 2 2 7 5" xfId="3694" xr:uid="{C41E4797-E4D8-45BC-A111-320180BA951D}"/>
    <cellStyle name="Финансовый 2 2 8" xfId="309" xr:uid="{6845919A-7F99-42D6-9458-713DEA10A5B6}"/>
    <cellStyle name="Финансовый 2 2 8 2" xfId="821" xr:uid="{147853C9-4CC1-477D-9814-5FF86DD51243}"/>
    <cellStyle name="Финансовый 2 2 8 2 2" xfId="1845" xr:uid="{6844199F-EDD6-4FAD-94FD-328522C7316E}"/>
    <cellStyle name="Финансовый 2 2 8 2 2 2" xfId="3695" xr:uid="{5547F38C-E96E-43C6-979F-B4F9AADD9B02}"/>
    <cellStyle name="Финансовый 2 2 8 2 3" xfId="3696" xr:uid="{19CF986B-3833-45E2-B43A-873D6EAC1F9B}"/>
    <cellStyle name="Финансовый 2 2 8 3" xfId="1333" xr:uid="{318FC191-E847-4C01-AB03-6D9970A44FC0}"/>
    <cellStyle name="Финансовый 2 2 8 3 2" xfId="3697" xr:uid="{3495166C-EE72-43CA-9C55-DE756A4D0E4F}"/>
    <cellStyle name="Финансовый 2 2 8 4" xfId="3698" xr:uid="{3D3C688C-D6AA-42CA-BAF9-325382912E76}"/>
    <cellStyle name="Финансовый 2 2 9" xfId="565" xr:uid="{8186DE8C-E072-499D-84AA-BADA0A64250E}"/>
    <cellStyle name="Финансовый 2 2 9 2" xfId="1589" xr:uid="{8DE577D2-D388-41EE-8428-471248A6D504}"/>
    <cellStyle name="Финансовый 2 2 9 2 2" xfId="3699" xr:uid="{A9FD6015-44A4-44EE-AA8C-466BE0F69987}"/>
    <cellStyle name="Финансовый 2 2 9 3" xfId="3700" xr:uid="{4C64ABC5-A9E2-4B20-961D-6940EE8A6E53}"/>
    <cellStyle name="Финансовый 2 3" xfId="53" xr:uid="{F7316D2D-60A0-4779-B536-83C4355FECC5}"/>
    <cellStyle name="Финансовый 2 3 10" xfId="3701" xr:uid="{A0B0C7BF-3135-4E6D-90CE-68847DF78AA0}"/>
    <cellStyle name="Финансовый 2 3 2" xfId="62" xr:uid="{7B7946F0-5FE1-4265-A909-87AA6C65919E}"/>
    <cellStyle name="Финансовый 2 3 2 2" xfId="78" xr:uid="{95C6CE3F-4C1C-4B24-ACBE-5CB1B9BA7652}"/>
    <cellStyle name="Финансовый 2 3 2 2 2" xfId="111" xr:uid="{FB8DC36C-6548-49CF-A167-0BFBAF177238}"/>
    <cellStyle name="Финансовый 2 3 2 2 2 2" xfId="175" xr:uid="{28D3267D-5041-4263-A283-A481F720BD33}"/>
    <cellStyle name="Финансовый 2 3 2 2 2 2 2" xfId="303" xr:uid="{5723532F-AF9D-4FA7-A6DE-4F9EF8C82A81}"/>
    <cellStyle name="Финансовый 2 3 2 2 2 2 2 2" xfId="559" xr:uid="{B3AD6889-41A6-4984-9D82-245073E14CF4}"/>
    <cellStyle name="Финансовый 2 3 2 2 2 2 2 2 2" xfId="1071" xr:uid="{F7C8A364-4A69-4FAF-B77F-2B97FB8280A7}"/>
    <cellStyle name="Финансовый 2 3 2 2 2 2 2 2 2 2" xfId="2095" xr:uid="{7D640510-D72B-436B-8653-FD3D58596983}"/>
    <cellStyle name="Финансовый 2 3 2 2 2 2 2 2 2 2 2" xfId="3702" xr:uid="{8D3663FC-B595-4ED7-8230-D7AEF69EE981}"/>
    <cellStyle name="Финансовый 2 3 2 2 2 2 2 2 2 3" xfId="3703" xr:uid="{5C86B4D4-2FC3-4A4A-BC39-A0BD5325A4F5}"/>
    <cellStyle name="Финансовый 2 3 2 2 2 2 2 2 3" xfId="1583" xr:uid="{4D4CD1AF-EBA9-4644-99A2-8DCD1ECFB96B}"/>
    <cellStyle name="Финансовый 2 3 2 2 2 2 2 2 3 2" xfId="3704" xr:uid="{CD706545-B8A5-4259-9630-C5C0531D6BFD}"/>
    <cellStyle name="Финансовый 2 3 2 2 2 2 2 2 4" xfId="3705" xr:uid="{313C2F51-B578-47E9-9581-3A0684C5C5AD}"/>
    <cellStyle name="Финансовый 2 3 2 2 2 2 2 3" xfId="815" xr:uid="{CBCDB646-D55B-406E-BE10-0444E4564953}"/>
    <cellStyle name="Финансовый 2 3 2 2 2 2 2 3 2" xfId="1839" xr:uid="{E69BC350-0AF1-435B-91B8-9A6F81C006DB}"/>
    <cellStyle name="Финансовый 2 3 2 2 2 2 2 3 2 2" xfId="3706" xr:uid="{C78FA10E-E095-40E9-8531-9B60D9B64C6A}"/>
    <cellStyle name="Финансовый 2 3 2 2 2 2 2 3 3" xfId="3707" xr:uid="{06BFEC1E-93FE-4FEB-8D0D-FEFE4C1A488B}"/>
    <cellStyle name="Финансовый 2 3 2 2 2 2 2 4" xfId="1327" xr:uid="{534D76CE-F149-4CF9-B809-45FEB874EAA6}"/>
    <cellStyle name="Финансовый 2 3 2 2 2 2 2 4 2" xfId="3708" xr:uid="{A0AA65F1-CB5F-48A8-BD94-E182C53CEC2E}"/>
    <cellStyle name="Финансовый 2 3 2 2 2 2 2 5" xfId="3709" xr:uid="{A6E37C41-5FF7-4AB2-9CA3-E695694B52B8}"/>
    <cellStyle name="Финансовый 2 3 2 2 2 2 3" xfId="431" xr:uid="{D8EF9904-0428-4C1A-B869-94872196CA1C}"/>
    <cellStyle name="Финансовый 2 3 2 2 2 2 3 2" xfId="943" xr:uid="{0751B193-7A54-419E-A0D0-EB6F1709E783}"/>
    <cellStyle name="Финансовый 2 3 2 2 2 2 3 2 2" xfId="1967" xr:uid="{91A60052-B546-4CF5-B00B-17A4AFE5FCD0}"/>
    <cellStyle name="Финансовый 2 3 2 2 2 2 3 2 2 2" xfId="3710" xr:uid="{8462999F-9695-4E75-869A-737E450DC671}"/>
    <cellStyle name="Финансовый 2 3 2 2 2 2 3 2 3" xfId="3711" xr:uid="{A80F07FA-5C1B-4619-B23B-523DA1A3520B}"/>
    <cellStyle name="Финансовый 2 3 2 2 2 2 3 3" xfId="1455" xr:uid="{AD6B52C7-BC6F-49C0-959D-C496E382D1E1}"/>
    <cellStyle name="Финансовый 2 3 2 2 2 2 3 3 2" xfId="3712" xr:uid="{1CA7DBFD-CE1E-4C4A-8F29-CD72E3AAA726}"/>
    <cellStyle name="Финансовый 2 3 2 2 2 2 3 4" xfId="3713" xr:uid="{90D52078-9747-44D7-9B8A-43D77B12A555}"/>
    <cellStyle name="Финансовый 2 3 2 2 2 2 4" xfId="687" xr:uid="{8C8FC142-44FC-476C-901D-6C11891E876F}"/>
    <cellStyle name="Финансовый 2 3 2 2 2 2 4 2" xfId="1711" xr:uid="{4FDFBFC9-39C8-4D62-82F7-63030D975BFC}"/>
    <cellStyle name="Финансовый 2 3 2 2 2 2 4 2 2" xfId="3714" xr:uid="{D128DBBD-0A6C-4A2F-8F54-193AF2AD29AB}"/>
    <cellStyle name="Финансовый 2 3 2 2 2 2 4 3" xfId="3715" xr:uid="{FC270C4D-B1C9-4AE1-8233-4692B4E53B1B}"/>
    <cellStyle name="Финансовый 2 3 2 2 2 2 5" xfId="1199" xr:uid="{41E78A6A-5835-4F33-B952-86E5A654151C}"/>
    <cellStyle name="Финансовый 2 3 2 2 2 2 5 2" xfId="3716" xr:uid="{89B73ECE-2142-4EC8-B8DD-0F33DB16E9ED}"/>
    <cellStyle name="Финансовый 2 3 2 2 2 2 6" xfId="3717" xr:uid="{C2D0AFF5-47FB-489E-A432-535A3CC8225B}"/>
    <cellStyle name="Финансовый 2 3 2 2 2 3" xfId="239" xr:uid="{5038A2CC-D7E5-4D93-90D4-0030180FA832}"/>
    <cellStyle name="Финансовый 2 3 2 2 2 3 2" xfId="495" xr:uid="{D3B869EB-9EBF-4804-8A00-F61BCEA68CE0}"/>
    <cellStyle name="Финансовый 2 3 2 2 2 3 2 2" xfId="1007" xr:uid="{02D4E2F8-3B97-4FD5-B261-5B2BDD77B3B2}"/>
    <cellStyle name="Финансовый 2 3 2 2 2 3 2 2 2" xfId="2031" xr:uid="{52472902-51C7-4616-A403-DF99887E3AFC}"/>
    <cellStyle name="Финансовый 2 3 2 2 2 3 2 2 2 2" xfId="3718" xr:uid="{5AB03CC1-AD9C-446B-B49E-CC1CC5689880}"/>
    <cellStyle name="Финансовый 2 3 2 2 2 3 2 2 3" xfId="3719" xr:uid="{CE1B53A2-AECC-4B3E-BC4C-D45BBB1F45F7}"/>
    <cellStyle name="Финансовый 2 3 2 2 2 3 2 3" xfId="1519" xr:uid="{C12CDB2F-4ED6-46EC-B702-5A3F0FFA2561}"/>
    <cellStyle name="Финансовый 2 3 2 2 2 3 2 3 2" xfId="3720" xr:uid="{15CD8F9B-F51A-40FB-AD35-BC0E8359A237}"/>
    <cellStyle name="Финансовый 2 3 2 2 2 3 2 4" xfId="3721" xr:uid="{D992E6AD-E585-4FE5-93DD-E3B77908C6DE}"/>
    <cellStyle name="Финансовый 2 3 2 2 2 3 3" xfId="751" xr:uid="{71243A6F-C37A-43F3-BADE-0EF9F07EA9AC}"/>
    <cellStyle name="Финансовый 2 3 2 2 2 3 3 2" xfId="1775" xr:uid="{B8A36544-3133-4FF6-BA25-67DA74E7A25A}"/>
    <cellStyle name="Финансовый 2 3 2 2 2 3 3 2 2" xfId="3722" xr:uid="{A1A1E804-4DBB-4EE5-A2DC-085BDCB4D507}"/>
    <cellStyle name="Финансовый 2 3 2 2 2 3 3 3" xfId="3723" xr:uid="{C672B45A-9B8D-4FA3-AF63-47FFDE144840}"/>
    <cellStyle name="Финансовый 2 3 2 2 2 3 4" xfId="1263" xr:uid="{19CB7BE7-BC5E-4664-8099-E9D4506ACDC3}"/>
    <cellStyle name="Финансовый 2 3 2 2 2 3 4 2" xfId="3724" xr:uid="{4D6E740A-D583-467C-8E24-5D0174D0C1B6}"/>
    <cellStyle name="Финансовый 2 3 2 2 2 3 5" xfId="3725" xr:uid="{7FA4F83B-C236-4F7F-8DC4-74A29A8C5721}"/>
    <cellStyle name="Финансовый 2 3 2 2 2 4" xfId="367" xr:uid="{C4E3AA1F-8177-4C3E-8E3E-BFB9BFCD4952}"/>
    <cellStyle name="Финансовый 2 3 2 2 2 4 2" xfId="879" xr:uid="{4E383188-FE4D-4667-B4EF-8D4F9ABBC193}"/>
    <cellStyle name="Финансовый 2 3 2 2 2 4 2 2" xfId="1903" xr:uid="{278098B0-802F-4A88-BA2B-44FB2D9A74F8}"/>
    <cellStyle name="Финансовый 2 3 2 2 2 4 2 2 2" xfId="3726" xr:uid="{50B750A9-1675-44B7-8EE3-96945D4810C6}"/>
    <cellStyle name="Финансовый 2 3 2 2 2 4 2 3" xfId="3727" xr:uid="{5CEBDDC0-D3A1-4B36-A1B8-C745D8B79032}"/>
    <cellStyle name="Финансовый 2 3 2 2 2 4 3" xfId="1391" xr:uid="{CF95B96C-41A0-428D-85CB-9FAA845C835B}"/>
    <cellStyle name="Финансовый 2 3 2 2 2 4 3 2" xfId="3728" xr:uid="{FFE8C24B-5FFA-48FB-A9BF-01244E55D21F}"/>
    <cellStyle name="Финансовый 2 3 2 2 2 4 4" xfId="3729" xr:uid="{FFA437F0-5684-4D5C-9AD7-C2555A80D004}"/>
    <cellStyle name="Финансовый 2 3 2 2 2 5" xfId="623" xr:uid="{8CDADD3E-B99A-49ED-A39C-66A5735B1CC0}"/>
    <cellStyle name="Финансовый 2 3 2 2 2 5 2" xfId="1647" xr:uid="{C536EC2C-3211-4027-9231-F63F528A537D}"/>
    <cellStyle name="Финансовый 2 3 2 2 2 5 2 2" xfId="3730" xr:uid="{53B797A3-7E32-45BD-B986-90769310C263}"/>
    <cellStyle name="Финансовый 2 3 2 2 2 5 3" xfId="3731" xr:uid="{D2143DC3-CAEE-4F28-ABFA-32D3E89F06E3}"/>
    <cellStyle name="Финансовый 2 3 2 2 2 6" xfId="1135" xr:uid="{E6DF880C-DED3-4E6E-9675-BE726C3044A2}"/>
    <cellStyle name="Финансовый 2 3 2 2 2 6 2" xfId="3732" xr:uid="{AC998D76-D688-4857-BC6A-39E15440D67A}"/>
    <cellStyle name="Финансовый 2 3 2 2 2 7" xfId="3733" xr:uid="{B97EE7E5-10AD-4C99-89F7-C909912F0E1D}"/>
    <cellStyle name="Финансовый 2 3 2 2 3" xfId="143" xr:uid="{80EBBA47-8792-49AA-9A4E-F99967BA47CD}"/>
    <cellStyle name="Финансовый 2 3 2 2 3 2" xfId="271" xr:uid="{DBD54D6B-8E10-4FBD-852B-D894A2300006}"/>
    <cellStyle name="Финансовый 2 3 2 2 3 2 2" xfId="527" xr:uid="{43FBDD77-60CE-4391-AFE9-02F8B5F35E9A}"/>
    <cellStyle name="Финансовый 2 3 2 2 3 2 2 2" xfId="1039" xr:uid="{3E0CFA75-E478-4355-802B-799E031FC2D3}"/>
    <cellStyle name="Финансовый 2 3 2 2 3 2 2 2 2" xfId="2063" xr:uid="{DECDC33E-5D08-4456-9E9A-CCDECEEDC165}"/>
    <cellStyle name="Финансовый 2 3 2 2 3 2 2 2 2 2" xfId="3734" xr:uid="{736C3D84-3FD1-4EE7-AB8C-BE3EFE0582B3}"/>
    <cellStyle name="Финансовый 2 3 2 2 3 2 2 2 3" xfId="3735" xr:uid="{54AA5695-AD90-44BE-868D-543E189E42FD}"/>
    <cellStyle name="Финансовый 2 3 2 2 3 2 2 3" xfId="1551" xr:uid="{7FFE4DC2-3D00-41E1-BBC0-E2A8749F02B4}"/>
    <cellStyle name="Финансовый 2 3 2 2 3 2 2 3 2" xfId="3736" xr:uid="{61BA0F0A-7B48-4704-B437-84AA3776E32C}"/>
    <cellStyle name="Финансовый 2 3 2 2 3 2 2 4" xfId="3737" xr:uid="{5F5E8206-6BF2-4299-89E4-0862EB53F50C}"/>
    <cellStyle name="Финансовый 2 3 2 2 3 2 3" xfId="783" xr:uid="{91186145-9EC3-4113-B73E-C01A7495C932}"/>
    <cellStyle name="Финансовый 2 3 2 2 3 2 3 2" xfId="1807" xr:uid="{25A2DB94-D622-4C8C-8477-0A240249F713}"/>
    <cellStyle name="Финансовый 2 3 2 2 3 2 3 2 2" xfId="3738" xr:uid="{EDC97A94-43E0-4D5D-8C59-D3970E69317A}"/>
    <cellStyle name="Финансовый 2 3 2 2 3 2 3 3" xfId="3739" xr:uid="{A386A668-EEE2-418A-AE5C-479BB44D14F9}"/>
    <cellStyle name="Финансовый 2 3 2 2 3 2 4" xfId="1295" xr:uid="{1B742E88-EA16-4034-9CB8-A22F40BBEEC6}"/>
    <cellStyle name="Финансовый 2 3 2 2 3 2 4 2" xfId="3740" xr:uid="{D08BDA8A-A9EF-42B9-966F-297DE6842E1B}"/>
    <cellStyle name="Финансовый 2 3 2 2 3 2 5" xfId="3741" xr:uid="{2CFA9555-B95B-4809-9C54-72841F285507}"/>
    <cellStyle name="Финансовый 2 3 2 2 3 3" xfId="399" xr:uid="{075939C5-D9F4-40FE-AE12-A04ACB4520B1}"/>
    <cellStyle name="Финансовый 2 3 2 2 3 3 2" xfId="911" xr:uid="{5817E67D-934F-4FD0-A5A2-2418BC07DFF9}"/>
    <cellStyle name="Финансовый 2 3 2 2 3 3 2 2" xfId="1935" xr:uid="{A1281FB1-E957-4A42-B38E-4598A89AE73D}"/>
    <cellStyle name="Финансовый 2 3 2 2 3 3 2 2 2" xfId="3742" xr:uid="{553C2DD6-1F46-40CB-9FEF-3F4C96E9AD2B}"/>
    <cellStyle name="Финансовый 2 3 2 2 3 3 2 3" xfId="3743" xr:uid="{38F08AA1-5EB3-4703-B9CF-7A3E4860407A}"/>
    <cellStyle name="Финансовый 2 3 2 2 3 3 3" xfId="1423" xr:uid="{9A479F16-8DFD-4383-B8A9-0D9BACDD54AB}"/>
    <cellStyle name="Финансовый 2 3 2 2 3 3 3 2" xfId="3744" xr:uid="{F9B53483-9B38-407E-AAF9-4D0F5BA3EA3F}"/>
    <cellStyle name="Финансовый 2 3 2 2 3 3 4" xfId="3745" xr:uid="{0BBABFE4-B5A3-46B2-A930-33167E079959}"/>
    <cellStyle name="Финансовый 2 3 2 2 3 4" xfId="655" xr:uid="{7FB113B7-59FC-4760-8A9C-2F530AE31E54}"/>
    <cellStyle name="Финансовый 2 3 2 2 3 4 2" xfId="1679" xr:uid="{A0E2CC6C-FD86-43D3-8C79-7AE2AEC82157}"/>
    <cellStyle name="Финансовый 2 3 2 2 3 4 2 2" xfId="3746" xr:uid="{70BBFA76-5A5F-417C-AF95-006E95B6B4D8}"/>
    <cellStyle name="Финансовый 2 3 2 2 3 4 3" xfId="3747" xr:uid="{859DE2E2-3303-45AD-AED5-F0400C1CD56B}"/>
    <cellStyle name="Финансовый 2 3 2 2 3 5" xfId="1167" xr:uid="{8F63E5F3-30D4-4BA7-89C4-8EFFEC53AD4F}"/>
    <cellStyle name="Финансовый 2 3 2 2 3 5 2" xfId="3748" xr:uid="{97DA2A5C-8074-48CF-817A-4CD1E6E5ED05}"/>
    <cellStyle name="Финансовый 2 3 2 2 3 6" xfId="3749" xr:uid="{A585053C-4447-43DB-82A3-2A5F4801B710}"/>
    <cellStyle name="Финансовый 2 3 2 2 4" xfId="207" xr:uid="{46C4511F-8ADD-4EBE-8665-9E9F0D876B29}"/>
    <cellStyle name="Финансовый 2 3 2 2 4 2" xfId="463" xr:uid="{136E3D69-7742-4F8D-AFE3-C31FA697C843}"/>
    <cellStyle name="Финансовый 2 3 2 2 4 2 2" xfId="975" xr:uid="{D303952F-AD1F-4EE8-B8C7-69A1E71D4A4A}"/>
    <cellStyle name="Финансовый 2 3 2 2 4 2 2 2" xfId="1999" xr:uid="{0163FC42-3913-4299-9229-A83376E92AEA}"/>
    <cellStyle name="Финансовый 2 3 2 2 4 2 2 2 2" xfId="3750" xr:uid="{7FF3FCE4-1F70-4040-9345-CA048EE7C984}"/>
    <cellStyle name="Финансовый 2 3 2 2 4 2 2 3" xfId="3751" xr:uid="{B24EA727-B1C5-448A-98F1-92ABABC38E92}"/>
    <cellStyle name="Финансовый 2 3 2 2 4 2 3" xfId="1487" xr:uid="{41E3E1FC-9471-46A5-850A-E52298129EFD}"/>
    <cellStyle name="Финансовый 2 3 2 2 4 2 3 2" xfId="3752" xr:uid="{18805914-5236-4AAB-8D0D-F5655EBD26C1}"/>
    <cellStyle name="Финансовый 2 3 2 2 4 2 4" xfId="3753" xr:uid="{3FB006DE-0432-498C-A54E-5C1A314A002B}"/>
    <cellStyle name="Финансовый 2 3 2 2 4 3" xfId="719" xr:uid="{4F6697A9-A41E-41B5-A4CB-D54402173D90}"/>
    <cellStyle name="Финансовый 2 3 2 2 4 3 2" xfId="1743" xr:uid="{3217E747-C35E-4460-9C04-D1A2D5B71699}"/>
    <cellStyle name="Финансовый 2 3 2 2 4 3 2 2" xfId="3754" xr:uid="{802730FB-65F6-4A9A-A905-19225EC1E72D}"/>
    <cellStyle name="Финансовый 2 3 2 2 4 3 3" xfId="3755" xr:uid="{2A36133F-211C-4130-80FA-FCB15578E45B}"/>
    <cellStyle name="Финансовый 2 3 2 2 4 4" xfId="1231" xr:uid="{E9A4DBA7-27AA-4F31-B916-F32DD5F44397}"/>
    <cellStyle name="Финансовый 2 3 2 2 4 4 2" xfId="3756" xr:uid="{841888FC-9288-43D8-B52C-9518819453D0}"/>
    <cellStyle name="Финансовый 2 3 2 2 4 5" xfId="3757" xr:uid="{16D4BE79-35C6-4001-852F-D054703A6318}"/>
    <cellStyle name="Финансовый 2 3 2 2 5" xfId="335" xr:uid="{A44FB8CE-2E10-427A-B575-99E63DC418D0}"/>
    <cellStyle name="Финансовый 2 3 2 2 5 2" xfId="847" xr:uid="{75B693AC-728D-46AF-AD06-D56F21D28AC1}"/>
    <cellStyle name="Финансовый 2 3 2 2 5 2 2" xfId="1871" xr:uid="{E1730DAA-0F5F-430D-AB18-13DCF2765D01}"/>
    <cellStyle name="Финансовый 2 3 2 2 5 2 2 2" xfId="3758" xr:uid="{F078390F-E592-4699-8528-D708039636F4}"/>
    <cellStyle name="Финансовый 2 3 2 2 5 2 3" xfId="3759" xr:uid="{CA408867-A326-4FF8-8DB7-1A743720068B}"/>
    <cellStyle name="Финансовый 2 3 2 2 5 3" xfId="1359" xr:uid="{F6160DAA-AC06-4136-A6AE-A26B8A501EB6}"/>
    <cellStyle name="Финансовый 2 3 2 2 5 3 2" xfId="3760" xr:uid="{EFB76FD1-A587-46B7-AB92-78B871531A97}"/>
    <cellStyle name="Финансовый 2 3 2 2 5 4" xfId="3761" xr:uid="{DE9B37F7-5E7D-47BF-8507-26F93DD40432}"/>
    <cellStyle name="Финансовый 2 3 2 2 6" xfId="591" xr:uid="{30F6D832-6C3A-4412-8ABB-A756E6502D5B}"/>
    <cellStyle name="Финансовый 2 3 2 2 6 2" xfId="1615" xr:uid="{F124603B-6169-4522-95FD-FBEF79BC35F2}"/>
    <cellStyle name="Финансовый 2 3 2 2 6 2 2" xfId="3762" xr:uid="{4A977AC6-EB5B-489A-820C-151FAC0B8DAA}"/>
    <cellStyle name="Финансовый 2 3 2 2 6 3" xfId="3763" xr:uid="{1698DE7B-C0F3-4575-B148-CFC42BEC78E3}"/>
    <cellStyle name="Финансовый 2 3 2 2 7" xfId="1103" xr:uid="{2BD74587-30B0-4094-8E56-8A787A0E6D14}"/>
    <cellStyle name="Финансовый 2 3 2 2 7 2" xfId="3764" xr:uid="{762AF35F-0C18-4712-B3B3-4B548C16C3F8}"/>
    <cellStyle name="Финансовый 2 3 2 2 8" xfId="3765" xr:uid="{D5FF6D13-3B8F-4786-8AAC-9C13072C88ED}"/>
    <cellStyle name="Финансовый 2 3 2 3" xfId="95" xr:uid="{919E92B9-3A28-43EE-AE9A-8B97E3BF5AF6}"/>
    <cellStyle name="Финансовый 2 3 2 3 2" xfId="159" xr:uid="{F8A1690F-484E-4896-B9A5-FA3CEFC87BC2}"/>
    <cellStyle name="Финансовый 2 3 2 3 2 2" xfId="287" xr:uid="{A11C091D-4400-475C-9D5A-70D37BC77507}"/>
    <cellStyle name="Финансовый 2 3 2 3 2 2 2" xfId="543" xr:uid="{E35845E2-AC16-4A51-BA6D-4DEB338A5369}"/>
    <cellStyle name="Финансовый 2 3 2 3 2 2 2 2" xfId="1055" xr:uid="{4D28EF94-B4B9-4C0B-8D5C-AF4168163944}"/>
    <cellStyle name="Финансовый 2 3 2 3 2 2 2 2 2" xfId="2079" xr:uid="{A870010F-A658-4C89-B0AE-490EE84F8B2C}"/>
    <cellStyle name="Финансовый 2 3 2 3 2 2 2 2 2 2" xfId="3766" xr:uid="{03C5D6BA-6D4C-489C-8102-712205E88696}"/>
    <cellStyle name="Финансовый 2 3 2 3 2 2 2 2 3" xfId="3767" xr:uid="{EF200DF9-BCC2-4188-837E-B910037A4D97}"/>
    <cellStyle name="Финансовый 2 3 2 3 2 2 2 3" xfId="1567" xr:uid="{F8D3143F-58D1-48FF-9696-0155083E32FB}"/>
    <cellStyle name="Финансовый 2 3 2 3 2 2 2 3 2" xfId="3768" xr:uid="{E7175711-C34B-4EFC-9D9F-63CBFB06DD69}"/>
    <cellStyle name="Финансовый 2 3 2 3 2 2 2 4" xfId="3769" xr:uid="{69AA7CBA-636F-4FB9-8C6B-3BEC352744FD}"/>
    <cellStyle name="Финансовый 2 3 2 3 2 2 3" xfId="799" xr:uid="{9C62F98D-08D3-4C51-BE22-3A0AE6A41B34}"/>
    <cellStyle name="Финансовый 2 3 2 3 2 2 3 2" xfId="1823" xr:uid="{2F027355-B4A9-4A3B-A881-5D3CD855A52C}"/>
    <cellStyle name="Финансовый 2 3 2 3 2 2 3 2 2" xfId="3770" xr:uid="{B6D7FD31-C9A1-4954-8FD3-2AED4F239E3B}"/>
    <cellStyle name="Финансовый 2 3 2 3 2 2 3 3" xfId="3771" xr:uid="{049BF17E-1F85-4EA3-ADAD-DEA14BDBA544}"/>
    <cellStyle name="Финансовый 2 3 2 3 2 2 4" xfId="1311" xr:uid="{8B9316DA-B749-4289-90AD-CD77DA849317}"/>
    <cellStyle name="Финансовый 2 3 2 3 2 2 4 2" xfId="3772" xr:uid="{1ECE7232-A20C-4EFA-A58F-DBABD5BB5CF7}"/>
    <cellStyle name="Финансовый 2 3 2 3 2 2 5" xfId="3773" xr:uid="{7ED60A59-4832-4DD6-AFD8-11124F2BD5C8}"/>
    <cellStyle name="Финансовый 2 3 2 3 2 3" xfId="415" xr:uid="{9C600400-7C20-4FA1-A35D-9FE6FDF7E366}"/>
    <cellStyle name="Финансовый 2 3 2 3 2 3 2" xfId="927" xr:uid="{920E5057-2057-49FF-A015-E36EA784F0FE}"/>
    <cellStyle name="Финансовый 2 3 2 3 2 3 2 2" xfId="1951" xr:uid="{2372159F-57B0-48DE-8537-EDC22C9B982D}"/>
    <cellStyle name="Финансовый 2 3 2 3 2 3 2 2 2" xfId="3774" xr:uid="{65677A9C-824E-4A22-91D4-41CBAA749789}"/>
    <cellStyle name="Финансовый 2 3 2 3 2 3 2 3" xfId="3775" xr:uid="{DB4DCAD6-D440-4105-AFEC-C3FAB9566681}"/>
    <cellStyle name="Финансовый 2 3 2 3 2 3 3" xfId="1439" xr:uid="{3B8EA415-824A-4563-9613-EDDF2EE06E0D}"/>
    <cellStyle name="Финансовый 2 3 2 3 2 3 3 2" xfId="3776" xr:uid="{C4CE570F-EC53-4F6B-8981-985A6326ECC2}"/>
    <cellStyle name="Финансовый 2 3 2 3 2 3 4" xfId="3777" xr:uid="{2FF8251A-C086-466E-93AB-0352C977ACFA}"/>
    <cellStyle name="Финансовый 2 3 2 3 2 4" xfId="671" xr:uid="{ED6EB328-4AFF-4493-981F-3244902A0307}"/>
    <cellStyle name="Финансовый 2 3 2 3 2 4 2" xfId="1695" xr:uid="{BE54F3A1-9505-4946-BF71-6144E6F24638}"/>
    <cellStyle name="Финансовый 2 3 2 3 2 4 2 2" xfId="3778" xr:uid="{01C34F30-DC7B-4011-8FA1-E9FF88C93B6C}"/>
    <cellStyle name="Финансовый 2 3 2 3 2 4 3" xfId="3779" xr:uid="{B6967110-AF9D-4301-BCEE-EB1C5883CCE0}"/>
    <cellStyle name="Финансовый 2 3 2 3 2 5" xfId="1183" xr:uid="{0A6004C5-C669-4D65-B191-39072453309A}"/>
    <cellStyle name="Финансовый 2 3 2 3 2 5 2" xfId="3780" xr:uid="{B5DD560E-43F8-481F-8425-2814C4F8A879}"/>
    <cellStyle name="Финансовый 2 3 2 3 2 6" xfId="3781" xr:uid="{89B0A246-0A67-4EBE-9A2A-7A26837C029A}"/>
    <cellStyle name="Финансовый 2 3 2 3 3" xfId="223" xr:uid="{27BF5769-ED68-4882-8E23-C8BAB3494A6A}"/>
    <cellStyle name="Финансовый 2 3 2 3 3 2" xfId="479" xr:uid="{F90102F6-7A05-424B-9D78-2530D9AFDBCA}"/>
    <cellStyle name="Финансовый 2 3 2 3 3 2 2" xfId="991" xr:uid="{CF1D2405-081A-4847-8072-2CE3553F051C}"/>
    <cellStyle name="Финансовый 2 3 2 3 3 2 2 2" xfId="2015" xr:uid="{85449EB0-C34D-4CB5-94AE-638E2204F689}"/>
    <cellStyle name="Финансовый 2 3 2 3 3 2 2 2 2" xfId="3782" xr:uid="{8C9492CA-F3EE-4AB0-8552-C863365BDDFB}"/>
    <cellStyle name="Финансовый 2 3 2 3 3 2 2 3" xfId="3783" xr:uid="{EFAD6F17-472A-4495-8B91-F40BB466DAE8}"/>
    <cellStyle name="Финансовый 2 3 2 3 3 2 3" xfId="1503" xr:uid="{1A21E939-BE8C-4171-914F-6773D6300858}"/>
    <cellStyle name="Финансовый 2 3 2 3 3 2 3 2" xfId="3784" xr:uid="{592884F5-07DF-4ED2-A3BB-E0F67152FD0F}"/>
    <cellStyle name="Финансовый 2 3 2 3 3 2 4" xfId="3785" xr:uid="{2C981C6A-9DB4-43B5-A963-84CE4C3172B5}"/>
    <cellStyle name="Финансовый 2 3 2 3 3 3" xfId="735" xr:uid="{A73BA341-85AC-42C7-A4B3-E7057DF5378B}"/>
    <cellStyle name="Финансовый 2 3 2 3 3 3 2" xfId="1759" xr:uid="{3DEE89AD-AC26-40FD-A576-9DF555B11263}"/>
    <cellStyle name="Финансовый 2 3 2 3 3 3 2 2" xfId="3786" xr:uid="{B0149568-82BF-4EA2-987C-045D9D932E1B}"/>
    <cellStyle name="Финансовый 2 3 2 3 3 3 3" xfId="3787" xr:uid="{FB8B2259-AE3F-4FB0-B20C-6EB9A9736C2E}"/>
    <cellStyle name="Финансовый 2 3 2 3 3 4" xfId="1247" xr:uid="{B633294D-667F-46B4-995F-1DEA63BFB255}"/>
    <cellStyle name="Финансовый 2 3 2 3 3 4 2" xfId="3788" xr:uid="{CD06D021-8A2A-4CB0-8EB1-351BE39600B1}"/>
    <cellStyle name="Финансовый 2 3 2 3 3 5" xfId="3789" xr:uid="{680AF6E1-484E-4BA3-A4A2-575928183563}"/>
    <cellStyle name="Финансовый 2 3 2 3 4" xfId="351" xr:uid="{9F701B79-6B69-430A-A051-A9175EC2A0A8}"/>
    <cellStyle name="Финансовый 2 3 2 3 4 2" xfId="863" xr:uid="{9AC08682-6BB0-48B2-AB68-0412DB85D69E}"/>
    <cellStyle name="Финансовый 2 3 2 3 4 2 2" xfId="1887" xr:uid="{5916722E-27F1-4538-A64A-9F1AE0530FEF}"/>
    <cellStyle name="Финансовый 2 3 2 3 4 2 2 2" xfId="3790" xr:uid="{CEE78731-0A71-49F8-9045-B1F94006EAD4}"/>
    <cellStyle name="Финансовый 2 3 2 3 4 2 3" xfId="3791" xr:uid="{F3EBEFE0-702F-4B92-992C-5C81504F3B7F}"/>
    <cellStyle name="Финансовый 2 3 2 3 4 3" xfId="1375" xr:uid="{B85FDC63-7444-4238-8BAC-00F77116EBE6}"/>
    <cellStyle name="Финансовый 2 3 2 3 4 3 2" xfId="3792" xr:uid="{340825F2-229E-4068-8F5E-95BA25B4B699}"/>
    <cellStyle name="Финансовый 2 3 2 3 4 4" xfId="3793" xr:uid="{D4FDEBB3-7DE3-4DA7-B59F-5DDAEF31B42C}"/>
    <cellStyle name="Финансовый 2 3 2 3 5" xfId="607" xr:uid="{16DE9C11-B4C4-4F5E-B3DC-F21FA03F5F30}"/>
    <cellStyle name="Финансовый 2 3 2 3 5 2" xfId="1631" xr:uid="{4A708A0C-D6C1-4361-9A02-88AF38D7E213}"/>
    <cellStyle name="Финансовый 2 3 2 3 5 2 2" xfId="3794" xr:uid="{3FAB93F9-EBF8-414E-8088-0AEA149A2362}"/>
    <cellStyle name="Финансовый 2 3 2 3 5 3" xfId="3795" xr:uid="{23FD328D-C3AC-4763-80DE-FC4B352DB760}"/>
    <cellStyle name="Финансовый 2 3 2 3 6" xfId="1119" xr:uid="{C75BE8C0-ECF9-48D2-B935-E5F1DC51CDBE}"/>
    <cellStyle name="Финансовый 2 3 2 3 6 2" xfId="3796" xr:uid="{F8733532-F8DA-4DA9-A2F8-9EA6489E9F55}"/>
    <cellStyle name="Финансовый 2 3 2 3 7" xfId="3797" xr:uid="{D391D117-6B56-42AA-AF89-18F42AC05B81}"/>
    <cellStyle name="Финансовый 2 3 2 4" xfId="127" xr:uid="{16FC3956-CEF7-49DC-96D1-6965A31DC8BA}"/>
    <cellStyle name="Финансовый 2 3 2 4 2" xfId="255" xr:uid="{93E376BB-0697-48D0-9BF0-D9B08105F016}"/>
    <cellStyle name="Финансовый 2 3 2 4 2 2" xfId="511" xr:uid="{2C136472-4876-44EC-9699-37B2C604B1B4}"/>
    <cellStyle name="Финансовый 2 3 2 4 2 2 2" xfId="1023" xr:uid="{F83EE3A0-CE5E-4AA4-AC41-4C60333895D8}"/>
    <cellStyle name="Финансовый 2 3 2 4 2 2 2 2" xfId="2047" xr:uid="{20267655-1BD1-4F04-BA57-26CCC006DEAE}"/>
    <cellStyle name="Финансовый 2 3 2 4 2 2 2 2 2" xfId="3798" xr:uid="{01DA9F23-87C9-48CF-9A4D-D998560B18ED}"/>
    <cellStyle name="Финансовый 2 3 2 4 2 2 2 3" xfId="3799" xr:uid="{67A3DB05-EBC4-4731-9F7B-AC61024E2ECC}"/>
    <cellStyle name="Финансовый 2 3 2 4 2 2 3" xfId="1535" xr:uid="{31548774-63C0-48C6-8684-B8C2EEA8D8F5}"/>
    <cellStyle name="Финансовый 2 3 2 4 2 2 3 2" xfId="3800" xr:uid="{9C381D33-4148-44FE-813C-66D3713599BB}"/>
    <cellStyle name="Финансовый 2 3 2 4 2 2 4" xfId="3801" xr:uid="{ACF9656E-EF6A-440D-99FA-2F996AC11BC0}"/>
    <cellStyle name="Финансовый 2 3 2 4 2 3" xfId="767" xr:uid="{7635E9C5-48C8-432A-9BFF-3BF76C07E0CF}"/>
    <cellStyle name="Финансовый 2 3 2 4 2 3 2" xfId="1791" xr:uid="{B3BCB07C-AA23-431A-925D-5FCF89EBCB74}"/>
    <cellStyle name="Финансовый 2 3 2 4 2 3 2 2" xfId="3802" xr:uid="{36AB1BCD-D53F-4103-9B22-BACE0A8A20A6}"/>
    <cellStyle name="Финансовый 2 3 2 4 2 3 3" xfId="3803" xr:uid="{B9FD2154-ED39-44A4-BD16-E4609B8F4BE3}"/>
    <cellStyle name="Финансовый 2 3 2 4 2 4" xfId="1279" xr:uid="{4623E496-A9CB-4D53-8184-0B39F354F1C2}"/>
    <cellStyle name="Финансовый 2 3 2 4 2 4 2" xfId="3804" xr:uid="{213B9F6C-468E-4508-A697-481E7E7BA37D}"/>
    <cellStyle name="Финансовый 2 3 2 4 2 5" xfId="3805" xr:uid="{55005FA2-6B5C-4589-A6F1-C8FC41B7A5A3}"/>
    <cellStyle name="Финансовый 2 3 2 4 3" xfId="383" xr:uid="{DB0373BF-197E-4C03-A4F2-0CBC0A67BB4E}"/>
    <cellStyle name="Финансовый 2 3 2 4 3 2" xfId="895" xr:uid="{4BE46F58-8ECA-4954-9F56-099AD33A3FE0}"/>
    <cellStyle name="Финансовый 2 3 2 4 3 2 2" xfId="1919" xr:uid="{3E4D24E2-A78B-4286-9D74-2908B4C0448C}"/>
    <cellStyle name="Финансовый 2 3 2 4 3 2 2 2" xfId="3806" xr:uid="{A29E0297-6F2F-458D-BA9A-0AC53C7ACB4C}"/>
    <cellStyle name="Финансовый 2 3 2 4 3 2 3" xfId="3807" xr:uid="{959E7E11-A5D5-4AE5-85C7-70E6C5A56E62}"/>
    <cellStyle name="Финансовый 2 3 2 4 3 3" xfId="1407" xr:uid="{F5E515BF-408A-4746-981A-EE83E5827558}"/>
    <cellStyle name="Финансовый 2 3 2 4 3 3 2" xfId="3808" xr:uid="{6C8691BF-F854-49B9-9AED-D413C98E6091}"/>
    <cellStyle name="Финансовый 2 3 2 4 3 4" xfId="3809" xr:uid="{633A0AE4-E541-4C6B-A4A7-69567921B4E5}"/>
    <cellStyle name="Финансовый 2 3 2 4 4" xfId="639" xr:uid="{C7188259-00DF-4F5B-B25A-1C71EE5AB656}"/>
    <cellStyle name="Финансовый 2 3 2 4 4 2" xfId="1663" xr:uid="{36A07058-F18D-48D1-90F6-652881BA8F8F}"/>
    <cellStyle name="Финансовый 2 3 2 4 4 2 2" xfId="3810" xr:uid="{3432F381-DAE7-42C5-83A3-F586059E9E7B}"/>
    <cellStyle name="Финансовый 2 3 2 4 4 3" xfId="3811" xr:uid="{A376FC93-3A47-4825-B7A0-F7FA8941E546}"/>
    <cellStyle name="Финансовый 2 3 2 4 5" xfId="1151" xr:uid="{669A519E-BB51-4283-8696-CF1BEDCE99DE}"/>
    <cellStyle name="Финансовый 2 3 2 4 5 2" xfId="3812" xr:uid="{98450A2D-E819-471F-BC86-666F04BA09D5}"/>
    <cellStyle name="Финансовый 2 3 2 4 6" xfId="3813" xr:uid="{EDBB0AB1-ED91-4260-BAE0-19A762FA12E8}"/>
    <cellStyle name="Финансовый 2 3 2 5" xfId="191" xr:uid="{53260C22-DB4C-40B6-9420-D929762052DD}"/>
    <cellStyle name="Финансовый 2 3 2 5 2" xfId="447" xr:uid="{EA434F86-919B-4FDD-AC74-EC666281630A}"/>
    <cellStyle name="Финансовый 2 3 2 5 2 2" xfId="959" xr:uid="{3CAA248B-9C3B-4F4D-8AD8-89CC8984544C}"/>
    <cellStyle name="Финансовый 2 3 2 5 2 2 2" xfId="1983" xr:uid="{A533067F-0C4D-4D27-954E-0F1B1D7A1A46}"/>
    <cellStyle name="Финансовый 2 3 2 5 2 2 2 2" xfId="3814" xr:uid="{F6F5E28A-0C59-4381-8579-21CAD0055435}"/>
    <cellStyle name="Финансовый 2 3 2 5 2 2 3" xfId="3815" xr:uid="{B4A98939-8627-465C-B33C-ABBB11D97F19}"/>
    <cellStyle name="Финансовый 2 3 2 5 2 3" xfId="1471" xr:uid="{2CD7FA32-8BC3-4F3D-BD3E-6EF91640E551}"/>
    <cellStyle name="Финансовый 2 3 2 5 2 3 2" xfId="3816" xr:uid="{8A5F940D-FAE6-46D3-A36A-ED1077F66B88}"/>
    <cellStyle name="Финансовый 2 3 2 5 2 4" xfId="3817" xr:uid="{36386D4E-39C1-40F6-A0E3-0B22FDA909B7}"/>
    <cellStyle name="Финансовый 2 3 2 5 3" xfId="703" xr:uid="{D025CEE0-8245-4963-A266-BB3EBE19A70D}"/>
    <cellStyle name="Финансовый 2 3 2 5 3 2" xfId="1727" xr:uid="{2E11979A-FCEB-42C7-A722-3DDBEDF10237}"/>
    <cellStyle name="Финансовый 2 3 2 5 3 2 2" xfId="3818" xr:uid="{10A7F511-8FD9-4C31-BEB0-AEE76F099B09}"/>
    <cellStyle name="Финансовый 2 3 2 5 3 3" xfId="3819" xr:uid="{B1ACB965-2D0E-4210-9018-8ACDBE4C66F1}"/>
    <cellStyle name="Финансовый 2 3 2 5 4" xfId="1215" xr:uid="{18600288-B94F-4C31-9928-5A7B42D75476}"/>
    <cellStyle name="Финансовый 2 3 2 5 4 2" xfId="3820" xr:uid="{F0E68985-8B5D-4B0D-81A0-DBE8765D9BB9}"/>
    <cellStyle name="Финансовый 2 3 2 5 5" xfId="3821" xr:uid="{272A1447-28FB-4090-8E58-0C1CDE0CFBF8}"/>
    <cellStyle name="Финансовый 2 3 2 6" xfId="319" xr:uid="{A0C5EE19-2C1A-4528-9DD2-696EA74490C6}"/>
    <cellStyle name="Финансовый 2 3 2 6 2" xfId="831" xr:uid="{C8113454-680C-48EA-AB1C-37C8D1D3D963}"/>
    <cellStyle name="Финансовый 2 3 2 6 2 2" xfId="1855" xr:uid="{0E631F35-A158-44A7-9784-41A5181D8D89}"/>
    <cellStyle name="Финансовый 2 3 2 6 2 2 2" xfId="3822" xr:uid="{138C36D8-37AD-4EAB-A5DA-148CCCFDE0A8}"/>
    <cellStyle name="Финансовый 2 3 2 6 2 3" xfId="3823" xr:uid="{E67E1F8A-F58B-4D24-BABD-0A3C0EEA5F49}"/>
    <cellStyle name="Финансовый 2 3 2 6 3" xfId="1343" xr:uid="{C6A5A4BA-57A4-4723-8858-3BF394A267BF}"/>
    <cellStyle name="Финансовый 2 3 2 6 3 2" xfId="3824" xr:uid="{E278D926-1F01-466C-AAE0-B746342CCC58}"/>
    <cellStyle name="Финансовый 2 3 2 6 4" xfId="3825" xr:uid="{B8A306F5-D369-4CF9-AF01-DAE22C16047F}"/>
    <cellStyle name="Финансовый 2 3 2 7" xfId="575" xr:uid="{1C78CBD9-267C-4738-B2B4-FC456BAC18FC}"/>
    <cellStyle name="Финансовый 2 3 2 7 2" xfId="1599" xr:uid="{87419B55-6392-4C5F-9444-E5654226C76D}"/>
    <cellStyle name="Финансовый 2 3 2 7 2 2" xfId="3826" xr:uid="{3BE633B3-5C94-4BDB-8F82-7FBAECB23D1A}"/>
    <cellStyle name="Финансовый 2 3 2 7 3" xfId="3827" xr:uid="{11BDCDB7-222A-4659-8FEA-4453C2750DF3}"/>
    <cellStyle name="Финансовый 2 3 2 8" xfId="1087" xr:uid="{8D37D2C3-26E6-4B3A-BF99-46EB3DA0AAD6}"/>
    <cellStyle name="Финансовый 2 3 2 8 2" xfId="3828" xr:uid="{34B0A4C4-4743-414B-B669-831D78FA95A0}"/>
    <cellStyle name="Финансовый 2 3 2 9" xfId="3829" xr:uid="{CE0242FB-D296-45FD-B84C-D40E3EEDE1DD}"/>
    <cellStyle name="Финансовый 2 3 3" xfId="70" xr:uid="{4A42673D-7EB1-434B-B505-85E4A1CE644E}"/>
    <cellStyle name="Финансовый 2 3 3 2" xfId="103" xr:uid="{1C2509F6-F4F2-4E0F-8C54-98ECDF32153D}"/>
    <cellStyle name="Финансовый 2 3 3 2 2" xfId="167" xr:uid="{B1B6CD0C-901C-4BA9-902A-A03C067FB0B9}"/>
    <cellStyle name="Финансовый 2 3 3 2 2 2" xfId="295" xr:uid="{2B2DE076-AB02-4C2F-A33B-57E83ED62897}"/>
    <cellStyle name="Финансовый 2 3 3 2 2 2 2" xfId="551" xr:uid="{AE9F4F15-39D5-42BB-8364-2C44D35FBF31}"/>
    <cellStyle name="Финансовый 2 3 3 2 2 2 2 2" xfId="1063" xr:uid="{46AF51C4-4374-47FF-9A08-D9C86DAA3119}"/>
    <cellStyle name="Финансовый 2 3 3 2 2 2 2 2 2" xfId="2087" xr:uid="{A4CDED58-CE2B-4085-AEF6-8D9124681866}"/>
    <cellStyle name="Финансовый 2 3 3 2 2 2 2 2 2 2" xfId="3830" xr:uid="{442ACDE6-5F1A-4B84-813E-E84AB50EC50F}"/>
    <cellStyle name="Финансовый 2 3 3 2 2 2 2 2 3" xfId="3831" xr:uid="{03FF88AF-BDDE-441D-A167-4A3683F5FCB9}"/>
    <cellStyle name="Финансовый 2 3 3 2 2 2 2 3" xfId="1575" xr:uid="{1A9C3E09-4D08-4FA0-A76B-31F7C4ACAA39}"/>
    <cellStyle name="Финансовый 2 3 3 2 2 2 2 3 2" xfId="3832" xr:uid="{DCED3855-9CA3-43BF-ACC5-1FA30206A456}"/>
    <cellStyle name="Финансовый 2 3 3 2 2 2 2 4" xfId="3833" xr:uid="{D58A4CCE-5E40-437E-90ED-132B8D366C6E}"/>
    <cellStyle name="Финансовый 2 3 3 2 2 2 3" xfId="807" xr:uid="{1D5FA409-A936-4110-BA47-17D872E0C7AF}"/>
    <cellStyle name="Финансовый 2 3 3 2 2 2 3 2" xfId="1831" xr:uid="{29502BC1-DD6C-4947-BAA4-EDB1CACEBF41}"/>
    <cellStyle name="Финансовый 2 3 3 2 2 2 3 2 2" xfId="3834" xr:uid="{D9A8A9A1-F5CE-4DD7-92CB-F3FFF7E86D88}"/>
    <cellStyle name="Финансовый 2 3 3 2 2 2 3 3" xfId="3835" xr:uid="{7D8B2EEA-B325-4946-93E9-F242D938CC9E}"/>
    <cellStyle name="Финансовый 2 3 3 2 2 2 4" xfId="1319" xr:uid="{C6EB421C-238B-476E-B0A0-46183CEE9D15}"/>
    <cellStyle name="Финансовый 2 3 3 2 2 2 4 2" xfId="3836" xr:uid="{AB7E6088-454E-441A-88A2-B2FD9933FCE8}"/>
    <cellStyle name="Финансовый 2 3 3 2 2 2 5" xfId="3837" xr:uid="{A8116EB4-8BD0-4521-9BF3-6A7DAEED3D8F}"/>
    <cellStyle name="Финансовый 2 3 3 2 2 3" xfId="423" xr:uid="{FA5A76F4-20E7-49BA-82BE-507D4E5B490A}"/>
    <cellStyle name="Финансовый 2 3 3 2 2 3 2" xfId="935" xr:uid="{4CF4FBDE-1535-4307-A177-369214395AB6}"/>
    <cellStyle name="Финансовый 2 3 3 2 2 3 2 2" xfId="1959" xr:uid="{915A909A-25B4-4D8C-91C1-E5530AEAD210}"/>
    <cellStyle name="Финансовый 2 3 3 2 2 3 2 2 2" xfId="3838" xr:uid="{6E62CC13-7178-4AFD-92F4-B4C0FA1CC66D}"/>
    <cellStyle name="Финансовый 2 3 3 2 2 3 2 3" xfId="3839" xr:uid="{40C44C88-9346-4869-9B72-67C91ECC8250}"/>
    <cellStyle name="Финансовый 2 3 3 2 2 3 3" xfId="1447" xr:uid="{ABFEA8EC-5C54-4D4F-8E17-6A7F332A020E}"/>
    <cellStyle name="Финансовый 2 3 3 2 2 3 3 2" xfId="3840" xr:uid="{9EBB097D-3696-42A3-8BAF-793E385E1891}"/>
    <cellStyle name="Финансовый 2 3 3 2 2 3 4" xfId="3841" xr:uid="{DFA0E3E4-E447-4D86-B628-3D924DBE9C4D}"/>
    <cellStyle name="Финансовый 2 3 3 2 2 4" xfId="679" xr:uid="{541A9A78-66CA-469C-A1F8-931FFF802D0F}"/>
    <cellStyle name="Финансовый 2 3 3 2 2 4 2" xfId="1703" xr:uid="{75BB7E15-3694-4D79-9CB7-3B0FB2D71148}"/>
    <cellStyle name="Финансовый 2 3 3 2 2 4 2 2" xfId="3842" xr:uid="{BFBFF32B-137A-4841-915A-A2733460C302}"/>
    <cellStyle name="Финансовый 2 3 3 2 2 4 3" xfId="3843" xr:uid="{8E0E924C-BA67-41B8-9247-1094BDFB444A}"/>
    <cellStyle name="Финансовый 2 3 3 2 2 5" xfId="1191" xr:uid="{64369BFB-6EE6-418C-A93F-4766EBC2A767}"/>
    <cellStyle name="Финансовый 2 3 3 2 2 5 2" xfId="3844" xr:uid="{C9E4E304-D33A-4EEF-BA8C-5CEDC4F9F730}"/>
    <cellStyle name="Финансовый 2 3 3 2 2 6" xfId="3845" xr:uid="{20E27289-3FEE-411A-B9D1-DDC7A9EFA1E1}"/>
    <cellStyle name="Финансовый 2 3 3 2 3" xfId="231" xr:uid="{6F352E99-F792-42A2-A8CA-86D3E4DA3AED}"/>
    <cellStyle name="Финансовый 2 3 3 2 3 2" xfId="487" xr:uid="{23685A2F-0645-40D1-AB2F-B292FE61995F}"/>
    <cellStyle name="Финансовый 2 3 3 2 3 2 2" xfId="999" xr:uid="{EC35235D-BA97-425B-B700-4101389CF605}"/>
    <cellStyle name="Финансовый 2 3 3 2 3 2 2 2" xfId="2023" xr:uid="{9FD04DA4-B033-459E-860A-05C8C92865EC}"/>
    <cellStyle name="Финансовый 2 3 3 2 3 2 2 2 2" xfId="3846" xr:uid="{2A537E3A-B4B6-4C37-B0C8-44E4159CE516}"/>
    <cellStyle name="Финансовый 2 3 3 2 3 2 2 3" xfId="3847" xr:uid="{021F721E-8A7B-46A1-9CEC-98FBBEEA470F}"/>
    <cellStyle name="Финансовый 2 3 3 2 3 2 3" xfId="1511" xr:uid="{78BE645A-2541-4C4A-993C-BF7974A7CD4F}"/>
    <cellStyle name="Финансовый 2 3 3 2 3 2 3 2" xfId="3848" xr:uid="{6AB6256D-4405-4578-A43D-292090ED5AE8}"/>
    <cellStyle name="Финансовый 2 3 3 2 3 2 4" xfId="3849" xr:uid="{C673ED1C-3E0F-4507-935C-12831FD446AE}"/>
    <cellStyle name="Финансовый 2 3 3 2 3 3" xfId="743" xr:uid="{9173C29A-1A22-4808-A485-17E3FF550804}"/>
    <cellStyle name="Финансовый 2 3 3 2 3 3 2" xfId="1767" xr:uid="{724C7317-5A86-4EC0-ACF5-1147DBEDC676}"/>
    <cellStyle name="Финансовый 2 3 3 2 3 3 2 2" xfId="3850" xr:uid="{809500AD-D7FE-40FC-831A-6F6807DA1BF2}"/>
    <cellStyle name="Финансовый 2 3 3 2 3 3 3" xfId="3851" xr:uid="{AC99721B-9159-44FF-B986-49FEDFBF9D0C}"/>
    <cellStyle name="Финансовый 2 3 3 2 3 4" xfId="1255" xr:uid="{43CBB850-7F78-455F-B311-8DDCC6E24529}"/>
    <cellStyle name="Финансовый 2 3 3 2 3 4 2" xfId="3852" xr:uid="{E248FD24-15A9-42E9-8A34-274A2B4320AE}"/>
    <cellStyle name="Финансовый 2 3 3 2 3 5" xfId="3853" xr:uid="{1AD17F99-8672-4A4C-BD67-A2067B6569A3}"/>
    <cellStyle name="Финансовый 2 3 3 2 4" xfId="359" xr:uid="{E124A601-8438-43B9-A96F-2103A660FB46}"/>
    <cellStyle name="Финансовый 2 3 3 2 4 2" xfId="871" xr:uid="{CB0E9C4A-97FD-4019-B9A6-98CBA01B9F6C}"/>
    <cellStyle name="Финансовый 2 3 3 2 4 2 2" xfId="1895" xr:uid="{C46BAC13-2B1B-4838-90EC-1084FCA70203}"/>
    <cellStyle name="Финансовый 2 3 3 2 4 2 2 2" xfId="3854" xr:uid="{09C08255-EE60-4496-90D8-C77B16FF71DC}"/>
    <cellStyle name="Финансовый 2 3 3 2 4 2 3" xfId="3855" xr:uid="{47DD29D1-FA59-427A-AA61-FF0B8B527FA6}"/>
    <cellStyle name="Финансовый 2 3 3 2 4 3" xfId="1383" xr:uid="{05EA9772-55D9-4B17-8657-AC28BA3E0A10}"/>
    <cellStyle name="Финансовый 2 3 3 2 4 3 2" xfId="3856" xr:uid="{19022846-D75A-4CFF-9DCE-1E1E6525BDF1}"/>
    <cellStyle name="Финансовый 2 3 3 2 4 4" xfId="3857" xr:uid="{7DAED68F-C71E-4BA6-AE5A-6327521198DE}"/>
    <cellStyle name="Финансовый 2 3 3 2 5" xfId="615" xr:uid="{975D5BF5-B5EB-4D4E-9FB2-4FB966D8E90F}"/>
    <cellStyle name="Финансовый 2 3 3 2 5 2" xfId="1639" xr:uid="{8F800962-0DA0-4D13-B3AD-31F2A91AADE0}"/>
    <cellStyle name="Финансовый 2 3 3 2 5 2 2" xfId="3858" xr:uid="{4515F90C-95CB-40BE-BB77-CC573774BDA1}"/>
    <cellStyle name="Финансовый 2 3 3 2 5 3" xfId="3859" xr:uid="{8B035603-B0DB-4301-8466-6DC5DBD8FE1C}"/>
    <cellStyle name="Финансовый 2 3 3 2 6" xfId="1127" xr:uid="{355B9E74-B9D2-488F-89BE-870C611CBF49}"/>
    <cellStyle name="Финансовый 2 3 3 2 6 2" xfId="3860" xr:uid="{9B1A562D-FEDD-458A-936B-07034F881CC9}"/>
    <cellStyle name="Финансовый 2 3 3 2 7" xfId="3861" xr:uid="{459E254D-9213-4687-87BF-C562978EDC5A}"/>
    <cellStyle name="Финансовый 2 3 3 3" xfId="135" xr:uid="{B5D86CD0-B668-4F2F-BAB7-ED97358B7925}"/>
    <cellStyle name="Финансовый 2 3 3 3 2" xfId="263" xr:uid="{16720518-C393-41B7-A084-32AA9D9C2E4A}"/>
    <cellStyle name="Финансовый 2 3 3 3 2 2" xfId="519" xr:uid="{37EECA5F-6DCD-4176-B5ED-335491D8CF54}"/>
    <cellStyle name="Финансовый 2 3 3 3 2 2 2" xfId="1031" xr:uid="{356B57BE-D963-4BAB-A49B-E808C94E2086}"/>
    <cellStyle name="Финансовый 2 3 3 3 2 2 2 2" xfId="2055" xr:uid="{6DA1F5F4-DBDC-49BE-AE11-1D688DBC8B0C}"/>
    <cellStyle name="Финансовый 2 3 3 3 2 2 2 2 2" xfId="3862" xr:uid="{B92CE559-F15F-4ADD-8B42-21E71B5A4B79}"/>
    <cellStyle name="Финансовый 2 3 3 3 2 2 2 3" xfId="3863" xr:uid="{C69860C9-5202-4C15-99C9-1432EFFE4799}"/>
    <cellStyle name="Финансовый 2 3 3 3 2 2 3" xfId="1543" xr:uid="{5CB21797-CE60-43DC-BDE3-A66CA1556540}"/>
    <cellStyle name="Финансовый 2 3 3 3 2 2 3 2" xfId="3864" xr:uid="{FBFFAA3E-7D2C-4427-B50C-4E7C9A455880}"/>
    <cellStyle name="Финансовый 2 3 3 3 2 2 4" xfId="3865" xr:uid="{8E27E1C4-2937-4732-A84F-3BEC342069AA}"/>
    <cellStyle name="Финансовый 2 3 3 3 2 3" xfId="775" xr:uid="{1C3B9EAE-C9E1-4D96-9884-12DDEF5924F7}"/>
    <cellStyle name="Финансовый 2 3 3 3 2 3 2" xfId="1799" xr:uid="{6E0234BB-2963-44F9-816A-2AF7C17C4994}"/>
    <cellStyle name="Финансовый 2 3 3 3 2 3 2 2" xfId="3866" xr:uid="{54731F51-B66B-464A-A282-CFB931DD813B}"/>
    <cellStyle name="Финансовый 2 3 3 3 2 3 3" xfId="3867" xr:uid="{98C732B5-28F4-46B8-8FBA-6FCC814D4645}"/>
    <cellStyle name="Финансовый 2 3 3 3 2 4" xfId="1287" xr:uid="{249C5F60-488A-48ED-8064-6E04331832AC}"/>
    <cellStyle name="Финансовый 2 3 3 3 2 4 2" xfId="3868" xr:uid="{86E369B9-DE99-48CA-8478-D8BE8A655441}"/>
    <cellStyle name="Финансовый 2 3 3 3 2 5" xfId="3869" xr:uid="{F13679AF-25C9-4430-9D6F-48EA1E3C804E}"/>
    <cellStyle name="Финансовый 2 3 3 3 3" xfId="391" xr:uid="{30C2AF92-DE2C-4E5B-8C3D-F1E38172C7D6}"/>
    <cellStyle name="Финансовый 2 3 3 3 3 2" xfId="903" xr:uid="{CF3C0358-8A42-406D-B48A-4CC1E7EFCD6F}"/>
    <cellStyle name="Финансовый 2 3 3 3 3 2 2" xfId="1927" xr:uid="{BBAB1707-58D4-44F0-9755-82128A592AC3}"/>
    <cellStyle name="Финансовый 2 3 3 3 3 2 2 2" xfId="3870" xr:uid="{FFD1227F-472E-43B9-9908-7E05BFB05944}"/>
    <cellStyle name="Финансовый 2 3 3 3 3 2 3" xfId="3871" xr:uid="{FFF1DFD9-FB5E-4F80-A33F-7A155C6B5868}"/>
    <cellStyle name="Финансовый 2 3 3 3 3 3" xfId="1415" xr:uid="{6A644C85-A9D2-4926-A63C-9082DE8498F6}"/>
    <cellStyle name="Финансовый 2 3 3 3 3 3 2" xfId="3872" xr:uid="{7A6AA5C5-6536-4422-A4A9-584DAAB9E9AA}"/>
    <cellStyle name="Финансовый 2 3 3 3 3 4" xfId="3873" xr:uid="{AB8D3D0A-1C53-4038-AAD0-AD65D7FA6197}"/>
    <cellStyle name="Финансовый 2 3 3 3 4" xfId="647" xr:uid="{4AF1558D-1A85-41AD-9E1C-97E64B1910AE}"/>
    <cellStyle name="Финансовый 2 3 3 3 4 2" xfId="1671" xr:uid="{3086169A-EEBD-4998-BB70-6837D503F3F8}"/>
    <cellStyle name="Финансовый 2 3 3 3 4 2 2" xfId="3874" xr:uid="{513D3EA9-68E1-4379-931F-A63039ACEED2}"/>
    <cellStyle name="Финансовый 2 3 3 3 4 3" xfId="3875" xr:uid="{4505C4CF-DF30-4181-9E59-262FB8A39C3A}"/>
    <cellStyle name="Финансовый 2 3 3 3 5" xfId="1159" xr:uid="{6B2D1245-B09F-4C59-8ED9-949FD63A292C}"/>
    <cellStyle name="Финансовый 2 3 3 3 5 2" xfId="3876" xr:uid="{281D83D1-1BA5-4A6E-9E25-C6B0CD1BE16E}"/>
    <cellStyle name="Финансовый 2 3 3 3 6" xfId="3877" xr:uid="{6E218B25-EAC2-43BD-B36C-9F380327F01D}"/>
    <cellStyle name="Финансовый 2 3 3 4" xfId="199" xr:uid="{043AFFAE-C29A-46E2-9A64-2F85E7202108}"/>
    <cellStyle name="Финансовый 2 3 3 4 2" xfId="455" xr:uid="{4AA05660-F979-4A96-BAB5-A2D20FCBF194}"/>
    <cellStyle name="Финансовый 2 3 3 4 2 2" xfId="967" xr:uid="{BA52674C-0278-4DC0-8AAF-7E85FC6650E8}"/>
    <cellStyle name="Финансовый 2 3 3 4 2 2 2" xfId="1991" xr:uid="{1694E007-81E2-4741-8D5A-4CA1AA5A123C}"/>
    <cellStyle name="Финансовый 2 3 3 4 2 2 2 2" xfId="3878" xr:uid="{9C1470F3-9809-4604-A33F-936689BDFFFB}"/>
    <cellStyle name="Финансовый 2 3 3 4 2 2 3" xfId="3879" xr:uid="{4ECDDC6E-9207-4633-A8D4-9EF2EB838C8A}"/>
    <cellStyle name="Финансовый 2 3 3 4 2 3" xfId="1479" xr:uid="{B7A2A6BF-43A0-4814-8675-CDAA1C9BD051}"/>
    <cellStyle name="Финансовый 2 3 3 4 2 3 2" xfId="3880" xr:uid="{AE9BB658-056A-49D6-8F35-2C3A26B5FE09}"/>
    <cellStyle name="Финансовый 2 3 3 4 2 4" xfId="3881" xr:uid="{02B75A36-2C6D-4FF1-A656-F0A36268D4C8}"/>
    <cellStyle name="Финансовый 2 3 3 4 3" xfId="711" xr:uid="{90D3ADA7-1533-4CC8-A636-2B8B7A3B8266}"/>
    <cellStyle name="Финансовый 2 3 3 4 3 2" xfId="1735" xr:uid="{324C9AC5-FAC7-4B67-A0E3-62D75DA7869C}"/>
    <cellStyle name="Финансовый 2 3 3 4 3 2 2" xfId="3882" xr:uid="{2EC655AB-22A4-421F-94D8-11B4D1BE8FBE}"/>
    <cellStyle name="Финансовый 2 3 3 4 3 3" xfId="3883" xr:uid="{8972267E-8A47-4684-93E9-E25687332C96}"/>
    <cellStyle name="Финансовый 2 3 3 4 4" xfId="1223" xr:uid="{98504F2E-E356-4817-9616-0A3D35484805}"/>
    <cellStyle name="Финансовый 2 3 3 4 4 2" xfId="3884" xr:uid="{A78C6F22-3945-46E2-B0EF-EF8402048331}"/>
    <cellStyle name="Финансовый 2 3 3 4 5" xfId="3885" xr:uid="{F2DE43CF-DFE0-411C-B63C-13E4722A83F9}"/>
    <cellStyle name="Финансовый 2 3 3 5" xfId="327" xr:uid="{88112F49-795C-411F-ACB7-E861B84088BD}"/>
    <cellStyle name="Финансовый 2 3 3 5 2" xfId="839" xr:uid="{EDC68300-2D71-4ACC-B965-AC6CAFB6CF0B}"/>
    <cellStyle name="Финансовый 2 3 3 5 2 2" xfId="1863" xr:uid="{83AF0774-CA02-42D9-904D-729EFBAEEA80}"/>
    <cellStyle name="Финансовый 2 3 3 5 2 2 2" xfId="3886" xr:uid="{07B34DF7-4365-4798-82F0-22244F496ED3}"/>
    <cellStyle name="Финансовый 2 3 3 5 2 3" xfId="3887" xr:uid="{4C36F998-5622-473E-B7B6-B4990ABB6AF5}"/>
    <cellStyle name="Финансовый 2 3 3 5 3" xfId="1351" xr:uid="{E6068404-3496-4361-A192-3B8B4C0B39CE}"/>
    <cellStyle name="Финансовый 2 3 3 5 3 2" xfId="3888" xr:uid="{67F4FF50-2557-46F5-846B-E246076C8A35}"/>
    <cellStyle name="Финансовый 2 3 3 5 4" xfId="3889" xr:uid="{0A7117DD-3992-4AD4-9FEA-CBDF1CC051A3}"/>
    <cellStyle name="Финансовый 2 3 3 6" xfId="583" xr:uid="{6F7D349E-004F-43AB-BB3A-298CCF4E5A79}"/>
    <cellStyle name="Финансовый 2 3 3 6 2" xfId="1607" xr:uid="{63F04A94-A3A2-4F64-B388-0821FA8FAF57}"/>
    <cellStyle name="Финансовый 2 3 3 6 2 2" xfId="3890" xr:uid="{08D80432-F444-421A-9524-4D647C767E5D}"/>
    <cellStyle name="Финансовый 2 3 3 6 3" xfId="3891" xr:uid="{CD35055A-687B-440A-8577-EAB191FC345D}"/>
    <cellStyle name="Финансовый 2 3 3 7" xfId="1095" xr:uid="{15B090F4-B52F-4520-BBC2-41F262D655DA}"/>
    <cellStyle name="Финансовый 2 3 3 7 2" xfId="3892" xr:uid="{E83529EC-75EE-4657-BD19-8B82C1F50851}"/>
    <cellStyle name="Финансовый 2 3 3 8" xfId="3893" xr:uid="{33F5287E-BDDA-43C6-83ED-D04307706C5C}"/>
    <cellStyle name="Финансовый 2 3 4" xfId="87" xr:uid="{0DFFC998-6E69-453D-9D61-C83A073A1FB5}"/>
    <cellStyle name="Финансовый 2 3 4 2" xfId="151" xr:uid="{256B9375-B04D-4305-A16E-7DB0164BF378}"/>
    <cellStyle name="Финансовый 2 3 4 2 2" xfId="279" xr:uid="{D356F920-D23D-4A9F-A2E6-8B231111C70E}"/>
    <cellStyle name="Финансовый 2 3 4 2 2 2" xfId="535" xr:uid="{B34B1C43-4ADB-4B47-85D4-F3278E6AC380}"/>
    <cellStyle name="Финансовый 2 3 4 2 2 2 2" xfId="1047" xr:uid="{48C769EA-8BA4-4AB8-A0C8-0CF72321A341}"/>
    <cellStyle name="Финансовый 2 3 4 2 2 2 2 2" xfId="2071" xr:uid="{C4E382A8-35DA-419B-933B-E17719388A1B}"/>
    <cellStyle name="Финансовый 2 3 4 2 2 2 2 2 2" xfId="3894" xr:uid="{65528C01-5C6B-49E9-BA27-51351C8DE69E}"/>
    <cellStyle name="Финансовый 2 3 4 2 2 2 2 3" xfId="3895" xr:uid="{A1F1C00E-61B9-4B88-A3C7-7DA245A67662}"/>
    <cellStyle name="Финансовый 2 3 4 2 2 2 3" xfId="1559" xr:uid="{A2613DCB-7099-4BB7-A901-FDFF23AE9647}"/>
    <cellStyle name="Финансовый 2 3 4 2 2 2 3 2" xfId="3896" xr:uid="{8023F554-34B0-46D8-BFE5-8F27D1B5B7C0}"/>
    <cellStyle name="Финансовый 2 3 4 2 2 2 4" xfId="3897" xr:uid="{A313D401-C7B7-47BA-8DE9-7D334B6E4C34}"/>
    <cellStyle name="Финансовый 2 3 4 2 2 3" xfId="791" xr:uid="{419FEECA-BD84-4E1D-88EE-0C8719DA891C}"/>
    <cellStyle name="Финансовый 2 3 4 2 2 3 2" xfId="1815" xr:uid="{FD097690-CEB3-4E83-A8EF-6A8B5217F083}"/>
    <cellStyle name="Финансовый 2 3 4 2 2 3 2 2" xfId="3898" xr:uid="{C4C246E3-8BA6-4EF1-8C3A-7D84E65CFEA5}"/>
    <cellStyle name="Финансовый 2 3 4 2 2 3 3" xfId="3899" xr:uid="{BADE5121-03FB-4AE5-B132-09637FBB15EF}"/>
    <cellStyle name="Финансовый 2 3 4 2 2 4" xfId="1303" xr:uid="{6D291A86-85E2-4062-A6F2-7A4A8062D13C}"/>
    <cellStyle name="Финансовый 2 3 4 2 2 4 2" xfId="3900" xr:uid="{D031BA48-BCB5-4388-B260-B43F176A55D6}"/>
    <cellStyle name="Финансовый 2 3 4 2 2 5" xfId="3901" xr:uid="{33AB84F2-7157-45F0-BC01-D8E74FFB657A}"/>
    <cellStyle name="Финансовый 2 3 4 2 3" xfId="407" xr:uid="{62737C80-E70D-40E6-A784-AFAAF3F0ECE5}"/>
    <cellStyle name="Финансовый 2 3 4 2 3 2" xfId="919" xr:uid="{F4FD0103-C016-4FF9-952D-D11752C8D357}"/>
    <cellStyle name="Финансовый 2 3 4 2 3 2 2" xfId="1943" xr:uid="{C9E62205-CEB8-4208-8AD2-3E7123963F3D}"/>
    <cellStyle name="Финансовый 2 3 4 2 3 2 2 2" xfId="3902" xr:uid="{FE416C09-66C3-4287-9134-A55919AA9885}"/>
    <cellStyle name="Финансовый 2 3 4 2 3 2 3" xfId="3903" xr:uid="{656A8B23-AD57-4541-8B43-0EAABE31E95F}"/>
    <cellStyle name="Финансовый 2 3 4 2 3 3" xfId="1431" xr:uid="{17A551D6-0436-4A69-B457-D1D676083134}"/>
    <cellStyle name="Финансовый 2 3 4 2 3 3 2" xfId="3904" xr:uid="{029CCD79-9D46-4C7C-837D-BC936E083A3F}"/>
    <cellStyle name="Финансовый 2 3 4 2 3 4" xfId="3905" xr:uid="{F9B2DC27-3833-4157-9DD0-468DBC1D148E}"/>
    <cellStyle name="Финансовый 2 3 4 2 4" xfId="663" xr:uid="{E1D5FD77-C914-456C-8866-E173F42580A9}"/>
    <cellStyle name="Финансовый 2 3 4 2 4 2" xfId="1687" xr:uid="{F45466C9-4A13-4A11-9109-9B6F03DB95A0}"/>
    <cellStyle name="Финансовый 2 3 4 2 4 2 2" xfId="3906" xr:uid="{02F2859D-8F65-49B9-A850-2DF812CED8DA}"/>
    <cellStyle name="Финансовый 2 3 4 2 4 3" xfId="3907" xr:uid="{F62E160B-4A5C-4FFF-B1E4-45FFA95451A3}"/>
    <cellStyle name="Финансовый 2 3 4 2 5" xfId="1175" xr:uid="{B1E894A3-64A0-4E77-9C0D-8E289271EAEE}"/>
    <cellStyle name="Финансовый 2 3 4 2 5 2" xfId="3908" xr:uid="{E79BE32F-1D87-45F4-9DD4-C84D066CD009}"/>
    <cellStyle name="Финансовый 2 3 4 2 6" xfId="3909" xr:uid="{6D947A7A-D024-4202-BEF5-88FC1FB82998}"/>
    <cellStyle name="Финансовый 2 3 4 3" xfId="215" xr:uid="{972E79F6-DB67-4726-9E3C-093336D223B5}"/>
    <cellStyle name="Финансовый 2 3 4 3 2" xfId="471" xr:uid="{C3F62209-47AF-4A0A-AC37-471104B2173C}"/>
    <cellStyle name="Финансовый 2 3 4 3 2 2" xfId="983" xr:uid="{00827ABB-8F26-4002-92EF-CEDFEF5AB13F}"/>
    <cellStyle name="Финансовый 2 3 4 3 2 2 2" xfId="2007" xr:uid="{C30F051F-1441-41E2-B411-5E23865FE69A}"/>
    <cellStyle name="Финансовый 2 3 4 3 2 2 2 2" xfId="3910" xr:uid="{817A57FC-3BE7-4AF6-BA22-89D4F08B599E}"/>
    <cellStyle name="Финансовый 2 3 4 3 2 2 3" xfId="3911" xr:uid="{DEC8A8F7-6C2D-4D58-AD3F-3C2DCCCABBB8}"/>
    <cellStyle name="Финансовый 2 3 4 3 2 3" xfId="1495" xr:uid="{0CD7A4C9-EB16-469E-88B1-4F51B3158EAA}"/>
    <cellStyle name="Финансовый 2 3 4 3 2 3 2" xfId="3912" xr:uid="{1C9135F6-A0C6-4162-8319-CE4371A76639}"/>
    <cellStyle name="Финансовый 2 3 4 3 2 4" xfId="3913" xr:uid="{E764786A-F823-4B6F-9F13-B83970515E20}"/>
    <cellStyle name="Финансовый 2 3 4 3 3" xfId="727" xr:uid="{E3DCC66A-AB61-41F6-AC1C-CD03CABA5360}"/>
    <cellStyle name="Финансовый 2 3 4 3 3 2" xfId="1751" xr:uid="{50334E29-7523-4D3B-97F0-8C35BC77D49A}"/>
    <cellStyle name="Финансовый 2 3 4 3 3 2 2" xfId="3914" xr:uid="{A38311B7-DC8B-4719-A92C-EF0072FFBD82}"/>
    <cellStyle name="Финансовый 2 3 4 3 3 3" xfId="3915" xr:uid="{6ED9E849-8A7D-41CA-81A3-BE520081FFC8}"/>
    <cellStyle name="Финансовый 2 3 4 3 4" xfId="1239" xr:uid="{7B329FAB-1CB0-4D39-84EC-11A0A062DA6D}"/>
    <cellStyle name="Финансовый 2 3 4 3 4 2" xfId="3916" xr:uid="{04FF0C3C-B1AF-4A65-AE23-7F93ED6D9FDC}"/>
    <cellStyle name="Финансовый 2 3 4 3 5" xfId="3917" xr:uid="{67BAA06C-8420-4BBE-A719-B975B1137BF8}"/>
    <cellStyle name="Финансовый 2 3 4 4" xfId="343" xr:uid="{22FB1E42-A4EF-4167-98CE-64269C1A18D7}"/>
    <cellStyle name="Финансовый 2 3 4 4 2" xfId="855" xr:uid="{03C55C4D-E191-4628-9B31-02346BEE9418}"/>
    <cellStyle name="Финансовый 2 3 4 4 2 2" xfId="1879" xr:uid="{2626BFC4-5705-4FD7-A93E-49124CBFC3E7}"/>
    <cellStyle name="Финансовый 2 3 4 4 2 2 2" xfId="3918" xr:uid="{943B3E46-7257-487D-81D6-5FC8F9A45B8A}"/>
    <cellStyle name="Финансовый 2 3 4 4 2 3" xfId="3919" xr:uid="{3EAA1A3E-E535-4DC1-8EC7-5C8B09758978}"/>
    <cellStyle name="Финансовый 2 3 4 4 3" xfId="1367" xr:uid="{DB90F8E9-A42E-4AB0-A71D-FBE98AAED1AF}"/>
    <cellStyle name="Финансовый 2 3 4 4 3 2" xfId="3920" xr:uid="{D5CDDDCE-28DF-424A-BF4E-3767E06B5E1D}"/>
    <cellStyle name="Финансовый 2 3 4 4 4" xfId="3921" xr:uid="{167F65DF-05B6-46CE-9CDD-74C368A9FCF1}"/>
    <cellStyle name="Финансовый 2 3 4 5" xfId="599" xr:uid="{BC301ADF-B0F5-4280-899C-BF0C9CB60AB3}"/>
    <cellStyle name="Финансовый 2 3 4 5 2" xfId="1623" xr:uid="{2829F26F-C949-496F-9179-2BDFB52DE94F}"/>
    <cellStyle name="Финансовый 2 3 4 5 2 2" xfId="3922" xr:uid="{5C77AD7C-D12C-4390-A04B-AB0D3EC56B3A}"/>
    <cellStyle name="Финансовый 2 3 4 5 3" xfId="3923" xr:uid="{047AC080-1151-4293-B58C-24AA0D289C59}"/>
    <cellStyle name="Финансовый 2 3 4 6" xfId="1111" xr:uid="{582A98DE-477A-40EE-89B3-B1C91DDDE9E3}"/>
    <cellStyle name="Финансовый 2 3 4 6 2" xfId="3924" xr:uid="{35B3C821-1D89-4668-9EDE-74F7A46F55F7}"/>
    <cellStyle name="Финансовый 2 3 4 7" xfId="3925" xr:uid="{9B57C784-36CB-4ACF-AC71-CD80DA8FE0BA}"/>
    <cellStyle name="Финансовый 2 3 5" xfId="119" xr:uid="{F2C85E3E-A463-451B-8726-EED9634EA9C1}"/>
    <cellStyle name="Финансовый 2 3 5 2" xfId="247" xr:uid="{70CDACFB-4A08-4FEF-9617-D1A224C0E931}"/>
    <cellStyle name="Финансовый 2 3 5 2 2" xfId="503" xr:uid="{B7505784-E8A4-4E8A-BFB6-C5763DBA68E0}"/>
    <cellStyle name="Финансовый 2 3 5 2 2 2" xfId="1015" xr:uid="{551513EC-8E91-4116-AB4F-19E4D193353A}"/>
    <cellStyle name="Финансовый 2 3 5 2 2 2 2" xfId="2039" xr:uid="{1DB39954-62D0-44D0-8ED8-5DDDBB9C47C2}"/>
    <cellStyle name="Финансовый 2 3 5 2 2 2 2 2" xfId="3926" xr:uid="{5CC15540-80E6-4ABA-A721-B78F9B33CAB8}"/>
    <cellStyle name="Финансовый 2 3 5 2 2 2 3" xfId="3927" xr:uid="{8857D356-8859-4826-A7D6-FEA00026C78D}"/>
    <cellStyle name="Финансовый 2 3 5 2 2 3" xfId="1527" xr:uid="{0C07F95F-055E-4D40-A359-555B126D18D8}"/>
    <cellStyle name="Финансовый 2 3 5 2 2 3 2" xfId="3928" xr:uid="{D7B2FA8B-2904-43B6-9506-F6A66E391F9C}"/>
    <cellStyle name="Финансовый 2 3 5 2 2 4" xfId="3929" xr:uid="{D884296B-8732-4DDD-A86C-5C0BB5469CBC}"/>
    <cellStyle name="Финансовый 2 3 5 2 3" xfId="759" xr:uid="{125A02AC-B2E9-48CB-BD36-70A8A8DB55DB}"/>
    <cellStyle name="Финансовый 2 3 5 2 3 2" xfId="1783" xr:uid="{AC34B631-1D01-4C08-A1F6-C93E635A5B28}"/>
    <cellStyle name="Финансовый 2 3 5 2 3 2 2" xfId="3930" xr:uid="{D9EBE78F-EC2F-414D-9CF4-8C485244171B}"/>
    <cellStyle name="Финансовый 2 3 5 2 3 3" xfId="3931" xr:uid="{3C0E7F8B-8734-4748-853E-4CD10A131BC7}"/>
    <cellStyle name="Финансовый 2 3 5 2 4" xfId="1271" xr:uid="{B7B8B45C-3E67-49FE-AAAD-E12618630718}"/>
    <cellStyle name="Финансовый 2 3 5 2 4 2" xfId="3932" xr:uid="{0D910483-205A-4C4C-B208-8E38313735FF}"/>
    <cellStyle name="Финансовый 2 3 5 2 5" xfId="3933" xr:uid="{92DE5113-0CDE-43E1-BD12-1C7987B73970}"/>
    <cellStyle name="Финансовый 2 3 5 3" xfId="375" xr:uid="{E884B8F3-BF97-42EA-9D67-84B6BDAE7B4B}"/>
    <cellStyle name="Финансовый 2 3 5 3 2" xfId="887" xr:uid="{82C1DD5B-221A-4ADC-8943-B84B74DEC2C8}"/>
    <cellStyle name="Финансовый 2 3 5 3 2 2" xfId="1911" xr:uid="{BC1706F6-D7A8-4315-B5A6-E680F0D072BD}"/>
    <cellStyle name="Финансовый 2 3 5 3 2 2 2" xfId="3934" xr:uid="{C4AEA29E-DFB1-4C59-874C-F7C4FE796A6C}"/>
    <cellStyle name="Финансовый 2 3 5 3 2 3" xfId="3935" xr:uid="{BEE1E510-C2B8-45AC-A67B-1ED0E9A4C8D9}"/>
    <cellStyle name="Финансовый 2 3 5 3 3" xfId="1399" xr:uid="{CADC0404-089B-40D3-B388-5075C55104C9}"/>
    <cellStyle name="Финансовый 2 3 5 3 3 2" xfId="3936" xr:uid="{ADC8B0DD-8F62-4384-9B8E-9E098B6B8D12}"/>
    <cellStyle name="Финансовый 2 3 5 3 4" xfId="3937" xr:uid="{DB156812-997F-4092-B64D-05895D2B4205}"/>
    <cellStyle name="Финансовый 2 3 5 4" xfId="631" xr:uid="{18A97178-3B1A-4B7A-AD37-0CD37AB92324}"/>
    <cellStyle name="Финансовый 2 3 5 4 2" xfId="1655" xr:uid="{163CA6A3-D98D-4357-A2DF-FA37562A57FA}"/>
    <cellStyle name="Финансовый 2 3 5 4 2 2" xfId="3938" xr:uid="{46213569-CCE7-43E2-9534-ACBD078E2730}"/>
    <cellStyle name="Финансовый 2 3 5 4 3" xfId="3939" xr:uid="{4E726B88-B486-41B4-A75F-9AE8578F3885}"/>
    <cellStyle name="Финансовый 2 3 5 5" xfId="1143" xr:uid="{E66A257D-87CF-4C5E-BA2F-09A33CE461BA}"/>
    <cellStyle name="Финансовый 2 3 5 5 2" xfId="3940" xr:uid="{8FE25B24-195B-47EC-B050-75ACC2BB233F}"/>
    <cellStyle name="Финансовый 2 3 5 6" xfId="3941" xr:uid="{EE651AFC-6D56-4C68-9E92-E47274F8806C}"/>
    <cellStyle name="Финансовый 2 3 6" xfId="183" xr:uid="{CBD754C1-9F95-4A1B-8965-4724D5AD5BE4}"/>
    <cellStyle name="Финансовый 2 3 6 2" xfId="439" xr:uid="{18B73628-AB21-48F5-88B1-1855BBAFCDF9}"/>
    <cellStyle name="Финансовый 2 3 6 2 2" xfId="951" xr:uid="{5A7B0D8E-4ADD-4D9F-9CA2-1BF75A3967D0}"/>
    <cellStyle name="Финансовый 2 3 6 2 2 2" xfId="1975" xr:uid="{0109EDF5-5501-411C-9BDC-F35E513106EC}"/>
    <cellStyle name="Финансовый 2 3 6 2 2 2 2" xfId="3942" xr:uid="{9A9750E5-5AF4-4217-889D-C389CBE32E7F}"/>
    <cellStyle name="Финансовый 2 3 6 2 2 3" xfId="3943" xr:uid="{428E9890-6F08-4655-A385-161B6AA57FC6}"/>
    <cellStyle name="Финансовый 2 3 6 2 3" xfId="1463" xr:uid="{7490B7D3-0941-4A44-9304-0BD95F223FCD}"/>
    <cellStyle name="Финансовый 2 3 6 2 3 2" xfId="3944" xr:uid="{BDB073CF-3CFE-4C0E-B2E9-554150FB69DA}"/>
    <cellStyle name="Финансовый 2 3 6 2 4" xfId="3945" xr:uid="{1E34F709-BDFB-4670-A28B-AFB492E79E0A}"/>
    <cellStyle name="Финансовый 2 3 6 3" xfId="695" xr:uid="{D5661992-BC95-4F8F-9A24-58640745A198}"/>
    <cellStyle name="Финансовый 2 3 6 3 2" xfId="1719" xr:uid="{E9ADDB9A-B345-4C28-BF12-73F7142A053B}"/>
    <cellStyle name="Финансовый 2 3 6 3 2 2" xfId="3946" xr:uid="{ED5ABE22-670E-4381-BFE6-EE42CC135A92}"/>
    <cellStyle name="Финансовый 2 3 6 3 3" xfId="3947" xr:uid="{57F39159-EF61-4C05-A2D6-D2BFD309D699}"/>
    <cellStyle name="Финансовый 2 3 6 4" xfId="1207" xr:uid="{2245B45E-0449-4411-A640-8719D4451FC0}"/>
    <cellStyle name="Финансовый 2 3 6 4 2" xfId="3948" xr:uid="{656D5052-9A34-47E5-8E62-F9DD3AFC8A9F}"/>
    <cellStyle name="Финансовый 2 3 6 5" xfId="3949" xr:uid="{3CD2B5DF-9484-4F58-9E27-CC0B60CDCC30}"/>
    <cellStyle name="Финансовый 2 3 7" xfId="311" xr:uid="{315A3D69-7FEB-4355-A29F-4CDAB3129B44}"/>
    <cellStyle name="Финансовый 2 3 7 2" xfId="823" xr:uid="{01F34DE6-ECC1-443C-9FDC-0E1881F06290}"/>
    <cellStyle name="Финансовый 2 3 7 2 2" xfId="1847" xr:uid="{C578FF47-5F2C-4119-9AAD-97F66EAFE386}"/>
    <cellStyle name="Финансовый 2 3 7 2 2 2" xfId="3950" xr:uid="{03B38B6C-8C88-4934-8618-FF2DB915F30A}"/>
    <cellStyle name="Финансовый 2 3 7 2 3" xfId="3951" xr:uid="{4910A5FE-965B-4442-8E6B-E37DF397E7ED}"/>
    <cellStyle name="Финансовый 2 3 7 3" xfId="1335" xr:uid="{A11E8FB3-8068-4E26-8CC9-FB3A00949F4D}"/>
    <cellStyle name="Финансовый 2 3 7 3 2" xfId="3952" xr:uid="{C8764DB2-3BEE-4307-AAC1-9845BAD8964E}"/>
    <cellStyle name="Финансовый 2 3 7 4" xfId="3953" xr:uid="{0C7ABCF8-92E1-4BC5-9B33-324E1E3BAC79}"/>
    <cellStyle name="Финансовый 2 3 8" xfId="567" xr:uid="{54658409-6BB2-445F-AF72-94E88A1593BD}"/>
    <cellStyle name="Финансовый 2 3 8 2" xfId="1591" xr:uid="{ABAB303B-98FF-422F-93ED-69DA9E671BCD}"/>
    <cellStyle name="Финансовый 2 3 8 2 2" xfId="3954" xr:uid="{8867D21D-344F-4A90-BD32-5619871E8721}"/>
    <cellStyle name="Финансовый 2 3 8 3" xfId="3955" xr:uid="{42CF32A3-7778-4627-8B0D-A608529C8852}"/>
    <cellStyle name="Финансовый 2 3 9" xfId="1079" xr:uid="{7147C9D3-618B-4F91-8AA5-60EFF392D404}"/>
    <cellStyle name="Финансовый 2 3 9 2" xfId="3956" xr:uid="{7B37536C-AAD9-40CE-B9CD-7B097E5B533B}"/>
    <cellStyle name="Финансовый 2 4" xfId="58" xr:uid="{F801D017-4542-4F23-A799-7713DFED2A0E}"/>
    <cellStyle name="Финансовый 2 4 2" xfId="74" xr:uid="{C6B37E90-86C6-47EB-8136-FA7F80CEB0CC}"/>
    <cellStyle name="Финансовый 2 4 2 2" xfId="107" xr:uid="{67D1D560-4821-4DF0-BA41-69805E72A147}"/>
    <cellStyle name="Финансовый 2 4 2 2 2" xfId="171" xr:uid="{EAE6B94C-B216-4EB8-9242-61B4FC130582}"/>
    <cellStyle name="Финансовый 2 4 2 2 2 2" xfId="299" xr:uid="{A43AAB28-7CDD-4D89-94CB-51343A0574A8}"/>
    <cellStyle name="Финансовый 2 4 2 2 2 2 2" xfId="555" xr:uid="{AE58C2A9-2A77-4B82-9EE2-B006E22135BD}"/>
    <cellStyle name="Финансовый 2 4 2 2 2 2 2 2" xfId="1067" xr:uid="{0A89DA60-D104-442E-BFDB-5230160D666D}"/>
    <cellStyle name="Финансовый 2 4 2 2 2 2 2 2 2" xfId="2091" xr:uid="{82D617CD-472E-462B-968E-295481F80301}"/>
    <cellStyle name="Финансовый 2 4 2 2 2 2 2 2 2 2" xfId="3957" xr:uid="{A8666F27-1324-4DDB-B11E-3C78907AAE82}"/>
    <cellStyle name="Финансовый 2 4 2 2 2 2 2 2 3" xfId="3958" xr:uid="{D3911EC6-1DCE-48BC-8505-7F0D9AE2A9F8}"/>
    <cellStyle name="Финансовый 2 4 2 2 2 2 2 3" xfId="1579" xr:uid="{929DE6FF-DD8E-4FE1-B0E0-6217398D9764}"/>
    <cellStyle name="Финансовый 2 4 2 2 2 2 2 3 2" xfId="3959" xr:uid="{3F9B4CA5-2709-4B6E-A00E-CAB6660561A9}"/>
    <cellStyle name="Финансовый 2 4 2 2 2 2 2 4" xfId="3960" xr:uid="{4C2DAA23-7C51-4574-8224-C9A26C11BD0F}"/>
    <cellStyle name="Финансовый 2 4 2 2 2 2 3" xfId="811" xr:uid="{D297D200-A788-46E3-8FD6-89D0CD759869}"/>
    <cellStyle name="Финансовый 2 4 2 2 2 2 3 2" xfId="1835" xr:uid="{26F8A604-30AD-4FDD-84E3-84F967547AFB}"/>
    <cellStyle name="Финансовый 2 4 2 2 2 2 3 2 2" xfId="3961" xr:uid="{4BA5F9F4-6F05-4820-BBD7-902726DD3229}"/>
    <cellStyle name="Финансовый 2 4 2 2 2 2 3 3" xfId="3962" xr:uid="{3EAC7320-4CB4-44A0-859E-D8234C6385B0}"/>
    <cellStyle name="Финансовый 2 4 2 2 2 2 4" xfId="1323" xr:uid="{47EEBBCF-4D89-4F1F-B281-28F8CF1F6B0D}"/>
    <cellStyle name="Финансовый 2 4 2 2 2 2 4 2" xfId="3963" xr:uid="{25EFEC66-CF5D-44E5-B273-1BB63AFEA9B4}"/>
    <cellStyle name="Финансовый 2 4 2 2 2 2 5" xfId="3964" xr:uid="{25B26692-63B3-4318-9544-A913C509B383}"/>
    <cellStyle name="Финансовый 2 4 2 2 2 3" xfId="427" xr:uid="{06DCC769-49E5-419F-BAB2-A7F134C77AB1}"/>
    <cellStyle name="Финансовый 2 4 2 2 2 3 2" xfId="939" xr:uid="{448EAD04-4448-4D63-BE85-F37FEBFC829C}"/>
    <cellStyle name="Финансовый 2 4 2 2 2 3 2 2" xfId="1963" xr:uid="{9498071D-3125-4B87-8E52-C4F259F73195}"/>
    <cellStyle name="Финансовый 2 4 2 2 2 3 2 2 2" xfId="3965" xr:uid="{A4076498-3EE5-400F-8D1D-7AEC4A7FCD6C}"/>
    <cellStyle name="Финансовый 2 4 2 2 2 3 2 3" xfId="3966" xr:uid="{3AB3D061-D444-4A4E-8E59-70331DA1BCEA}"/>
    <cellStyle name="Финансовый 2 4 2 2 2 3 3" xfId="1451" xr:uid="{ADD91F21-CE6E-44A3-94F9-0CA6EEB65018}"/>
    <cellStyle name="Финансовый 2 4 2 2 2 3 3 2" xfId="3967" xr:uid="{030CA7DC-431C-4FC7-B6F9-21CEB11C62D9}"/>
    <cellStyle name="Финансовый 2 4 2 2 2 3 4" xfId="3968" xr:uid="{4AAA5AFB-FACB-469A-9221-937AC79DF97A}"/>
    <cellStyle name="Финансовый 2 4 2 2 2 4" xfId="683" xr:uid="{3DDC45F5-E387-4640-B518-32C5D2848CDE}"/>
    <cellStyle name="Финансовый 2 4 2 2 2 4 2" xfId="1707" xr:uid="{1338F9DF-E983-46E2-87B7-6EBC8B04A771}"/>
    <cellStyle name="Финансовый 2 4 2 2 2 4 2 2" xfId="3969" xr:uid="{6968C60F-3AD8-4DC6-8D09-58C86C9936B9}"/>
    <cellStyle name="Финансовый 2 4 2 2 2 4 3" xfId="3970" xr:uid="{546110BD-07DF-4164-8896-EC9D2368B478}"/>
    <cellStyle name="Финансовый 2 4 2 2 2 5" xfId="1195" xr:uid="{8695B0FB-6A9A-43E6-AD18-5A3CDBBBCDA5}"/>
    <cellStyle name="Финансовый 2 4 2 2 2 5 2" xfId="3971" xr:uid="{8A2AD5C2-570C-4335-91D2-95E361423DAA}"/>
    <cellStyle name="Финансовый 2 4 2 2 2 6" xfId="3972" xr:uid="{3821D1BB-FE6D-4D0D-BA94-2D642C68454B}"/>
    <cellStyle name="Финансовый 2 4 2 2 3" xfId="235" xr:uid="{9E36ACF7-FA97-4786-B658-45827673552B}"/>
    <cellStyle name="Финансовый 2 4 2 2 3 2" xfId="491" xr:uid="{190C835D-AF57-4AC4-AF3D-2308D0468F11}"/>
    <cellStyle name="Финансовый 2 4 2 2 3 2 2" xfId="1003" xr:uid="{42631780-8518-47F6-A90D-BB9104EE3CE3}"/>
    <cellStyle name="Финансовый 2 4 2 2 3 2 2 2" xfId="2027" xr:uid="{3F71A33F-AF74-4B1F-9427-A8977C0D2E4D}"/>
    <cellStyle name="Финансовый 2 4 2 2 3 2 2 2 2" xfId="3973" xr:uid="{71B0ACBE-DEE8-4BA9-8F63-6609AD727462}"/>
    <cellStyle name="Финансовый 2 4 2 2 3 2 2 3" xfId="3974" xr:uid="{88BF9656-373B-4091-82A3-0C31F9E1D331}"/>
    <cellStyle name="Финансовый 2 4 2 2 3 2 3" xfId="1515" xr:uid="{D522AB90-4921-4781-A23E-552C9B81FB4D}"/>
    <cellStyle name="Финансовый 2 4 2 2 3 2 3 2" xfId="3975" xr:uid="{09F2BBD7-4624-46BC-84DC-6E86B0A2CBA1}"/>
    <cellStyle name="Финансовый 2 4 2 2 3 2 4" xfId="3976" xr:uid="{2823E640-7EDB-4D08-8049-D70E63601726}"/>
    <cellStyle name="Финансовый 2 4 2 2 3 3" xfId="747" xr:uid="{5067AF6F-CF7A-41DC-819B-2F8EF2E40E49}"/>
    <cellStyle name="Финансовый 2 4 2 2 3 3 2" xfId="1771" xr:uid="{21E2066E-B6F5-4CA4-90A2-86A16C599371}"/>
    <cellStyle name="Финансовый 2 4 2 2 3 3 2 2" xfId="3977" xr:uid="{BDEAAFFE-640C-43B6-BFA0-6313638E04BD}"/>
    <cellStyle name="Финансовый 2 4 2 2 3 3 3" xfId="3978" xr:uid="{ABAAA696-5ABD-4DE0-81AB-15736BEE3544}"/>
    <cellStyle name="Финансовый 2 4 2 2 3 4" xfId="1259" xr:uid="{CD492E37-EB7F-4404-9DAC-207DD3518020}"/>
    <cellStyle name="Финансовый 2 4 2 2 3 4 2" xfId="3979" xr:uid="{674B623F-655C-4AFB-BBDD-64154E687BEF}"/>
    <cellStyle name="Финансовый 2 4 2 2 3 5" xfId="3980" xr:uid="{A0D26E40-97F9-44B9-B00A-A6D2225D4FBE}"/>
    <cellStyle name="Финансовый 2 4 2 2 4" xfId="363" xr:uid="{2FB7A667-304F-49CE-A58F-CAF230A7710A}"/>
    <cellStyle name="Финансовый 2 4 2 2 4 2" xfId="875" xr:uid="{C180CAB5-6F23-4860-98F0-CD78D93E01D1}"/>
    <cellStyle name="Финансовый 2 4 2 2 4 2 2" xfId="1899" xr:uid="{AA159C8E-C339-424F-A477-0066F49C25A2}"/>
    <cellStyle name="Финансовый 2 4 2 2 4 2 2 2" xfId="3981" xr:uid="{17653B50-9AC2-4878-974F-AFE5CCB7252B}"/>
    <cellStyle name="Финансовый 2 4 2 2 4 2 3" xfId="3982" xr:uid="{E502EB75-9A6A-46B2-A7EF-096CB49E87A1}"/>
    <cellStyle name="Финансовый 2 4 2 2 4 3" xfId="1387" xr:uid="{4C15BDAA-6C37-44B7-BB43-1DD0A69F4F27}"/>
    <cellStyle name="Финансовый 2 4 2 2 4 3 2" xfId="3983" xr:uid="{78AC909E-457E-4157-9B9C-8FFF2AA77BF6}"/>
    <cellStyle name="Финансовый 2 4 2 2 4 4" xfId="3984" xr:uid="{B941F596-13F4-45D7-9CFE-52C863EB455F}"/>
    <cellStyle name="Финансовый 2 4 2 2 5" xfId="619" xr:uid="{610A0BF5-81B8-4CAB-A539-538D0A6DF479}"/>
    <cellStyle name="Финансовый 2 4 2 2 5 2" xfId="1643" xr:uid="{6418D440-2176-46AF-B72E-E5299749E6CD}"/>
    <cellStyle name="Финансовый 2 4 2 2 5 2 2" xfId="3985" xr:uid="{65015E43-7498-4D90-B087-F675F7A451B2}"/>
    <cellStyle name="Финансовый 2 4 2 2 5 3" xfId="3986" xr:uid="{AD41BFDF-06AA-4D4E-8556-79E819D53ED3}"/>
    <cellStyle name="Финансовый 2 4 2 2 6" xfId="1131" xr:uid="{F0C8D795-EFFB-42BA-9A19-DA5DC896E56E}"/>
    <cellStyle name="Финансовый 2 4 2 2 6 2" xfId="3987" xr:uid="{F0975D65-1BF4-4F09-B532-FDF7C6672D87}"/>
    <cellStyle name="Финансовый 2 4 2 2 7" xfId="3988" xr:uid="{84E53E64-E34E-45D1-976D-4354DD436F79}"/>
    <cellStyle name="Финансовый 2 4 2 3" xfId="139" xr:uid="{FE0F44A1-D375-4B02-90EA-C6547196ED28}"/>
    <cellStyle name="Финансовый 2 4 2 3 2" xfId="267" xr:uid="{786E9B99-C014-4850-A63A-80953486C0F3}"/>
    <cellStyle name="Финансовый 2 4 2 3 2 2" xfId="523" xr:uid="{54813277-F7B9-4717-97DA-4314A2A17A94}"/>
    <cellStyle name="Финансовый 2 4 2 3 2 2 2" xfId="1035" xr:uid="{F9B3345C-6969-4635-A639-C70A04B6681C}"/>
    <cellStyle name="Финансовый 2 4 2 3 2 2 2 2" xfId="2059" xr:uid="{0A7203CD-476B-45CC-BE77-F7833804E64F}"/>
    <cellStyle name="Финансовый 2 4 2 3 2 2 2 2 2" xfId="3989" xr:uid="{4565CD09-9509-4E29-A754-805997C5FDEE}"/>
    <cellStyle name="Финансовый 2 4 2 3 2 2 2 3" xfId="3990" xr:uid="{B38411F2-7D2D-4F4E-9E04-DCF9AA5A8B37}"/>
    <cellStyle name="Финансовый 2 4 2 3 2 2 3" xfId="1547" xr:uid="{8F6AEDE5-BAE9-4032-930B-A16D09470EE9}"/>
    <cellStyle name="Финансовый 2 4 2 3 2 2 3 2" xfId="3991" xr:uid="{222D975B-1222-4095-A596-8F09C6AB9A44}"/>
    <cellStyle name="Финансовый 2 4 2 3 2 2 4" xfId="3992" xr:uid="{E2926E8E-4B48-4278-9E46-871D0195A125}"/>
    <cellStyle name="Финансовый 2 4 2 3 2 3" xfId="779" xr:uid="{F48DE336-A3EF-49FC-8569-970A1FF970BB}"/>
    <cellStyle name="Финансовый 2 4 2 3 2 3 2" xfId="1803" xr:uid="{07134953-6F8F-4DF7-8D15-948C8E1E2257}"/>
    <cellStyle name="Финансовый 2 4 2 3 2 3 2 2" xfId="3993" xr:uid="{5D5E8D22-825F-4EA1-A3DF-E5E2D86B90F1}"/>
    <cellStyle name="Финансовый 2 4 2 3 2 3 3" xfId="3994" xr:uid="{76331645-806F-4C2E-9129-482401E22D9F}"/>
    <cellStyle name="Финансовый 2 4 2 3 2 4" xfId="1291" xr:uid="{6E210BE1-1C9E-4059-B03D-697F1EB96AEB}"/>
    <cellStyle name="Финансовый 2 4 2 3 2 4 2" xfId="3995" xr:uid="{CEC4E7C0-6538-4FA2-AEE0-784751082B36}"/>
    <cellStyle name="Финансовый 2 4 2 3 2 5" xfId="3996" xr:uid="{D497FD30-A551-4155-91F7-C5BEDEAB7186}"/>
    <cellStyle name="Финансовый 2 4 2 3 3" xfId="395" xr:uid="{27434B61-126B-4DA3-A1FB-55E8C598D8A2}"/>
    <cellStyle name="Финансовый 2 4 2 3 3 2" xfId="907" xr:uid="{1AE87AAD-BBCD-4367-8115-E9102FC0581F}"/>
    <cellStyle name="Финансовый 2 4 2 3 3 2 2" xfId="1931" xr:uid="{7BACBF69-5EE5-4367-B00C-091A32AB4388}"/>
    <cellStyle name="Финансовый 2 4 2 3 3 2 2 2" xfId="3997" xr:uid="{16EC4D04-4D9F-4E7D-B4AD-47A95025ABF0}"/>
    <cellStyle name="Финансовый 2 4 2 3 3 2 3" xfId="3998" xr:uid="{5FE996D3-A4ED-4DC8-9AC1-D717B3247A0B}"/>
    <cellStyle name="Финансовый 2 4 2 3 3 3" xfId="1419" xr:uid="{C937E1A4-C677-49C3-BF9D-51ACF7271360}"/>
    <cellStyle name="Финансовый 2 4 2 3 3 3 2" xfId="3999" xr:uid="{8C03D147-4A74-438B-85F1-01ADBB717737}"/>
    <cellStyle name="Финансовый 2 4 2 3 3 4" xfId="4000" xr:uid="{18CE538E-1D45-41C9-8097-19D841CB551E}"/>
    <cellStyle name="Финансовый 2 4 2 3 4" xfId="651" xr:uid="{E6A22F39-970E-4B7B-A39C-22057EDBDDC6}"/>
    <cellStyle name="Финансовый 2 4 2 3 4 2" xfId="1675" xr:uid="{CB4610D1-883E-4547-8ADC-D85025C27A25}"/>
    <cellStyle name="Финансовый 2 4 2 3 4 2 2" xfId="4001" xr:uid="{E5050410-1490-4045-B214-79A8533FAFBB}"/>
    <cellStyle name="Финансовый 2 4 2 3 4 3" xfId="4002" xr:uid="{F63B25B7-3C90-4318-8973-3906803D2446}"/>
    <cellStyle name="Финансовый 2 4 2 3 5" xfId="1163" xr:uid="{8757C7A6-F1C0-4C7B-8EAE-E68C0125C66B}"/>
    <cellStyle name="Финансовый 2 4 2 3 5 2" xfId="4003" xr:uid="{AB82BF44-702E-4445-9E7D-B08B7606AAA8}"/>
    <cellStyle name="Финансовый 2 4 2 3 6" xfId="4004" xr:uid="{6D6E89B3-2A73-4B66-AF74-0DC1C1909630}"/>
    <cellStyle name="Финансовый 2 4 2 4" xfId="203" xr:uid="{3C06191C-EDDE-4510-ADA7-7070B82958A7}"/>
    <cellStyle name="Финансовый 2 4 2 4 2" xfId="459" xr:uid="{6E779D85-E812-431B-8FCA-1D6480B9F547}"/>
    <cellStyle name="Финансовый 2 4 2 4 2 2" xfId="971" xr:uid="{935D8748-8ED7-4F8B-9BFF-66CF96EE516F}"/>
    <cellStyle name="Финансовый 2 4 2 4 2 2 2" xfId="1995" xr:uid="{520600F9-3016-491A-BEB6-043A7280F7DE}"/>
    <cellStyle name="Финансовый 2 4 2 4 2 2 2 2" xfId="4005" xr:uid="{BF4AA2A3-813F-4E70-9BB4-3DFFD98AD470}"/>
    <cellStyle name="Финансовый 2 4 2 4 2 2 3" xfId="4006" xr:uid="{DDB4C0BC-C3D2-4815-926D-4B2AE34870BB}"/>
    <cellStyle name="Финансовый 2 4 2 4 2 3" xfId="1483" xr:uid="{07F61BCB-00CC-4C5D-A0E8-650DCB0B8E81}"/>
    <cellStyle name="Финансовый 2 4 2 4 2 3 2" xfId="4007" xr:uid="{08FE3191-E06F-44AB-B06D-A316068274E8}"/>
    <cellStyle name="Финансовый 2 4 2 4 2 4" xfId="4008" xr:uid="{ADA4C25C-315B-4DEF-9801-3909E9CA1EDE}"/>
    <cellStyle name="Финансовый 2 4 2 4 3" xfId="715" xr:uid="{3D639815-F6CC-4F3E-A939-6BFB1CC170CE}"/>
    <cellStyle name="Финансовый 2 4 2 4 3 2" xfId="1739" xr:uid="{DC111554-72ED-4C1C-88BC-459ED9EC3FA6}"/>
    <cellStyle name="Финансовый 2 4 2 4 3 2 2" xfId="4009" xr:uid="{7ADDD71E-A5AF-4736-8AE8-A86BE1739C84}"/>
    <cellStyle name="Финансовый 2 4 2 4 3 3" xfId="4010" xr:uid="{F9401B95-69A8-453D-AFC4-8D66A61E1DD1}"/>
    <cellStyle name="Финансовый 2 4 2 4 4" xfId="1227" xr:uid="{8CD11639-1F2F-43AA-ACF8-514198ED5F48}"/>
    <cellStyle name="Финансовый 2 4 2 4 4 2" xfId="4011" xr:uid="{B2072608-3E89-43D6-9EA7-28A50589C379}"/>
    <cellStyle name="Финансовый 2 4 2 4 5" xfId="4012" xr:uid="{85662257-DF88-4066-A987-12517D8F84A9}"/>
    <cellStyle name="Финансовый 2 4 2 5" xfId="331" xr:uid="{33D79A83-008A-439B-9E64-37F3863F0637}"/>
    <cellStyle name="Финансовый 2 4 2 5 2" xfId="843" xr:uid="{10162B98-6449-43D5-AB59-6284976E4178}"/>
    <cellStyle name="Финансовый 2 4 2 5 2 2" xfId="1867" xr:uid="{34744510-DE4A-48B3-8648-5B382FED9D8E}"/>
    <cellStyle name="Финансовый 2 4 2 5 2 2 2" xfId="4013" xr:uid="{31770F68-09E9-4297-BD98-7CB78E0A9EB2}"/>
    <cellStyle name="Финансовый 2 4 2 5 2 3" xfId="4014" xr:uid="{83E763BD-D106-46B8-B88C-A2430E4EC744}"/>
    <cellStyle name="Финансовый 2 4 2 5 3" xfId="1355" xr:uid="{5713C2B7-5687-4244-8E07-3B76A05B8592}"/>
    <cellStyle name="Финансовый 2 4 2 5 3 2" xfId="4015" xr:uid="{1DC012A2-16EC-4F36-9BF4-AE2A29C1903B}"/>
    <cellStyle name="Финансовый 2 4 2 5 4" xfId="4016" xr:uid="{C256F29C-A785-411B-BE6D-31BFFE7D4F54}"/>
    <cellStyle name="Финансовый 2 4 2 6" xfId="587" xr:uid="{0E6A7DD9-46C3-4E2D-8CF7-F6987212A087}"/>
    <cellStyle name="Финансовый 2 4 2 6 2" xfId="1611" xr:uid="{C3423558-F650-46D4-A640-1FC3914045FB}"/>
    <cellStyle name="Финансовый 2 4 2 6 2 2" xfId="4017" xr:uid="{C8D0B6EB-0D79-4505-BF39-C4AC2EFF0411}"/>
    <cellStyle name="Финансовый 2 4 2 6 3" xfId="4018" xr:uid="{56639622-ECB7-46B3-A864-2FD31D10DE4D}"/>
    <cellStyle name="Финансовый 2 4 2 7" xfId="1099" xr:uid="{37D554D5-DDC3-46D7-A5D8-1E5C8AA08EE3}"/>
    <cellStyle name="Финансовый 2 4 2 7 2" xfId="4019" xr:uid="{ECCE81B2-1166-4993-8E6B-49ABDCD1FB3D}"/>
    <cellStyle name="Финансовый 2 4 2 8" xfId="4020" xr:uid="{8680E6A1-F2C2-482D-83D2-2C4DBF8523CB}"/>
    <cellStyle name="Финансовый 2 4 3" xfId="91" xr:uid="{C935867C-F39B-4989-9925-EBFB0BB9C8B0}"/>
    <cellStyle name="Финансовый 2 4 3 2" xfId="155" xr:uid="{806F2421-47F6-4AFD-80F8-7CBD935F8CB5}"/>
    <cellStyle name="Финансовый 2 4 3 2 2" xfId="283" xr:uid="{343647D9-9F4B-4160-9E82-33C2193A0272}"/>
    <cellStyle name="Финансовый 2 4 3 2 2 2" xfId="539" xr:uid="{C94E4B37-C0B5-4BF1-B64B-1CBC2139613E}"/>
    <cellStyle name="Финансовый 2 4 3 2 2 2 2" xfId="1051" xr:uid="{E0B82EAA-A738-4BCD-83C0-65F5F5120E47}"/>
    <cellStyle name="Финансовый 2 4 3 2 2 2 2 2" xfId="2075" xr:uid="{ADABBD99-03D3-4777-BCBE-BA2A0C303DC8}"/>
    <cellStyle name="Финансовый 2 4 3 2 2 2 2 2 2" xfId="4021" xr:uid="{1CC562C5-684C-4AB7-AB8E-00D09B977F92}"/>
    <cellStyle name="Финансовый 2 4 3 2 2 2 2 3" xfId="4022" xr:uid="{0BB6975F-FCD7-44E5-8ECC-6437B42AB572}"/>
    <cellStyle name="Финансовый 2 4 3 2 2 2 3" xfId="1563" xr:uid="{D132DF77-C110-42A4-99DF-9AA73A304134}"/>
    <cellStyle name="Финансовый 2 4 3 2 2 2 3 2" xfId="4023" xr:uid="{6DA5595E-A891-41BF-BF4B-F93F2A81EA5E}"/>
    <cellStyle name="Финансовый 2 4 3 2 2 2 4" xfId="4024" xr:uid="{DEF807FA-356A-4DFA-99FB-6BCD7D030B4F}"/>
    <cellStyle name="Финансовый 2 4 3 2 2 3" xfId="795" xr:uid="{7EF0B265-45D1-43D1-BA7F-AD4792C2845A}"/>
    <cellStyle name="Финансовый 2 4 3 2 2 3 2" xfId="1819" xr:uid="{E87A2E30-A12C-4AA3-894A-49FED44CD302}"/>
    <cellStyle name="Финансовый 2 4 3 2 2 3 2 2" xfId="4025" xr:uid="{376D6ECD-343A-4B4F-BEAC-D2BCEC52401A}"/>
    <cellStyle name="Финансовый 2 4 3 2 2 3 3" xfId="4026" xr:uid="{5E494385-C027-48AF-A324-385DB4215CD7}"/>
    <cellStyle name="Финансовый 2 4 3 2 2 4" xfId="1307" xr:uid="{AAB08003-BCE0-4177-86D9-70CA22966B64}"/>
    <cellStyle name="Финансовый 2 4 3 2 2 4 2" xfId="4027" xr:uid="{0E91A915-E152-4E1D-8F4A-4A96697CEC86}"/>
    <cellStyle name="Финансовый 2 4 3 2 2 5" xfId="4028" xr:uid="{B5E0C141-FB73-4E66-AE48-60AB8D93BE3D}"/>
    <cellStyle name="Финансовый 2 4 3 2 3" xfId="411" xr:uid="{4473C2F9-5E04-47B4-B128-DC57AB9477E8}"/>
    <cellStyle name="Финансовый 2 4 3 2 3 2" xfId="923" xr:uid="{F2671C81-E622-4D47-B986-52E741EC0677}"/>
    <cellStyle name="Финансовый 2 4 3 2 3 2 2" xfId="1947" xr:uid="{7CA29BA6-D4E6-4E2D-81FC-50F265621978}"/>
    <cellStyle name="Финансовый 2 4 3 2 3 2 2 2" xfId="4029" xr:uid="{486B58EC-4732-4FE4-8F31-62BCA85A6D4A}"/>
    <cellStyle name="Финансовый 2 4 3 2 3 2 3" xfId="4030" xr:uid="{A327501C-1760-493F-85B6-B6F919F98E92}"/>
    <cellStyle name="Финансовый 2 4 3 2 3 3" xfId="1435" xr:uid="{0B261F87-0E66-4367-BBBE-4854BE784BDA}"/>
    <cellStyle name="Финансовый 2 4 3 2 3 3 2" xfId="4031" xr:uid="{CE45F9E4-4C20-4264-90F9-272DDF19F3C9}"/>
    <cellStyle name="Финансовый 2 4 3 2 3 4" xfId="4032" xr:uid="{3891E2C5-E3EF-421F-A281-8B26D72AC1B8}"/>
    <cellStyle name="Финансовый 2 4 3 2 4" xfId="667" xr:uid="{4AD45E62-F66B-49C8-B5D2-E88637A2D7B5}"/>
    <cellStyle name="Финансовый 2 4 3 2 4 2" xfId="1691" xr:uid="{CB2FA498-311A-4D4D-9E08-61B9A56D7941}"/>
    <cellStyle name="Финансовый 2 4 3 2 4 2 2" xfId="4033" xr:uid="{8DE5F012-9B3F-4D40-AC7C-4AA8705AC3CD}"/>
    <cellStyle name="Финансовый 2 4 3 2 4 3" xfId="4034" xr:uid="{8DAC7855-3C34-4193-8D26-5715B687DE29}"/>
    <cellStyle name="Финансовый 2 4 3 2 5" xfId="1179" xr:uid="{8B58C58B-9275-473E-841F-A2D2EEBBCCE5}"/>
    <cellStyle name="Финансовый 2 4 3 2 5 2" xfId="4035" xr:uid="{A1F40476-2782-4E36-B1CE-FA65F7AD25C2}"/>
    <cellStyle name="Финансовый 2 4 3 2 6" xfId="4036" xr:uid="{3C654BB5-E616-4DB0-B605-404CE6B50357}"/>
    <cellStyle name="Финансовый 2 4 3 3" xfId="219" xr:uid="{EE2DA7E7-F43D-4B53-AF91-B6A01CCACF9A}"/>
    <cellStyle name="Финансовый 2 4 3 3 2" xfId="475" xr:uid="{4EB111B3-4B6A-4586-93F1-64D43C5F69F3}"/>
    <cellStyle name="Финансовый 2 4 3 3 2 2" xfId="987" xr:uid="{A7826C69-7D14-465E-897C-BD7787799D02}"/>
    <cellStyle name="Финансовый 2 4 3 3 2 2 2" xfId="2011" xr:uid="{A06E06ED-B74F-4281-8389-6F2C8779AE50}"/>
    <cellStyle name="Финансовый 2 4 3 3 2 2 2 2" xfId="4037" xr:uid="{3D448BCC-2768-4D87-927E-D96332DBAD82}"/>
    <cellStyle name="Финансовый 2 4 3 3 2 2 3" xfId="4038" xr:uid="{700F9534-6691-46B1-9FDA-E7291AE4DC7A}"/>
    <cellStyle name="Финансовый 2 4 3 3 2 3" xfId="1499" xr:uid="{9C5C0773-6FA6-47E2-ADFF-E2645AC03247}"/>
    <cellStyle name="Финансовый 2 4 3 3 2 3 2" xfId="4039" xr:uid="{3F14B7BD-3236-4C25-89B4-4D9CF8976D3C}"/>
    <cellStyle name="Финансовый 2 4 3 3 2 4" xfId="4040" xr:uid="{426C3D72-B855-44A8-87B3-4C17FB624795}"/>
    <cellStyle name="Финансовый 2 4 3 3 3" xfId="731" xr:uid="{11E44813-5D8C-47AA-A23F-A24581462398}"/>
    <cellStyle name="Финансовый 2 4 3 3 3 2" xfId="1755" xr:uid="{8F1B1FB6-E943-4824-9DDE-128FDC739628}"/>
    <cellStyle name="Финансовый 2 4 3 3 3 2 2" xfId="4041" xr:uid="{02A80DE7-B766-40AA-9692-B35E262B147F}"/>
    <cellStyle name="Финансовый 2 4 3 3 3 3" xfId="4042" xr:uid="{F8786ECF-B3F5-43EC-AD6C-5FFDF49FCC64}"/>
    <cellStyle name="Финансовый 2 4 3 3 4" xfId="1243" xr:uid="{429EF6BE-8264-40E1-A755-E77C06CA3D42}"/>
    <cellStyle name="Финансовый 2 4 3 3 4 2" xfId="4043" xr:uid="{3CCB8FAD-D53A-42D1-A4FB-8122E70286B2}"/>
    <cellStyle name="Финансовый 2 4 3 3 5" xfId="4044" xr:uid="{19EF3F16-91AA-4907-BE12-3C32DCA04BCE}"/>
    <cellStyle name="Финансовый 2 4 3 4" xfId="347" xr:uid="{1E5EC6CD-CC30-4F92-BF6D-DFD56CB4E2E2}"/>
    <cellStyle name="Финансовый 2 4 3 4 2" xfId="859" xr:uid="{D8CE5053-8763-4764-8628-42654D517ED8}"/>
    <cellStyle name="Финансовый 2 4 3 4 2 2" xfId="1883" xr:uid="{DA2E3A14-B9F0-492C-BC68-4B6CA2E0AA75}"/>
    <cellStyle name="Финансовый 2 4 3 4 2 2 2" xfId="4045" xr:uid="{085C59D3-D22B-4D68-BDE6-98C5EE8B612A}"/>
    <cellStyle name="Финансовый 2 4 3 4 2 3" xfId="4046" xr:uid="{1C0B932D-776E-4652-B59C-E826E1936D9E}"/>
    <cellStyle name="Финансовый 2 4 3 4 3" xfId="1371" xr:uid="{7CF2007C-660B-4089-87D1-2606FD05B74F}"/>
    <cellStyle name="Финансовый 2 4 3 4 3 2" xfId="4047" xr:uid="{8CFE1230-371D-4A91-93DA-336F65843AD7}"/>
    <cellStyle name="Финансовый 2 4 3 4 4" xfId="4048" xr:uid="{75CBEFF7-634E-4117-BE3F-5B22D4A3F97F}"/>
    <cellStyle name="Финансовый 2 4 3 5" xfId="603" xr:uid="{256A3BFD-3689-423F-8C8B-16A7D00232E3}"/>
    <cellStyle name="Финансовый 2 4 3 5 2" xfId="1627" xr:uid="{9F05BBD2-30AD-4A31-A433-C63102DA784B}"/>
    <cellStyle name="Финансовый 2 4 3 5 2 2" xfId="4049" xr:uid="{D054398F-1229-4955-80D8-BF872EB3E110}"/>
    <cellStyle name="Финансовый 2 4 3 5 3" xfId="4050" xr:uid="{4526163B-08E3-4B59-9BA9-D5CD228A7988}"/>
    <cellStyle name="Финансовый 2 4 3 6" xfId="1115" xr:uid="{FF28421D-004D-4A19-A8E2-968E13F5A1C5}"/>
    <cellStyle name="Финансовый 2 4 3 6 2" xfId="4051" xr:uid="{6998425C-5C42-42F1-BBD4-AE4ABD0273BC}"/>
    <cellStyle name="Финансовый 2 4 3 7" xfId="4052" xr:uid="{D200302A-A9FC-4F19-9A5B-F0C8C00EBA5A}"/>
    <cellStyle name="Финансовый 2 4 4" xfId="123" xr:uid="{AAC9F012-2E80-4740-B04C-A8B3A705592C}"/>
    <cellStyle name="Финансовый 2 4 4 2" xfId="251" xr:uid="{B6FE60BD-BB86-47BA-B061-B018C3E174FE}"/>
    <cellStyle name="Финансовый 2 4 4 2 2" xfId="507" xr:uid="{1DBDB150-950C-4233-8EB9-EEF8B776EC00}"/>
    <cellStyle name="Финансовый 2 4 4 2 2 2" xfId="1019" xr:uid="{4AA2593A-4E19-4760-89E8-25289BAFF0A6}"/>
    <cellStyle name="Финансовый 2 4 4 2 2 2 2" xfId="2043" xr:uid="{19F559BA-63BD-407A-AF1E-6DAFBB63495A}"/>
    <cellStyle name="Финансовый 2 4 4 2 2 2 2 2" xfId="4053" xr:uid="{8460660B-9D19-45E7-8239-C87EDC369218}"/>
    <cellStyle name="Финансовый 2 4 4 2 2 2 3" xfId="4054" xr:uid="{83676800-A141-4AD0-BC5D-F9C4C1C82144}"/>
    <cellStyle name="Финансовый 2 4 4 2 2 3" xfId="1531" xr:uid="{9DA882C5-E5FC-460B-82B8-D4E26B489ADF}"/>
    <cellStyle name="Финансовый 2 4 4 2 2 3 2" xfId="4055" xr:uid="{7C8F289D-EA14-4993-A23A-2F9560CF3B31}"/>
    <cellStyle name="Финансовый 2 4 4 2 2 4" xfId="4056" xr:uid="{829A7417-5A18-4C73-973D-9FD28977936E}"/>
    <cellStyle name="Финансовый 2 4 4 2 3" xfId="763" xr:uid="{D946B20D-9B85-4E5B-8E4F-7B97B34DAAF6}"/>
    <cellStyle name="Финансовый 2 4 4 2 3 2" xfId="1787" xr:uid="{E78DD3E3-5DF8-4CD8-B146-A69C14E1C514}"/>
    <cellStyle name="Финансовый 2 4 4 2 3 2 2" xfId="4057" xr:uid="{74F3EAF6-FF4F-4712-A2A1-E19C8EF9228D}"/>
    <cellStyle name="Финансовый 2 4 4 2 3 3" xfId="4058" xr:uid="{D63D3A2A-56E4-4023-BE9D-CB052C5B760B}"/>
    <cellStyle name="Финансовый 2 4 4 2 4" xfId="1275" xr:uid="{3F23E655-1714-465C-83CC-F37C4E9C2EC5}"/>
    <cellStyle name="Финансовый 2 4 4 2 4 2" xfId="4059" xr:uid="{227A9558-3E08-45A9-B17D-3ACD10EB3440}"/>
    <cellStyle name="Финансовый 2 4 4 2 5" xfId="4060" xr:uid="{C301D196-46CD-4E79-8D9A-0FFD14716ABF}"/>
    <cellStyle name="Финансовый 2 4 4 3" xfId="379" xr:uid="{EC1DC708-EC9D-4022-AAB1-98EEA07C0E85}"/>
    <cellStyle name="Финансовый 2 4 4 3 2" xfId="891" xr:uid="{014A9446-39B3-476A-81D5-6A4C1D26C53E}"/>
    <cellStyle name="Финансовый 2 4 4 3 2 2" xfId="1915" xr:uid="{AC621899-B04D-41DC-8A74-BE02660FA6B9}"/>
    <cellStyle name="Финансовый 2 4 4 3 2 2 2" xfId="4061" xr:uid="{944D944A-65E4-4E8A-A323-259378F15D09}"/>
    <cellStyle name="Финансовый 2 4 4 3 2 3" xfId="4062" xr:uid="{9EB6F843-ED44-47C2-8F42-AD8ACF8A1935}"/>
    <cellStyle name="Финансовый 2 4 4 3 3" xfId="1403" xr:uid="{28799EED-A718-46CD-8DE9-69A126078629}"/>
    <cellStyle name="Финансовый 2 4 4 3 3 2" xfId="4063" xr:uid="{084CDF95-61CD-4FDD-A06C-965863544F8D}"/>
    <cellStyle name="Финансовый 2 4 4 3 4" xfId="4064" xr:uid="{BB22F2BE-BD32-4215-A526-CF3B21B41B2B}"/>
    <cellStyle name="Финансовый 2 4 4 4" xfId="635" xr:uid="{E833E4EB-6F72-431B-90E8-8B5C00432FA8}"/>
    <cellStyle name="Финансовый 2 4 4 4 2" xfId="1659" xr:uid="{8E9ADD5A-5198-4555-9260-873264F9D3BD}"/>
    <cellStyle name="Финансовый 2 4 4 4 2 2" xfId="4065" xr:uid="{CFE5CE96-C234-47BD-9EAB-799EC250CA0A}"/>
    <cellStyle name="Финансовый 2 4 4 4 3" xfId="4066" xr:uid="{FF5E68CD-0472-42D5-8366-2B9CEDC8AA78}"/>
    <cellStyle name="Финансовый 2 4 4 5" xfId="1147" xr:uid="{47499EF2-2470-47EC-B389-E55F0F99EB19}"/>
    <cellStyle name="Финансовый 2 4 4 5 2" xfId="4067" xr:uid="{33833853-BE06-477B-AB24-3D82E36E8A1A}"/>
    <cellStyle name="Финансовый 2 4 4 6" xfId="4068" xr:uid="{9EE7AECC-8804-49E7-99D2-3A9B0C443757}"/>
    <cellStyle name="Финансовый 2 4 5" xfId="187" xr:uid="{F0A1E8A5-2EC4-4483-9885-7ABD2BAE9632}"/>
    <cellStyle name="Финансовый 2 4 5 2" xfId="443" xr:uid="{3EC609DD-B982-4E3B-8FD8-95F196E30DC5}"/>
    <cellStyle name="Финансовый 2 4 5 2 2" xfId="955" xr:uid="{1BEDE319-124B-4F1C-82CA-C6E2A3A4B261}"/>
    <cellStyle name="Финансовый 2 4 5 2 2 2" xfId="1979" xr:uid="{B1C651D7-B81A-4866-8547-FB4E7B087F7F}"/>
    <cellStyle name="Финансовый 2 4 5 2 2 2 2" xfId="4069" xr:uid="{C199BCBB-E3E2-4D49-9E1B-2064D2D651B2}"/>
    <cellStyle name="Финансовый 2 4 5 2 2 3" xfId="4070" xr:uid="{C92CE621-7425-49C4-9297-816A75787426}"/>
    <cellStyle name="Финансовый 2 4 5 2 3" xfId="1467" xr:uid="{F12D7201-3CD1-4C78-AB24-D48E372B4893}"/>
    <cellStyle name="Финансовый 2 4 5 2 3 2" xfId="4071" xr:uid="{87B5D2D7-80B8-4F7C-A21A-312124B65F47}"/>
    <cellStyle name="Финансовый 2 4 5 2 4" xfId="4072" xr:uid="{C56E47F5-D375-43D8-A6F8-D31AEAA6A275}"/>
    <cellStyle name="Финансовый 2 4 5 3" xfId="699" xr:uid="{D9B1212C-8A65-47A4-ACF2-B8AFBCD3070A}"/>
    <cellStyle name="Финансовый 2 4 5 3 2" xfId="1723" xr:uid="{F7617AF2-D052-4942-99F8-CB280B028F23}"/>
    <cellStyle name="Финансовый 2 4 5 3 2 2" xfId="4073" xr:uid="{7DE70349-A73A-4CC4-993A-7467C5C5039A}"/>
    <cellStyle name="Финансовый 2 4 5 3 3" xfId="4074" xr:uid="{48A6625D-7512-4D83-8A99-D0C529D10057}"/>
    <cellStyle name="Финансовый 2 4 5 4" xfId="1211" xr:uid="{31DA6DC1-5D40-4A2B-BAFC-FBAC2F3AC9E9}"/>
    <cellStyle name="Финансовый 2 4 5 4 2" xfId="4075" xr:uid="{A54B4604-19FE-467F-B84D-21BF45B53F21}"/>
    <cellStyle name="Финансовый 2 4 5 5" xfId="4076" xr:uid="{0A7F086C-A27E-4217-84EC-C3A39334388E}"/>
    <cellStyle name="Финансовый 2 4 6" xfId="315" xr:uid="{101D6BAA-A948-4662-AF9A-6C0B7557B53D}"/>
    <cellStyle name="Финансовый 2 4 6 2" xfId="827" xr:uid="{0E2B4B5B-344A-4B58-A3B8-744154D18040}"/>
    <cellStyle name="Финансовый 2 4 6 2 2" xfId="1851" xr:uid="{7192328D-C6C9-49E4-ABE3-DE7D6D303AC2}"/>
    <cellStyle name="Финансовый 2 4 6 2 2 2" xfId="4077" xr:uid="{057BE37B-EBBE-409A-913E-E0E2D4709DD2}"/>
    <cellStyle name="Финансовый 2 4 6 2 3" xfId="4078" xr:uid="{51D83E80-68A6-4547-B303-3E5D8E9B76E0}"/>
    <cellStyle name="Финансовый 2 4 6 3" xfId="1339" xr:uid="{96FA9834-03F0-4FBD-BD11-91F0C51E333A}"/>
    <cellStyle name="Финансовый 2 4 6 3 2" xfId="4079" xr:uid="{7A8C3C1D-2FF5-49D8-B955-D984645A4E15}"/>
    <cellStyle name="Финансовый 2 4 6 4" xfId="4080" xr:uid="{75C87567-DFAF-4818-AE32-DB315E176701}"/>
    <cellStyle name="Финансовый 2 4 7" xfId="571" xr:uid="{B12025AF-AB9F-4D4B-B0C1-47C9C36698F5}"/>
    <cellStyle name="Финансовый 2 4 7 2" xfId="1595" xr:uid="{1B671CEF-BA86-494E-9294-12DA3FC79AAD}"/>
    <cellStyle name="Финансовый 2 4 7 2 2" xfId="4081" xr:uid="{D9EF6E21-9783-418F-B34E-E1CE8C7207DE}"/>
    <cellStyle name="Финансовый 2 4 7 3" xfId="4082" xr:uid="{D3985412-C2B8-42C8-B41E-6A9560351A73}"/>
    <cellStyle name="Финансовый 2 4 8" xfId="1083" xr:uid="{C68859FA-7D65-443C-865B-AB947BC36CD9}"/>
    <cellStyle name="Финансовый 2 4 8 2" xfId="4083" xr:uid="{0B8F59C0-07E5-447D-AA27-A2AFF66759E4}"/>
    <cellStyle name="Финансовый 2 4 9" xfId="4084" xr:uid="{8E00C668-42C5-411E-ACE5-FD7B51C62416}"/>
    <cellStyle name="Финансовый 2 5" xfId="66" xr:uid="{14857A57-2B32-40E6-88DE-E9C664A8AD1B}"/>
    <cellStyle name="Финансовый 2 5 2" xfId="99" xr:uid="{ED3FEFE0-8D3F-482D-B7BA-5611BB8EF6F7}"/>
    <cellStyle name="Финансовый 2 5 2 2" xfId="163" xr:uid="{78AE624A-CF1C-4083-BCF4-1F283A4B4FE6}"/>
    <cellStyle name="Финансовый 2 5 2 2 2" xfId="291" xr:uid="{5F7D6FD6-FCFB-48D5-AF64-CEA2BC6D9AC9}"/>
    <cellStyle name="Финансовый 2 5 2 2 2 2" xfId="547" xr:uid="{B0F74261-1E3B-427A-8E7A-8575D32E34AC}"/>
    <cellStyle name="Финансовый 2 5 2 2 2 2 2" xfId="1059" xr:uid="{6AE3159F-CD79-4887-9585-00287063BA58}"/>
    <cellStyle name="Финансовый 2 5 2 2 2 2 2 2" xfId="2083" xr:uid="{F5F3BFC2-CD1F-42E2-BD3A-28530A2B8DA8}"/>
    <cellStyle name="Финансовый 2 5 2 2 2 2 2 2 2" xfId="4085" xr:uid="{4E24448D-D22F-48D3-A3C3-2A89A9461963}"/>
    <cellStyle name="Финансовый 2 5 2 2 2 2 2 3" xfId="4086" xr:uid="{7BFFEA40-661E-4C13-A20E-26554E1A0544}"/>
    <cellStyle name="Финансовый 2 5 2 2 2 2 3" xfId="1571" xr:uid="{AFA24A23-4BC3-42A7-9895-165D0B5E48A8}"/>
    <cellStyle name="Финансовый 2 5 2 2 2 2 3 2" xfId="4087" xr:uid="{32C6C33C-B3BF-4F58-953C-2077C27A9E0D}"/>
    <cellStyle name="Финансовый 2 5 2 2 2 2 4" xfId="4088" xr:uid="{CDD59B7C-2AF2-43AE-8FAA-8D603979171F}"/>
    <cellStyle name="Финансовый 2 5 2 2 2 3" xfId="803" xr:uid="{8CA438B1-17C5-46B2-8D74-BCB9ED46EC80}"/>
    <cellStyle name="Финансовый 2 5 2 2 2 3 2" xfId="1827" xr:uid="{8B7427E0-B5E0-4210-8CF9-CA91B7150FE6}"/>
    <cellStyle name="Финансовый 2 5 2 2 2 3 2 2" xfId="4089" xr:uid="{A4360CC9-8597-4C23-99DB-CF33065E38BF}"/>
    <cellStyle name="Финансовый 2 5 2 2 2 3 3" xfId="4090" xr:uid="{3336EBA3-8D28-4674-A15C-66C2DCB0D654}"/>
    <cellStyle name="Финансовый 2 5 2 2 2 4" xfId="1315" xr:uid="{44BA902C-9144-445F-8FA3-028A57FE1AFE}"/>
    <cellStyle name="Финансовый 2 5 2 2 2 4 2" xfId="4091" xr:uid="{1696EA71-EDCA-4B3D-BDCF-CC04A3FB7DB7}"/>
    <cellStyle name="Финансовый 2 5 2 2 2 5" xfId="4092" xr:uid="{754E87FB-B5BC-4B8F-AD9D-C4875BF3B205}"/>
    <cellStyle name="Финансовый 2 5 2 2 3" xfId="419" xr:uid="{9B8D1C6A-8709-4E88-A2EC-824BA589771F}"/>
    <cellStyle name="Финансовый 2 5 2 2 3 2" xfId="931" xr:uid="{38B1BB9B-94C6-4EAD-A6ED-52A9547704F2}"/>
    <cellStyle name="Финансовый 2 5 2 2 3 2 2" xfId="1955" xr:uid="{F8B6D404-E515-4410-8D23-486EDF1CCCA6}"/>
    <cellStyle name="Финансовый 2 5 2 2 3 2 2 2" xfId="4093" xr:uid="{75DCF080-465A-410E-A5F8-A4D9509C140F}"/>
    <cellStyle name="Финансовый 2 5 2 2 3 2 3" xfId="4094" xr:uid="{6525B463-5C9F-4390-ACBE-78709EA869A3}"/>
    <cellStyle name="Финансовый 2 5 2 2 3 3" xfId="1443" xr:uid="{9747D610-6729-47E3-B7F4-DC4512106728}"/>
    <cellStyle name="Финансовый 2 5 2 2 3 3 2" xfId="4095" xr:uid="{DF59BDA7-51BD-4061-8B35-9AA5643CDDF0}"/>
    <cellStyle name="Финансовый 2 5 2 2 3 4" xfId="4096" xr:uid="{98FEB942-9888-41B4-83EC-2CE7C49D4BC8}"/>
    <cellStyle name="Финансовый 2 5 2 2 4" xfId="675" xr:uid="{0F7844B8-C2C5-4ED3-B9E8-D8896B7AEE75}"/>
    <cellStyle name="Финансовый 2 5 2 2 4 2" xfId="1699" xr:uid="{11F30C4A-B322-4C5F-95F0-04A036066B8E}"/>
    <cellStyle name="Финансовый 2 5 2 2 4 2 2" xfId="4097" xr:uid="{FC7F7E9C-6137-4C21-AE23-61D6FA332A3C}"/>
    <cellStyle name="Финансовый 2 5 2 2 4 3" xfId="4098" xr:uid="{0C9FE928-D769-42C9-9D17-77A60BB6EED7}"/>
    <cellStyle name="Финансовый 2 5 2 2 5" xfId="1187" xr:uid="{27F3A437-49AF-4E81-8D28-4CA3E0FEB946}"/>
    <cellStyle name="Финансовый 2 5 2 2 5 2" xfId="4099" xr:uid="{80604005-2E03-4103-9C10-D190BA448BDA}"/>
    <cellStyle name="Финансовый 2 5 2 2 6" xfId="4100" xr:uid="{19B66E6D-226E-4663-A8CD-27EA5500227D}"/>
    <cellStyle name="Финансовый 2 5 2 3" xfId="227" xr:uid="{B56D23CF-6CCE-4223-9EE7-9E34536F81ED}"/>
    <cellStyle name="Финансовый 2 5 2 3 2" xfId="483" xr:uid="{BD174BD5-14D3-483E-9C2B-9E2ABBC99F15}"/>
    <cellStyle name="Финансовый 2 5 2 3 2 2" xfId="995" xr:uid="{E2527DBA-D003-478A-AECF-C4FA89236DFD}"/>
    <cellStyle name="Финансовый 2 5 2 3 2 2 2" xfId="2019" xr:uid="{106A291F-CE2B-438A-9A2D-CA59FA2643BA}"/>
    <cellStyle name="Финансовый 2 5 2 3 2 2 2 2" xfId="4101" xr:uid="{838F2010-4AE1-43C8-8F5C-A1CE8CDD20FF}"/>
    <cellStyle name="Финансовый 2 5 2 3 2 2 3" xfId="4102" xr:uid="{67B9442A-52E0-43E3-9406-DFC225EF653A}"/>
    <cellStyle name="Финансовый 2 5 2 3 2 3" xfId="1507" xr:uid="{0395519F-FA4F-4439-AF05-EF71E8935469}"/>
    <cellStyle name="Финансовый 2 5 2 3 2 3 2" xfId="4103" xr:uid="{CE65B3C6-3755-4D17-BEA7-E9DFD300CEBF}"/>
    <cellStyle name="Финансовый 2 5 2 3 2 4" xfId="4104" xr:uid="{99EC4CEE-C246-43B8-8B41-AAF7A66B4591}"/>
    <cellStyle name="Финансовый 2 5 2 3 3" xfId="739" xr:uid="{9B6243BD-DB52-4D73-B6B0-227FEEA5C68D}"/>
    <cellStyle name="Финансовый 2 5 2 3 3 2" xfId="1763" xr:uid="{9E25ED80-700C-4377-965F-976CF016B648}"/>
    <cellStyle name="Финансовый 2 5 2 3 3 2 2" xfId="4105" xr:uid="{A3ED278E-1466-4A6E-899F-DE13F46E2C98}"/>
    <cellStyle name="Финансовый 2 5 2 3 3 3" xfId="4106" xr:uid="{68898C58-A87D-433A-8732-A5BFA9647BDB}"/>
    <cellStyle name="Финансовый 2 5 2 3 4" xfId="1251" xr:uid="{F89EC083-A3F2-44FB-B4F5-DB6705E7EBED}"/>
    <cellStyle name="Финансовый 2 5 2 3 4 2" xfId="4107" xr:uid="{61C29A7C-0152-48AA-AEF6-15D8AAB3502D}"/>
    <cellStyle name="Финансовый 2 5 2 3 5" xfId="4108" xr:uid="{96F33D0B-F775-48FF-BB6D-346CB8EB9142}"/>
    <cellStyle name="Финансовый 2 5 2 4" xfId="355" xr:uid="{BE5C569F-1098-44D4-B640-3B02E6C6BF5A}"/>
    <cellStyle name="Финансовый 2 5 2 4 2" xfId="867" xr:uid="{31C77238-30B4-4552-964F-5CEBCB460A42}"/>
    <cellStyle name="Финансовый 2 5 2 4 2 2" xfId="1891" xr:uid="{9652B3D1-7358-44A0-92BA-8501978B6B78}"/>
    <cellStyle name="Финансовый 2 5 2 4 2 2 2" xfId="4109" xr:uid="{B973BF1A-79F2-4C30-9C4D-C1F3E56FA9B1}"/>
    <cellStyle name="Финансовый 2 5 2 4 2 3" xfId="4110" xr:uid="{C7813CC2-7F4A-47C3-9233-E21F71DD3EBA}"/>
    <cellStyle name="Финансовый 2 5 2 4 3" xfId="1379" xr:uid="{1966D1C1-E4C7-425E-8B4A-1FB061B43694}"/>
    <cellStyle name="Финансовый 2 5 2 4 3 2" xfId="4111" xr:uid="{570BEC0A-C96A-4E43-B523-617D822FBA33}"/>
    <cellStyle name="Финансовый 2 5 2 4 4" xfId="4112" xr:uid="{753FF6B3-0358-401A-8027-87F59EE36956}"/>
    <cellStyle name="Финансовый 2 5 2 5" xfId="611" xr:uid="{A6182606-E3F1-4928-AA23-A7F153C418FA}"/>
    <cellStyle name="Финансовый 2 5 2 5 2" xfId="1635" xr:uid="{C76F2EB8-A614-4D1F-B0CF-7C79B18D5F8C}"/>
    <cellStyle name="Финансовый 2 5 2 5 2 2" xfId="4113" xr:uid="{0DBC9C2B-8DED-4B43-B32D-DF7978B98639}"/>
    <cellStyle name="Финансовый 2 5 2 5 3" xfId="4114" xr:uid="{6B9BAFB4-0CB6-4F00-BA38-091349BC8FFE}"/>
    <cellStyle name="Финансовый 2 5 2 6" xfId="1123" xr:uid="{F91BB528-0CFF-4804-970D-BFF876375EB8}"/>
    <cellStyle name="Финансовый 2 5 2 6 2" xfId="4115" xr:uid="{B9ABAC63-8C83-49C0-A668-00B039DF705F}"/>
    <cellStyle name="Финансовый 2 5 2 7" xfId="4116" xr:uid="{C89B62FA-0D3B-455A-ABF6-538CD3FB8BE5}"/>
    <cellStyle name="Финансовый 2 5 3" xfId="131" xr:uid="{DDD567EA-B4FB-44BB-BAAE-F185A7144719}"/>
    <cellStyle name="Финансовый 2 5 3 2" xfId="259" xr:uid="{1123C4F3-5104-4218-B6BB-010DBF041112}"/>
    <cellStyle name="Финансовый 2 5 3 2 2" xfId="515" xr:uid="{5B061610-615E-4842-95BC-9705C02C2323}"/>
    <cellStyle name="Финансовый 2 5 3 2 2 2" xfId="1027" xr:uid="{2C24E9B0-6177-4789-86EC-2ED085E7DD95}"/>
    <cellStyle name="Финансовый 2 5 3 2 2 2 2" xfId="2051" xr:uid="{04455FC7-665E-4471-B9D8-C75E6C1921EA}"/>
    <cellStyle name="Финансовый 2 5 3 2 2 2 2 2" xfId="4117" xr:uid="{D1D7FE84-234E-4A2C-9FD4-A01A66916E50}"/>
    <cellStyle name="Финансовый 2 5 3 2 2 2 3" xfId="4118" xr:uid="{371477B4-E90B-4EEF-BFB1-F0AD7BDA6E08}"/>
    <cellStyle name="Финансовый 2 5 3 2 2 3" xfId="1539" xr:uid="{6A13C2A2-CFDA-41DE-B0A7-077F13953C4C}"/>
    <cellStyle name="Финансовый 2 5 3 2 2 3 2" xfId="4119" xr:uid="{8D9BF571-8E5C-4486-A9FD-836D32499F29}"/>
    <cellStyle name="Финансовый 2 5 3 2 2 4" xfId="4120" xr:uid="{AB8B803A-F91E-4A3D-9EE1-9B29EA483095}"/>
    <cellStyle name="Финансовый 2 5 3 2 3" xfId="771" xr:uid="{15FD1194-5C4D-4E63-8B0F-478CFB1712D9}"/>
    <cellStyle name="Финансовый 2 5 3 2 3 2" xfId="1795" xr:uid="{34AAE465-734A-43E7-A6DE-E9C381774637}"/>
    <cellStyle name="Финансовый 2 5 3 2 3 2 2" xfId="4121" xr:uid="{300B430D-A30E-4549-9ADA-8E99B3524978}"/>
    <cellStyle name="Финансовый 2 5 3 2 3 3" xfId="4122" xr:uid="{E6A4CE93-D816-41B7-A6C2-D36E18671F9A}"/>
    <cellStyle name="Финансовый 2 5 3 2 4" xfId="1283" xr:uid="{36BC2571-3BF0-4347-824E-6BCEC99FAB05}"/>
    <cellStyle name="Финансовый 2 5 3 2 4 2" xfId="4123" xr:uid="{8E6BBA8A-EF19-4843-B7C8-2F9AC53DF4DE}"/>
    <cellStyle name="Финансовый 2 5 3 2 5" xfId="4124" xr:uid="{77F15FB8-9FD4-4F35-9955-F8434DCE995C}"/>
    <cellStyle name="Финансовый 2 5 3 3" xfId="387" xr:uid="{BAEE5C28-2F8E-417D-8616-E6F8A9EF44D7}"/>
    <cellStyle name="Финансовый 2 5 3 3 2" xfId="899" xr:uid="{CF6F88B4-6F16-458A-AA02-83F885F2AE00}"/>
    <cellStyle name="Финансовый 2 5 3 3 2 2" xfId="1923" xr:uid="{E48CA9BF-328D-4C50-BACA-2DE52560E33F}"/>
    <cellStyle name="Финансовый 2 5 3 3 2 2 2" xfId="4125" xr:uid="{C3B2287E-5A25-4EAE-9B00-628A436ECF55}"/>
    <cellStyle name="Финансовый 2 5 3 3 2 3" xfId="4126" xr:uid="{C255FDED-79CD-462F-9446-D97E76AE70FA}"/>
    <cellStyle name="Финансовый 2 5 3 3 3" xfId="1411" xr:uid="{B0ED0CE2-4CB2-44E1-9DEA-A73779A49155}"/>
    <cellStyle name="Финансовый 2 5 3 3 3 2" xfId="4127" xr:uid="{0FCE05EB-6C9B-4DAC-9573-D9F6873BFCC0}"/>
    <cellStyle name="Финансовый 2 5 3 3 4" xfId="4128" xr:uid="{3DA9BDFE-E531-4C56-B42F-3F69C1B3B81F}"/>
    <cellStyle name="Финансовый 2 5 3 4" xfId="643" xr:uid="{9AF445B0-0045-420F-B03C-52C2EF9B9C0B}"/>
    <cellStyle name="Финансовый 2 5 3 4 2" xfId="1667" xr:uid="{C0A573A6-16A0-4FA1-83ED-D79633AB6035}"/>
    <cellStyle name="Финансовый 2 5 3 4 2 2" xfId="4129" xr:uid="{A0BF5E98-EB74-418A-BA85-583D5E9CE6C3}"/>
    <cellStyle name="Финансовый 2 5 3 4 3" xfId="4130" xr:uid="{03A49FA6-F57E-4F57-BB0D-24E1FAB21F32}"/>
    <cellStyle name="Финансовый 2 5 3 5" xfId="1155" xr:uid="{EDFE1AFC-9C4D-4DDF-AF7B-FEAADF80A1DC}"/>
    <cellStyle name="Финансовый 2 5 3 5 2" xfId="4131" xr:uid="{7C58828B-CFE9-4D22-B9F6-08BCE9B65093}"/>
    <cellStyle name="Финансовый 2 5 3 6" xfId="4132" xr:uid="{DA27BB09-5938-4E3E-9D01-83EC5CEB5B1A}"/>
    <cellStyle name="Финансовый 2 5 4" xfId="195" xr:uid="{6825708B-FBDC-4E87-9B83-7338B6E8B3A7}"/>
    <cellStyle name="Финансовый 2 5 4 2" xfId="451" xr:uid="{55ED4002-4D79-4F26-93A6-081E704FF2B6}"/>
    <cellStyle name="Финансовый 2 5 4 2 2" xfId="963" xr:uid="{218A5318-EC3B-4245-B1FF-797225BA516D}"/>
    <cellStyle name="Финансовый 2 5 4 2 2 2" xfId="1987" xr:uid="{DB094D2B-9C63-4CE6-BABA-A58F9F25EDD6}"/>
    <cellStyle name="Финансовый 2 5 4 2 2 2 2" xfId="4133" xr:uid="{BBEF9366-E50E-49DC-ABE3-4AB40E124C69}"/>
    <cellStyle name="Финансовый 2 5 4 2 2 3" xfId="4134" xr:uid="{666DAA3D-8F18-4C60-B81F-4960AC1C1A11}"/>
    <cellStyle name="Финансовый 2 5 4 2 3" xfId="1475" xr:uid="{DE248DFB-7BA2-4365-97E8-2ACAAA27B1A8}"/>
    <cellStyle name="Финансовый 2 5 4 2 3 2" xfId="4135" xr:uid="{B059FF62-A08F-4316-BCBB-5FCAB92BE9C9}"/>
    <cellStyle name="Финансовый 2 5 4 2 4" xfId="4136" xr:uid="{94D7DA94-27B8-43D1-88F9-F942BC24CC44}"/>
    <cellStyle name="Финансовый 2 5 4 3" xfId="707" xr:uid="{BE4482C5-F7CD-43A0-9CD9-608FBED3D3CA}"/>
    <cellStyle name="Финансовый 2 5 4 3 2" xfId="1731" xr:uid="{FF86082C-EDE7-4871-9172-6B8A86043BF1}"/>
    <cellStyle name="Финансовый 2 5 4 3 2 2" xfId="4137" xr:uid="{B680BD36-CF38-4FE6-B432-33F97048E8AA}"/>
    <cellStyle name="Финансовый 2 5 4 3 3" xfId="4138" xr:uid="{C317C362-3D7A-4B36-875A-E4E95B28A2AB}"/>
    <cellStyle name="Финансовый 2 5 4 4" xfId="1219" xr:uid="{DDE0A02A-79D8-413E-963F-449E75313140}"/>
    <cellStyle name="Финансовый 2 5 4 4 2" xfId="4139" xr:uid="{69CB059E-D8B7-4AFA-AA99-93383DD486A0}"/>
    <cellStyle name="Финансовый 2 5 4 5" xfId="4140" xr:uid="{0E17552C-CD64-4F81-AFA2-4552EB167BCA}"/>
    <cellStyle name="Финансовый 2 5 5" xfId="323" xr:uid="{50E4192E-8433-4737-8BFF-03953741CF64}"/>
    <cellStyle name="Финансовый 2 5 5 2" xfId="835" xr:uid="{1BD7C94B-AA13-4531-B53A-A477E71C6578}"/>
    <cellStyle name="Финансовый 2 5 5 2 2" xfId="1859" xr:uid="{25B152F3-3250-4F08-9216-5BF7BD558C66}"/>
    <cellStyle name="Финансовый 2 5 5 2 2 2" xfId="4141" xr:uid="{6B3CDA28-3404-44D0-8CF3-2EB6963FADCE}"/>
    <cellStyle name="Финансовый 2 5 5 2 3" xfId="4142" xr:uid="{A5203B5D-1E11-4124-A8C4-0C7F402BB2C8}"/>
    <cellStyle name="Финансовый 2 5 5 3" xfId="1347" xr:uid="{D853E95C-BF2E-4749-98C4-A21AE3052235}"/>
    <cellStyle name="Финансовый 2 5 5 3 2" xfId="4143" xr:uid="{B89BF0C6-5646-413E-B0EE-15A69AF0F01A}"/>
    <cellStyle name="Финансовый 2 5 5 4" xfId="4144" xr:uid="{9CCCFCA6-AD5D-4B29-88AC-B230B47D1567}"/>
    <cellStyle name="Финансовый 2 5 6" xfId="579" xr:uid="{36FBD078-1ADA-4FA3-8BE8-E6A2DC878689}"/>
    <cellStyle name="Финансовый 2 5 6 2" xfId="1603" xr:uid="{E15F5018-AA43-4037-BFDC-51A55CE58DA5}"/>
    <cellStyle name="Финансовый 2 5 6 2 2" xfId="4145" xr:uid="{8F3B6ACD-765C-4BFF-BB22-E0B554973E2C}"/>
    <cellStyle name="Финансовый 2 5 6 3" xfId="4146" xr:uid="{71CC79F6-5D9C-4962-B71F-90F927339463}"/>
    <cellStyle name="Финансовый 2 5 7" xfId="1091" xr:uid="{E833E988-6E49-48A0-BCDD-FFFB6A1D098B}"/>
    <cellStyle name="Финансовый 2 5 7 2" xfId="4147" xr:uid="{CFB32C29-3192-4A5B-B4A7-2F3315AF1F33}"/>
    <cellStyle name="Финансовый 2 5 8" xfId="4148" xr:uid="{E76A6AA6-06E1-432A-9645-940A257D1ADD}"/>
    <cellStyle name="Финансовый 2 6" xfId="83" xr:uid="{F474440D-CE6E-4DAF-B742-751845E080FD}"/>
    <cellStyle name="Финансовый 2 6 2" xfId="147" xr:uid="{43A8845D-5D4E-4978-9D3F-40039E548E91}"/>
    <cellStyle name="Финансовый 2 6 2 2" xfId="275" xr:uid="{C363B5D5-EBAA-4A54-9856-5CD64470145E}"/>
    <cellStyle name="Финансовый 2 6 2 2 2" xfId="531" xr:uid="{DC2F2454-B5E2-4369-9F58-E0E9DFD5F24B}"/>
    <cellStyle name="Финансовый 2 6 2 2 2 2" xfId="1043" xr:uid="{BED55260-C6E3-4DB2-910B-95A6D23526B9}"/>
    <cellStyle name="Финансовый 2 6 2 2 2 2 2" xfId="2067" xr:uid="{EDC55B04-3D9F-4BA1-BF2B-9FCF4C58B2A4}"/>
    <cellStyle name="Финансовый 2 6 2 2 2 2 2 2" xfId="4149" xr:uid="{EE3A37A9-EA63-4A23-B81A-2C57E7E3C9AE}"/>
    <cellStyle name="Финансовый 2 6 2 2 2 2 3" xfId="4150" xr:uid="{7C270618-7F26-41D0-829E-02AD1052C2A4}"/>
    <cellStyle name="Финансовый 2 6 2 2 2 3" xfId="1555" xr:uid="{41AF78F1-D137-458D-B69D-6AA950E476A3}"/>
    <cellStyle name="Финансовый 2 6 2 2 2 3 2" xfId="4151" xr:uid="{81D53C46-BDC3-4495-B7C4-79B70DDD25F5}"/>
    <cellStyle name="Финансовый 2 6 2 2 2 4" xfId="4152" xr:uid="{4EAB512F-516E-4597-892F-5ADAB148784C}"/>
    <cellStyle name="Финансовый 2 6 2 2 3" xfId="787" xr:uid="{C5C86F3B-411E-4200-9DE1-50A2AC2DA099}"/>
    <cellStyle name="Финансовый 2 6 2 2 3 2" xfId="1811" xr:uid="{C68ED002-DA45-4349-A33C-35559650A2BD}"/>
    <cellStyle name="Финансовый 2 6 2 2 3 2 2" xfId="4153" xr:uid="{E5CF4763-2E40-497C-BBE1-389A0BD6F5CA}"/>
    <cellStyle name="Финансовый 2 6 2 2 3 3" xfId="4154" xr:uid="{024CEC29-B8D1-489A-938A-2514230D7D9A}"/>
    <cellStyle name="Финансовый 2 6 2 2 4" xfId="1299" xr:uid="{CEC4948C-0B0F-4A83-9411-A1A8DCDE825F}"/>
    <cellStyle name="Финансовый 2 6 2 2 4 2" xfId="4155" xr:uid="{01BD6AEB-CD79-4AB8-8517-FC56FA348402}"/>
    <cellStyle name="Финансовый 2 6 2 2 5" xfId="4156" xr:uid="{5CCC417C-13CE-4263-A5C0-0EF43B5EB77E}"/>
    <cellStyle name="Финансовый 2 6 2 3" xfId="403" xr:uid="{673B13CB-9EB4-4518-9EEC-D64EEBA14E63}"/>
    <cellStyle name="Финансовый 2 6 2 3 2" xfId="915" xr:uid="{D129522B-8B7F-4218-BE5E-88C353042E78}"/>
    <cellStyle name="Финансовый 2 6 2 3 2 2" xfId="1939" xr:uid="{DE612397-1CD0-4C82-AA4C-F642A1495449}"/>
    <cellStyle name="Финансовый 2 6 2 3 2 2 2" xfId="4157" xr:uid="{681454D4-832D-4CBD-B668-9169AA9EE449}"/>
    <cellStyle name="Финансовый 2 6 2 3 2 3" xfId="4158" xr:uid="{D6590458-5B72-49F9-94E2-32EA1E4E2C78}"/>
    <cellStyle name="Финансовый 2 6 2 3 3" xfId="1427" xr:uid="{DDABD82B-8BA2-46DE-B37C-7E4EE7F71B7A}"/>
    <cellStyle name="Финансовый 2 6 2 3 3 2" xfId="4159" xr:uid="{63555CBC-9599-420C-87FB-05BCC3D9E435}"/>
    <cellStyle name="Финансовый 2 6 2 3 4" xfId="4160" xr:uid="{A9F0FF30-A8BB-4282-9ACF-42A442057909}"/>
    <cellStyle name="Финансовый 2 6 2 4" xfId="659" xr:uid="{6F683F37-489C-4D6A-B735-30366A55A1B3}"/>
    <cellStyle name="Финансовый 2 6 2 4 2" xfId="1683" xr:uid="{2FF78364-8688-4BA7-9899-576215EEBEE4}"/>
    <cellStyle name="Финансовый 2 6 2 4 2 2" xfId="4161" xr:uid="{DA9D800F-1175-4F6C-9911-E9DABEB8D346}"/>
    <cellStyle name="Финансовый 2 6 2 4 3" xfId="4162" xr:uid="{0D0CFCDF-5726-4B5C-BBFE-C20CC756875A}"/>
    <cellStyle name="Финансовый 2 6 2 5" xfId="1171" xr:uid="{50D12A8F-A6B3-47C4-8BBF-610757BE400F}"/>
    <cellStyle name="Финансовый 2 6 2 5 2" xfId="4163" xr:uid="{E48C7E57-4699-454E-8750-A1DD8D1553E2}"/>
    <cellStyle name="Финансовый 2 6 2 6" xfId="4164" xr:uid="{7CE410B8-30A3-4DCA-B912-02F05720F2B4}"/>
    <cellStyle name="Финансовый 2 6 3" xfId="211" xr:uid="{D5CA7585-3939-43B7-9694-E56D611E412E}"/>
    <cellStyle name="Финансовый 2 6 3 2" xfId="467" xr:uid="{1BD8EE53-D77C-4030-A933-2E32A983F9AA}"/>
    <cellStyle name="Финансовый 2 6 3 2 2" xfId="979" xr:uid="{F1ED6067-4A27-48F6-8086-1576E1DE9408}"/>
    <cellStyle name="Финансовый 2 6 3 2 2 2" xfId="2003" xr:uid="{D76E05DF-0252-46B4-A9E8-8EFEAE69B026}"/>
    <cellStyle name="Финансовый 2 6 3 2 2 2 2" xfId="4165" xr:uid="{696021D3-CE0A-4F58-9670-7016441BDE80}"/>
    <cellStyle name="Финансовый 2 6 3 2 2 3" xfId="4166" xr:uid="{7E17BBA6-A213-4A73-A8A5-CF6774E5B5BA}"/>
    <cellStyle name="Финансовый 2 6 3 2 3" xfId="1491" xr:uid="{BFD4139E-6226-4811-A2DD-16187282D97E}"/>
    <cellStyle name="Финансовый 2 6 3 2 3 2" xfId="4167" xr:uid="{A357C184-0824-42A9-BBA3-84ACFC402E4A}"/>
    <cellStyle name="Финансовый 2 6 3 2 4" xfId="4168" xr:uid="{1B657E37-1BF3-4CC7-AAD0-AF4E33FF673B}"/>
    <cellStyle name="Финансовый 2 6 3 3" xfId="723" xr:uid="{4B98FCF2-9D58-4A4C-96F6-E9D90E942F4D}"/>
    <cellStyle name="Финансовый 2 6 3 3 2" xfId="1747" xr:uid="{54E650DD-D667-4765-B39A-F89C70E8C123}"/>
    <cellStyle name="Финансовый 2 6 3 3 2 2" xfId="4169" xr:uid="{5EB2D902-C35D-437F-898D-4E94A8F84024}"/>
    <cellStyle name="Финансовый 2 6 3 3 3" xfId="4170" xr:uid="{A7E78C62-67AC-4240-84F2-B77E3F9907BF}"/>
    <cellStyle name="Финансовый 2 6 3 4" xfId="1235" xr:uid="{A6979C81-D8D7-485B-8984-54094F69B26E}"/>
    <cellStyle name="Финансовый 2 6 3 4 2" xfId="4171" xr:uid="{3D34F398-0E9F-462A-A22E-73D2F8D58516}"/>
    <cellStyle name="Финансовый 2 6 3 5" xfId="4172" xr:uid="{5DE55F1A-093B-44E5-AA4F-B2E63998282D}"/>
    <cellStyle name="Финансовый 2 6 4" xfId="339" xr:uid="{0C1FDAA3-42A1-4B9B-AB2B-950B5DD86CAD}"/>
    <cellStyle name="Финансовый 2 6 4 2" xfId="851" xr:uid="{879D1246-B575-4FEE-B1BE-7012BD9BB425}"/>
    <cellStyle name="Финансовый 2 6 4 2 2" xfId="1875" xr:uid="{02AA708C-246A-44F1-B391-1B354991AEDE}"/>
    <cellStyle name="Финансовый 2 6 4 2 2 2" xfId="4173" xr:uid="{74329C8C-9E83-4A7A-9D2E-5C4DB7116769}"/>
    <cellStyle name="Финансовый 2 6 4 2 3" xfId="4174" xr:uid="{433B1D86-85AD-4195-AB10-421B3FF5B81C}"/>
    <cellStyle name="Финансовый 2 6 4 3" xfId="1363" xr:uid="{80F1C79E-5359-4F02-82E3-E02DC4794975}"/>
    <cellStyle name="Финансовый 2 6 4 3 2" xfId="4175" xr:uid="{F79D0F59-87F1-4544-B37E-F45CA42B7C00}"/>
    <cellStyle name="Финансовый 2 6 4 4" xfId="4176" xr:uid="{0F39141B-7670-4FD5-9EB6-FA09F7B1843E}"/>
    <cellStyle name="Финансовый 2 6 5" xfId="595" xr:uid="{FAF87D8C-4560-48A2-B461-4204105D72E6}"/>
    <cellStyle name="Финансовый 2 6 5 2" xfId="1619" xr:uid="{966D5097-7675-4F1E-A678-1204E2154AFA}"/>
    <cellStyle name="Финансовый 2 6 5 2 2" xfId="4177" xr:uid="{84C5684A-19D7-46FD-976F-70A66BB126DB}"/>
    <cellStyle name="Финансовый 2 6 5 3" xfId="4178" xr:uid="{CFE7C32F-5315-40C4-9CB6-F0EC77B37B6F}"/>
    <cellStyle name="Финансовый 2 6 6" xfId="1107" xr:uid="{F243AA22-F887-4F51-BCDD-E0DE6DE660DC}"/>
    <cellStyle name="Финансовый 2 6 6 2" xfId="4179" xr:uid="{4B4107B6-0C65-4391-90FF-782A836379E6}"/>
    <cellStyle name="Финансовый 2 6 7" xfId="4180" xr:uid="{55A6E2D5-4E6D-4FC6-A4AD-F26F174836B1}"/>
    <cellStyle name="Финансовый 2 7" xfId="115" xr:uid="{C8085457-48DC-40E7-A289-5D719E7E132B}"/>
    <cellStyle name="Финансовый 2 7 2" xfId="243" xr:uid="{31012761-D6DF-4E16-8B64-07719F970A69}"/>
    <cellStyle name="Финансовый 2 7 2 2" xfId="499" xr:uid="{3973DE24-28EF-44CD-A756-B6CF39906301}"/>
    <cellStyle name="Финансовый 2 7 2 2 2" xfId="1011" xr:uid="{5F4FAD82-C727-4E87-B3BA-980B8EDD13F3}"/>
    <cellStyle name="Финансовый 2 7 2 2 2 2" xfId="2035" xr:uid="{4AFDCA2F-4D26-4677-8F3B-7456B2AB65C0}"/>
    <cellStyle name="Финансовый 2 7 2 2 2 2 2" xfId="4181" xr:uid="{D87FA084-9294-4A35-9C72-229AFEAA09FC}"/>
    <cellStyle name="Финансовый 2 7 2 2 2 3" xfId="4182" xr:uid="{C4DB5FEB-9B87-40D7-9316-B167EC83DD05}"/>
    <cellStyle name="Финансовый 2 7 2 2 3" xfId="1523" xr:uid="{ADFCC27F-098E-4673-92E1-1E11D72C0CF7}"/>
    <cellStyle name="Финансовый 2 7 2 2 3 2" xfId="4183" xr:uid="{8FF92DC4-5E8F-41DF-A398-BED3A5C31DB6}"/>
    <cellStyle name="Финансовый 2 7 2 2 4" xfId="4184" xr:uid="{626AF42A-C2F6-46F8-A6ED-AAB32CFD2520}"/>
    <cellStyle name="Финансовый 2 7 2 3" xfId="755" xr:uid="{2E1ECC75-96BD-4C65-875F-5ADCF1A3D964}"/>
    <cellStyle name="Финансовый 2 7 2 3 2" xfId="1779" xr:uid="{25E4BE5E-F5BA-4253-82A8-1C203DF1886A}"/>
    <cellStyle name="Финансовый 2 7 2 3 2 2" xfId="4185" xr:uid="{FC3148F5-BFA7-4218-8591-7A4A95847A56}"/>
    <cellStyle name="Финансовый 2 7 2 3 3" xfId="4186" xr:uid="{293C134F-7216-4442-8CFB-FCA717C12415}"/>
    <cellStyle name="Финансовый 2 7 2 4" xfId="1267" xr:uid="{A016263C-BB9C-404A-909F-2FF3CE109C0A}"/>
    <cellStyle name="Финансовый 2 7 2 4 2" xfId="4187" xr:uid="{D1024E4C-4A7B-40A6-9571-D93B48731E47}"/>
    <cellStyle name="Финансовый 2 7 2 5" xfId="4188" xr:uid="{400E5526-8AA9-45A6-8D20-D2637CD5757B}"/>
    <cellStyle name="Финансовый 2 7 3" xfId="371" xr:uid="{5424D225-DAC3-474D-BC7C-FC8285BCD526}"/>
    <cellStyle name="Финансовый 2 7 3 2" xfId="883" xr:uid="{A19F3427-1E1D-48C3-B1EF-B527F4909ABB}"/>
    <cellStyle name="Финансовый 2 7 3 2 2" xfId="1907" xr:uid="{2585B0DC-CC50-4471-89F0-4910F4FB4426}"/>
    <cellStyle name="Финансовый 2 7 3 2 2 2" xfId="4189" xr:uid="{EB71BDE4-0F46-4869-B0D3-6A63122413E5}"/>
    <cellStyle name="Финансовый 2 7 3 2 3" xfId="4190" xr:uid="{B20AFEDE-CBA9-4430-B95F-FD6A83DD5357}"/>
    <cellStyle name="Финансовый 2 7 3 3" xfId="1395" xr:uid="{703A30C2-5BB9-4AC4-8600-D6DBA82CA8FC}"/>
    <cellStyle name="Финансовый 2 7 3 3 2" xfId="4191" xr:uid="{8AA80EE2-DEDA-462D-A14A-A5F5A3C73A39}"/>
    <cellStyle name="Финансовый 2 7 3 4" xfId="4192" xr:uid="{5790E2CC-4E99-40DA-81CF-6399FA09B89E}"/>
    <cellStyle name="Финансовый 2 7 4" xfId="627" xr:uid="{58BC3D9F-5FD2-4F9E-8966-D5F4C9D8B0AC}"/>
    <cellStyle name="Финансовый 2 7 4 2" xfId="1651" xr:uid="{B80895C7-5464-4512-86FC-3700F4DAF1C5}"/>
    <cellStyle name="Финансовый 2 7 4 2 2" xfId="4193" xr:uid="{B4DF44E8-56E9-42D2-B453-8E40BAF71A76}"/>
    <cellStyle name="Финансовый 2 7 4 3" xfId="4194" xr:uid="{66454B87-3C68-4F52-9419-D1EC87D23E21}"/>
    <cellStyle name="Финансовый 2 7 5" xfId="1139" xr:uid="{63085932-547F-4AE6-B842-0719827338CE}"/>
    <cellStyle name="Финансовый 2 7 5 2" xfId="4195" xr:uid="{88EFD279-4A3D-4E72-A5FA-61485F793960}"/>
    <cellStyle name="Финансовый 2 7 6" xfId="4196" xr:uid="{4FC59AB4-3D30-4703-8FC6-3A340A7C1607}"/>
    <cellStyle name="Финансовый 2 8" xfId="179" xr:uid="{A4EA0FC0-BF2E-45CF-9F56-7B52080BFA56}"/>
    <cellStyle name="Финансовый 2 8 2" xfId="435" xr:uid="{689A9BBA-0FF6-4F40-8606-E6D8916BCE0A}"/>
    <cellStyle name="Финансовый 2 8 2 2" xfId="947" xr:uid="{CB9004A3-FE6C-41A1-915B-156655A3DFF3}"/>
    <cellStyle name="Финансовый 2 8 2 2 2" xfId="1971" xr:uid="{C42B7158-342F-4C92-BE6E-9AABFA2EE8A4}"/>
    <cellStyle name="Финансовый 2 8 2 2 2 2" xfId="4197" xr:uid="{8138F5B7-0B40-4513-A2D2-9A33C2B9E5D8}"/>
    <cellStyle name="Финансовый 2 8 2 2 3" xfId="4198" xr:uid="{35D53824-120A-4F1D-A03C-BC050C4B6E96}"/>
    <cellStyle name="Финансовый 2 8 2 3" xfId="1459" xr:uid="{E81C16EB-2028-4FBE-B463-90A7CFD88C08}"/>
    <cellStyle name="Финансовый 2 8 2 3 2" xfId="4199" xr:uid="{5A9ED7D0-3BAB-4EB2-83C3-627D82BBEA30}"/>
    <cellStyle name="Финансовый 2 8 2 4" xfId="4200" xr:uid="{E8AC7CC9-FA29-434A-A8DC-D6E7BFDE7C83}"/>
    <cellStyle name="Финансовый 2 8 3" xfId="691" xr:uid="{6BE3909A-3F50-4322-B111-792A3F6B522F}"/>
    <cellStyle name="Финансовый 2 8 3 2" xfId="1715" xr:uid="{B5C1FDBA-172C-4A19-9E6F-24540CA88FFB}"/>
    <cellStyle name="Финансовый 2 8 3 2 2" xfId="4201" xr:uid="{42B2583D-CB8F-4C68-BC45-D59A3F335E99}"/>
    <cellStyle name="Финансовый 2 8 3 3" xfId="4202" xr:uid="{C0C7A446-ABC5-4531-B17A-5B188764D2C1}"/>
    <cellStyle name="Финансовый 2 8 4" xfId="1203" xr:uid="{AFB9EFA3-BC70-4388-AF1B-8BF8FDC05759}"/>
    <cellStyle name="Финансовый 2 8 4 2" xfId="4203" xr:uid="{323B84A1-03AE-4A21-BAAD-541A6DEA6CED}"/>
    <cellStyle name="Финансовый 2 8 5" xfId="4204" xr:uid="{95666489-6FA7-4A1C-980C-78A1D13E8E29}"/>
    <cellStyle name="Финансовый 2 9" xfId="307" xr:uid="{907F39BA-AAEC-498C-AACE-6AC4F2F83334}"/>
    <cellStyle name="Финансовый 2 9 2" xfId="819" xr:uid="{217F02E0-ADFB-45DB-A566-500AF8F0C693}"/>
    <cellStyle name="Финансовый 2 9 2 2" xfId="1843" xr:uid="{E3C149B2-D6C5-4A1C-9577-9A976AA13CCB}"/>
    <cellStyle name="Финансовый 2 9 2 2 2" xfId="4205" xr:uid="{2C10E35F-364C-4A4C-B803-84BB90BF7AD3}"/>
    <cellStyle name="Финансовый 2 9 2 3" xfId="4206" xr:uid="{FC7B5AF0-2298-44EB-98D4-BB89EBE3F468}"/>
    <cellStyle name="Финансовый 2 9 3" xfId="1331" xr:uid="{B854EEF0-EF6E-4A00-8580-F4CC759324F6}"/>
    <cellStyle name="Финансовый 2 9 3 2" xfId="4207" xr:uid="{500A5151-7F56-4F75-A8CD-20E40EB3628A}"/>
    <cellStyle name="Финансовый 2 9 4" xfId="4208" xr:uid="{983C0462-0317-4FBA-A567-C967A3E4B7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91B8-EEF6-4D5C-BA37-743E594A641C}">
  <sheetPr>
    <pageSetUpPr fitToPage="1"/>
  </sheetPr>
  <dimension ref="A1:AB77"/>
  <sheetViews>
    <sheetView tabSelected="1" zoomScale="59" zoomScaleNormal="59" workbookViewId="0">
      <pane ySplit="1" topLeftCell="A2" activePane="bottomLeft" state="frozen"/>
      <selection activeCell="C1" sqref="C1"/>
      <selection pane="bottomLeft" activeCell="J18" sqref="J18"/>
    </sheetView>
  </sheetViews>
  <sheetFormatPr defaultColWidth="9" defaultRowHeight="15.75" x14ac:dyDescent="0.25"/>
  <cols>
    <col min="1" max="1" width="3.85546875" style="3" customWidth="1"/>
    <col min="2" max="2" width="89" style="3" customWidth="1"/>
    <col min="3" max="3" width="14.140625" style="3" customWidth="1"/>
    <col min="4" max="4" width="85.85546875" style="3" customWidth="1"/>
    <col min="5" max="5" width="19.42578125" style="3" customWidth="1"/>
    <col min="6" max="6" width="22.85546875" style="3" customWidth="1"/>
    <col min="7" max="7" width="29.85546875" style="3" customWidth="1"/>
    <col min="8" max="8" width="9" style="3"/>
    <col min="9" max="9" width="12.42578125" style="3" customWidth="1"/>
    <col min="10" max="10" width="13.140625" style="3" customWidth="1"/>
    <col min="11" max="11" width="14.42578125" style="3" customWidth="1"/>
    <col min="12" max="12" width="13" style="3" customWidth="1"/>
    <col min="13" max="14" width="13.140625" style="3" customWidth="1"/>
    <col min="15" max="15" width="74.42578125" style="3" customWidth="1"/>
    <col min="16" max="16" width="15.85546875" style="3" customWidth="1"/>
    <col min="17" max="17" width="13.5703125" style="3" customWidth="1"/>
    <col min="18" max="18" width="14.42578125" style="3" customWidth="1"/>
    <col min="19" max="20" width="19.140625" style="3" hidden="1" customWidth="1"/>
    <col min="21" max="24" width="14.5703125" style="3" customWidth="1"/>
    <col min="25" max="25" width="9.85546875" style="3" customWidth="1"/>
    <col min="26" max="27" width="9" style="3" customWidth="1"/>
    <col min="28" max="28" width="10.7109375" style="3" customWidth="1"/>
    <col min="29" max="16384" width="9" style="3"/>
  </cols>
  <sheetData>
    <row r="1" spans="1:28" ht="100.5" customHeight="1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1" t="s">
        <v>8</v>
      </c>
      <c r="J1" s="21" t="s">
        <v>9</v>
      </c>
      <c r="K1" s="21" t="s">
        <v>4861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4856</v>
      </c>
      <c r="W1" s="21" t="s">
        <v>4857</v>
      </c>
      <c r="X1" s="21" t="s">
        <v>4858</v>
      </c>
      <c r="Y1" s="21" t="s">
        <v>20</v>
      </c>
      <c r="Z1" s="21" t="s">
        <v>21</v>
      </c>
      <c r="AA1" s="21" t="s">
        <v>22</v>
      </c>
      <c r="AB1" s="21" t="s">
        <v>23</v>
      </c>
    </row>
    <row r="2" spans="1:28" x14ac:dyDescent="0.25">
      <c r="A2" s="9" t="s">
        <v>24</v>
      </c>
      <c r="B2" s="10" t="s">
        <v>25</v>
      </c>
      <c r="C2" s="8" t="s">
        <v>26</v>
      </c>
      <c r="D2" s="10" t="str">
        <f>VLOOKUP(C2,Setup!A:F,3,)</f>
        <v>Air freshener AIR WICK French Riviera Sea wave and Light breeze, 290 ml, new</v>
      </c>
      <c r="E2" s="10" t="str">
        <f>VLOOKUP(C2,Setup!A:F,4,)</f>
        <v>AIR WICK</v>
      </c>
      <c r="F2" s="10" t="str">
        <f>VLOOKUP(C2,Setup!A:F,5,)</f>
        <v>AIR FRESHENERS</v>
      </c>
      <c r="G2" s="10" t="str">
        <f>VLOOKUP(C2,Setup!A:F,6,)</f>
        <v>Air fresheners waterbase RB</v>
      </c>
      <c r="H2" s="11" t="s">
        <v>27</v>
      </c>
      <c r="I2" s="24">
        <v>46832</v>
      </c>
      <c r="J2" s="12">
        <v>46872</v>
      </c>
      <c r="K2" s="13">
        <v>120</v>
      </c>
      <c r="L2" s="13">
        <v>120</v>
      </c>
      <c r="M2" s="13">
        <v>0</v>
      </c>
      <c r="N2" s="1"/>
      <c r="O2" s="1"/>
      <c r="P2" s="14">
        <v>534</v>
      </c>
      <c r="Q2" s="1">
        <v>6</v>
      </c>
      <c r="R2" s="1">
        <v>6</v>
      </c>
      <c r="S2" s="1"/>
      <c r="T2" s="1"/>
      <c r="U2" s="1">
        <v>8</v>
      </c>
      <c r="V2" s="40">
        <f>Q2/(Q2+J2)</f>
        <v>1.2799180852425445E-4</v>
      </c>
      <c r="W2" s="40">
        <f>R2/(R2+J2)</f>
        <v>1.2799180852425445E-4</v>
      </c>
      <c r="X2" s="40">
        <f>U2/(U2+J2)</f>
        <v>1.7064846416382253E-4</v>
      </c>
      <c r="Y2" s="2">
        <f t="shared" ref="Y2:Y33" si="0">(J2/(K2*(P2-M2-N2)))</f>
        <v>0.73146067415730343</v>
      </c>
      <c r="Z2" s="2">
        <f t="shared" ref="Z2:Z33" si="1">(J2/(J2+R2+S2-T2))</f>
        <v>0.9998720081914757</v>
      </c>
      <c r="AA2" s="2">
        <f>Y2*Z2</f>
        <v>0.73136705318275363</v>
      </c>
      <c r="AB2" s="23"/>
    </row>
    <row r="3" spans="1:28" x14ac:dyDescent="0.25">
      <c r="A3" s="9" t="s">
        <v>24</v>
      </c>
      <c r="B3" s="10" t="s">
        <v>28</v>
      </c>
      <c r="C3" s="8" t="s">
        <v>29</v>
      </c>
      <c r="D3" s="10" t="str">
        <f>VLOOKUP(C3,Setup!A:F,3,)</f>
        <v>Air freshener AIR WICK Swiss Alps Morning Dew and Green Forest, 290 ml, new</v>
      </c>
      <c r="E3" s="10" t="str">
        <f>VLOOKUP(C3,Setup!A:F,4,)</f>
        <v>AIR WICK</v>
      </c>
      <c r="F3" s="10" t="str">
        <f>VLOOKUP(C3,Setup!A:F,5,)</f>
        <v>AIR FRESHENERS</v>
      </c>
      <c r="G3" s="10" t="str">
        <f>VLOOKUP(C3,Setup!A:F,6,)</f>
        <v>Air fresheners waterbase RB</v>
      </c>
      <c r="H3" s="11" t="s">
        <v>30</v>
      </c>
      <c r="I3" s="24">
        <v>18640</v>
      </c>
      <c r="J3" s="12">
        <f>18600+408</f>
        <v>19008</v>
      </c>
      <c r="K3" s="13">
        <v>120</v>
      </c>
      <c r="L3" s="13">
        <v>15</v>
      </c>
      <c r="M3" s="13">
        <v>0</v>
      </c>
      <c r="N3" s="1"/>
      <c r="O3" s="1"/>
      <c r="P3" s="14">
        <f>201-10+18</f>
        <v>209</v>
      </c>
      <c r="Q3" s="1">
        <v>3</v>
      </c>
      <c r="R3" s="1">
        <v>2</v>
      </c>
      <c r="S3" s="1"/>
      <c r="T3" s="1"/>
      <c r="U3" s="1">
        <f>8+6</f>
        <v>14</v>
      </c>
      <c r="V3" s="40">
        <f t="shared" ref="V3:V66" si="2">Q3/(Q3+J3)</f>
        <v>1.5780337699226762E-4</v>
      </c>
      <c r="W3" s="40">
        <f t="shared" ref="W3:W66" si="3">R3/(R3+J3)</f>
        <v>1.0520778537611783E-4</v>
      </c>
      <c r="X3" s="40">
        <f t="shared" ref="X3:X66" si="4">U3/(U3+J3)</f>
        <v>7.3598990642414043E-4</v>
      </c>
      <c r="Y3" s="2">
        <f t="shared" si="0"/>
        <v>0.75789473684210529</v>
      </c>
      <c r="Z3" s="2">
        <f t="shared" si="1"/>
        <v>0.99989479221462385</v>
      </c>
      <c r="AA3" s="2">
        <f t="shared" ref="AA3:AA66" si="5">Y3*Z3</f>
        <v>0.75781500041529393</v>
      </c>
      <c r="AB3" s="23"/>
    </row>
    <row r="4" spans="1:28" x14ac:dyDescent="0.25">
      <c r="A4" s="9" t="s">
        <v>24</v>
      </c>
      <c r="B4" s="10" t="s">
        <v>31</v>
      </c>
      <c r="C4" s="10" t="s">
        <v>32</v>
      </c>
      <c r="D4" s="10" t="str">
        <f>VLOOKUP(C4,Setup!A:F,3,)</f>
        <v>Air freshener AIR WICK Spanish holidays Grapefruit and Blooming lime, 290 ml, new</v>
      </c>
      <c r="E4" s="10" t="str">
        <f>VLOOKUP(C4,Setup!A:F,4,)</f>
        <v>AIR WICK</v>
      </c>
      <c r="F4" s="10" t="str">
        <f>VLOOKUP(C4,Setup!A:F,5,)</f>
        <v>AIR FRESHENERS</v>
      </c>
      <c r="G4" s="10" t="str">
        <f>VLOOKUP(C4,Setup!A:F,6,)</f>
        <v>Air fresheners waterbase RB</v>
      </c>
      <c r="H4" s="11" t="s">
        <v>33</v>
      </c>
      <c r="I4" s="24">
        <v>13608</v>
      </c>
      <c r="J4" s="12">
        <v>13608</v>
      </c>
      <c r="K4" s="13">
        <v>120</v>
      </c>
      <c r="L4" s="13">
        <v>15</v>
      </c>
      <c r="M4" s="13">
        <v>0</v>
      </c>
      <c r="N4" s="1"/>
      <c r="O4" s="1"/>
      <c r="P4" s="14">
        <v>161</v>
      </c>
      <c r="Q4" s="1">
        <v>4</v>
      </c>
      <c r="R4" s="1">
        <v>3</v>
      </c>
      <c r="S4" s="1"/>
      <c r="T4" s="1"/>
      <c r="U4" s="1">
        <f>8+6</f>
        <v>14</v>
      </c>
      <c r="V4" s="40">
        <f t="shared" si="2"/>
        <v>2.9385836027034972E-4</v>
      </c>
      <c r="W4" s="40">
        <f t="shared" si="3"/>
        <v>2.2040996253030638E-4</v>
      </c>
      <c r="X4" s="40">
        <f t="shared" si="4"/>
        <v>1.0277492291880781E-3</v>
      </c>
      <c r="Y4" s="2">
        <f t="shared" si="0"/>
        <v>0.70434782608695656</v>
      </c>
      <c r="Z4" s="2">
        <f t="shared" si="1"/>
        <v>0.99977959003746975</v>
      </c>
      <c r="AA4" s="2">
        <f t="shared" si="5"/>
        <v>0.70419258080900049</v>
      </c>
      <c r="AB4" s="23"/>
    </row>
    <row r="5" spans="1:28" x14ac:dyDescent="0.25">
      <c r="A5" s="9" t="s">
        <v>24</v>
      </c>
      <c r="B5" s="10" t="s">
        <v>31</v>
      </c>
      <c r="C5" s="10" t="s">
        <v>32</v>
      </c>
      <c r="D5" s="10" t="str">
        <f>VLOOKUP(C5,Setup!A:F,3,)</f>
        <v>Air freshener AIR WICK Spanish holidays Grapefruit and Blooming lime, 290 ml, new</v>
      </c>
      <c r="E5" s="10" t="str">
        <f>VLOOKUP(C5,Setup!A:F,4,)</f>
        <v>AIR WICK</v>
      </c>
      <c r="F5" s="10" t="str">
        <f>VLOOKUP(C5,Setup!A:F,5,)</f>
        <v>AIR FRESHENERS</v>
      </c>
      <c r="G5" s="10" t="str">
        <f>VLOOKUP(C5,Setup!A:F,6,)</f>
        <v>Air fresheners waterbase RB</v>
      </c>
      <c r="H5" s="11" t="s">
        <v>34</v>
      </c>
      <c r="I5" s="24">
        <v>18480</v>
      </c>
      <c r="J5" s="12">
        <v>18684</v>
      </c>
      <c r="K5" s="13">
        <v>120</v>
      </c>
      <c r="L5" s="13">
        <v>15</v>
      </c>
      <c r="M5" s="13">
        <v>0</v>
      </c>
      <c r="N5" s="1"/>
      <c r="O5" s="1"/>
      <c r="P5" s="14">
        <v>174</v>
      </c>
      <c r="Q5" s="1">
        <v>18</v>
      </c>
      <c r="R5" s="1">
        <f>11+5</f>
        <v>16</v>
      </c>
      <c r="S5" s="1"/>
      <c r="T5" s="1"/>
      <c r="U5" s="1">
        <v>8</v>
      </c>
      <c r="V5" s="40">
        <f t="shared" si="2"/>
        <v>9.6246390760346492E-4</v>
      </c>
      <c r="W5" s="40">
        <f t="shared" si="3"/>
        <v>8.5561497326203204E-4</v>
      </c>
      <c r="X5" s="40">
        <f t="shared" si="4"/>
        <v>4.2799058420714745E-4</v>
      </c>
      <c r="Y5" s="2">
        <f t="shared" si="0"/>
        <v>0.89482758620689651</v>
      </c>
      <c r="Z5" s="2">
        <f t="shared" si="1"/>
        <v>0.99914438502673797</v>
      </c>
      <c r="AA5" s="2">
        <f t="shared" si="5"/>
        <v>0.89406195832564994</v>
      </c>
      <c r="AB5" s="23"/>
    </row>
    <row r="6" spans="1:28" x14ac:dyDescent="0.25">
      <c r="A6" s="9" t="s">
        <v>24</v>
      </c>
      <c r="B6" s="10" t="s">
        <v>35</v>
      </c>
      <c r="C6" s="10" t="s">
        <v>36</v>
      </c>
      <c r="D6" s="10" t="str">
        <f>VLOOKUP(C6,Setup!A:F,3,)</f>
        <v>Air freshener AIR WICK Maldivian Dreams Tropical flowers and Patchouli, 290 ml, new</v>
      </c>
      <c r="E6" s="10" t="str">
        <f>VLOOKUP(C6,Setup!A:F,4,)</f>
        <v>AIR WICK</v>
      </c>
      <c r="F6" s="10" t="str">
        <f>VLOOKUP(C6,Setup!A:F,5,)</f>
        <v>AIR FRESHENERS</v>
      </c>
      <c r="G6" s="10" t="str">
        <f>VLOOKUP(C6,Setup!A:F,6,)</f>
        <v>Air fresheners waterbase RB</v>
      </c>
      <c r="H6" s="11" t="s">
        <v>33</v>
      </c>
      <c r="I6" s="25">
        <v>27216</v>
      </c>
      <c r="J6" s="12">
        <v>27216</v>
      </c>
      <c r="K6" s="13">
        <v>90</v>
      </c>
      <c r="L6" s="13">
        <v>30</v>
      </c>
      <c r="M6" s="13">
        <v>0</v>
      </c>
      <c r="N6" s="1"/>
      <c r="O6" s="1"/>
      <c r="P6" s="14">
        <v>310</v>
      </c>
      <c r="Q6" s="1">
        <v>8</v>
      </c>
      <c r="R6" s="1">
        <v>15</v>
      </c>
      <c r="S6" s="1"/>
      <c r="T6" s="1"/>
      <c r="U6" s="1">
        <v>8</v>
      </c>
      <c r="V6" s="40">
        <f t="shared" si="2"/>
        <v>2.9385836027034972E-4</v>
      </c>
      <c r="W6" s="40">
        <f t="shared" si="3"/>
        <v>5.5084278946788588E-4</v>
      </c>
      <c r="X6" s="40">
        <f t="shared" si="4"/>
        <v>2.9385836027034972E-4</v>
      </c>
      <c r="Y6" s="2">
        <f t="shared" si="0"/>
        <v>0.97548387096774192</v>
      </c>
      <c r="Z6" s="2">
        <f t="shared" si="1"/>
        <v>0.99944915721053207</v>
      </c>
      <c r="AA6" s="2">
        <f t="shared" si="5"/>
        <v>0.97494653271117704</v>
      </c>
      <c r="AB6" s="23"/>
    </row>
    <row r="7" spans="1:28" x14ac:dyDescent="0.25">
      <c r="A7" s="9" t="s">
        <v>24</v>
      </c>
      <c r="B7" s="10" t="s">
        <v>37</v>
      </c>
      <c r="C7" s="10" t="s">
        <v>38</v>
      </c>
      <c r="D7" s="10" t="str">
        <f>VLOOKUP(C7,Setup!A:F,3,)</f>
        <v>Air freshener AIR WICK Maldivian Dreams Tropical flowers and Patchouli, 290 ml, new</v>
      </c>
      <c r="E7" s="10" t="str">
        <f>VLOOKUP(C7,Setup!A:F,4,)</f>
        <v>AIR WICK</v>
      </c>
      <c r="F7" s="10" t="str">
        <f>VLOOKUP(C7,Setup!A:F,5,)</f>
        <v>AIR FRESHENERS</v>
      </c>
      <c r="G7" s="10" t="str">
        <f>VLOOKUP(C7,Setup!A:F,6,)</f>
        <v>Air fresheners waterbase RB</v>
      </c>
      <c r="H7" s="11" t="s">
        <v>39</v>
      </c>
      <c r="I7" s="24">
        <v>27720</v>
      </c>
      <c r="J7" s="12">
        <f>3648+24816</f>
        <v>28464</v>
      </c>
      <c r="K7" s="13">
        <v>120</v>
      </c>
      <c r="L7" s="13">
        <v>15</v>
      </c>
      <c r="M7" s="13">
        <v>15</v>
      </c>
      <c r="N7" s="1"/>
      <c r="O7" s="1"/>
      <c r="P7" s="14">
        <f>72-10+241</f>
        <v>303</v>
      </c>
      <c r="Q7" s="1">
        <v>2</v>
      </c>
      <c r="R7" s="1">
        <v>15</v>
      </c>
      <c r="S7" s="1"/>
      <c r="T7" s="1"/>
      <c r="U7" s="1">
        <f>6+2</f>
        <v>8</v>
      </c>
      <c r="V7" s="40">
        <f t="shared" si="2"/>
        <v>7.0259256657064572E-5</v>
      </c>
      <c r="W7" s="40">
        <f t="shared" si="3"/>
        <v>5.267038870746866E-4</v>
      </c>
      <c r="X7" s="40">
        <f t="shared" si="4"/>
        <v>2.8097780275358248E-4</v>
      </c>
      <c r="Y7" s="2">
        <f t="shared" si="0"/>
        <v>0.82361111111111107</v>
      </c>
      <c r="Z7" s="2">
        <f t="shared" si="1"/>
        <v>0.99947329611292535</v>
      </c>
      <c r="AA7" s="2">
        <f t="shared" si="5"/>
        <v>0.82317731193745103</v>
      </c>
      <c r="AB7" s="23"/>
    </row>
    <row r="8" spans="1:28" x14ac:dyDescent="0.25">
      <c r="A8" s="9" t="s">
        <v>24</v>
      </c>
      <c r="B8" s="10" t="s">
        <v>40</v>
      </c>
      <c r="C8" s="10" t="s">
        <v>41</v>
      </c>
      <c r="D8" s="10" t="str">
        <f>VLOOKUP(C8,Setup!A:F,3,)</f>
        <v>Air freshener AIR WICK Japanese Spring Cherry blossoms and Bergamot, 290 ml, new</v>
      </c>
      <c r="E8" s="10" t="str">
        <f>VLOOKUP(C8,Setup!A:F,4,)</f>
        <v>AIR WICK</v>
      </c>
      <c r="F8" s="10" t="str">
        <f>VLOOKUP(C8,Setup!A:F,5,)</f>
        <v>AIR FRESHENERS</v>
      </c>
      <c r="G8" s="10" t="str">
        <f>VLOOKUP(C8,Setup!A:F,6,)</f>
        <v>Air fresheners waterbase RB</v>
      </c>
      <c r="H8" s="11" t="s">
        <v>42</v>
      </c>
      <c r="I8" s="25">
        <v>11550</v>
      </c>
      <c r="J8" s="12">
        <v>11532</v>
      </c>
      <c r="K8" s="13">
        <v>120</v>
      </c>
      <c r="L8" s="13">
        <v>15</v>
      </c>
      <c r="M8" s="13">
        <v>0</v>
      </c>
      <c r="N8" s="1"/>
      <c r="O8" s="1"/>
      <c r="P8" s="14">
        <v>129</v>
      </c>
      <c r="Q8" s="1">
        <f>2+4</f>
        <v>6</v>
      </c>
      <c r="R8" s="1">
        <v>4</v>
      </c>
      <c r="S8" s="1"/>
      <c r="T8" s="1"/>
      <c r="U8" s="1">
        <f>6+2</f>
        <v>8</v>
      </c>
      <c r="V8" s="40">
        <f t="shared" si="2"/>
        <v>5.2002080083203334E-4</v>
      </c>
      <c r="W8" s="40">
        <f t="shared" si="3"/>
        <v>3.4674063800277393E-4</v>
      </c>
      <c r="X8" s="40">
        <f t="shared" si="4"/>
        <v>6.932409012131716E-4</v>
      </c>
      <c r="Y8" s="2">
        <f t="shared" si="0"/>
        <v>0.74496124031007749</v>
      </c>
      <c r="Z8" s="2">
        <f t="shared" si="1"/>
        <v>0.99965325936199723</v>
      </c>
      <c r="AA8" s="2">
        <f t="shared" si="5"/>
        <v>0.74470293197432502</v>
      </c>
      <c r="AB8" s="23"/>
    </row>
    <row r="9" spans="1:28" x14ac:dyDescent="0.25">
      <c r="A9" s="9" t="s">
        <v>24</v>
      </c>
      <c r="B9" s="10" t="s">
        <v>43</v>
      </c>
      <c r="C9" s="10" t="s">
        <v>44</v>
      </c>
      <c r="D9" s="10" t="str">
        <f>VLOOKUP(C9,Setup!A:F,3,)</f>
        <v>Air freshener AIR WICK Moroccan morning Mint leaves and Green tea, 290 ml, new</v>
      </c>
      <c r="E9" s="10" t="str">
        <f>VLOOKUP(C9,Setup!A:F,4,)</f>
        <v>AIR WICK</v>
      </c>
      <c r="F9" s="10" t="str">
        <f>VLOOKUP(C9,Setup!A:F,5,)</f>
        <v>AIR FRESHENERS</v>
      </c>
      <c r="G9" s="10" t="str">
        <f>VLOOKUP(C9,Setup!A:F,6,)</f>
        <v>Air fresheners waterbase RB</v>
      </c>
      <c r="H9" s="11" t="s">
        <v>45</v>
      </c>
      <c r="I9" s="24">
        <v>8076</v>
      </c>
      <c r="J9" s="12">
        <v>8064</v>
      </c>
      <c r="K9" s="13">
        <v>120</v>
      </c>
      <c r="L9" s="13">
        <v>15</v>
      </c>
      <c r="M9" s="13">
        <v>0</v>
      </c>
      <c r="N9" s="1"/>
      <c r="O9" s="1"/>
      <c r="P9" s="14">
        <v>90</v>
      </c>
      <c r="Q9" s="1">
        <f>3+8</f>
        <v>11</v>
      </c>
      <c r="R9" s="1">
        <f>3+1</f>
        <v>4</v>
      </c>
      <c r="S9" s="1"/>
      <c r="T9" s="1"/>
      <c r="U9" s="1">
        <f>6+2</f>
        <v>8</v>
      </c>
      <c r="V9" s="40">
        <f t="shared" si="2"/>
        <v>1.3622291021671827E-3</v>
      </c>
      <c r="W9" s="40">
        <f t="shared" si="3"/>
        <v>4.9578582052553293E-4</v>
      </c>
      <c r="X9" s="40">
        <f t="shared" si="4"/>
        <v>9.9108027750247768E-4</v>
      </c>
      <c r="Y9" s="2">
        <f t="shared" si="0"/>
        <v>0.7466666666666667</v>
      </c>
      <c r="Z9" s="2">
        <f t="shared" si="1"/>
        <v>0.99950421417947444</v>
      </c>
      <c r="AA9" s="2">
        <f t="shared" si="5"/>
        <v>0.74629647992067427</v>
      </c>
      <c r="AB9" s="23"/>
    </row>
    <row r="10" spans="1:28" x14ac:dyDescent="0.25">
      <c r="A10" s="9" t="s">
        <v>24</v>
      </c>
      <c r="B10" s="10" t="s">
        <v>46</v>
      </c>
      <c r="C10" s="10" t="s">
        <v>47</v>
      </c>
      <c r="D10" s="10" t="str">
        <f>VLOOKUP(C10,Setup!A:F,3,)</f>
        <v>Air freshener AIR WICK Freshmatic Delicate silk and lily, 250 ml</v>
      </c>
      <c r="E10" s="10" t="str">
        <f>VLOOKUP(C10,Setup!A:F,4,)</f>
        <v>AIR WICK</v>
      </c>
      <c r="F10" s="10" t="str">
        <f>VLOOKUP(C10,Setup!A:F,5,)</f>
        <v>AIR FRESHENERS</v>
      </c>
      <c r="G10" s="10" t="str">
        <f>VLOOKUP(C10,Setup!A:F,6,)</f>
        <v>Air fresheners refill RB</v>
      </c>
      <c r="H10" s="11" t="s">
        <v>48</v>
      </c>
      <c r="I10" s="24">
        <v>61000</v>
      </c>
      <c r="J10" s="12">
        <f>7974+44670+10590</f>
        <v>63234</v>
      </c>
      <c r="K10" s="13">
        <v>84</v>
      </c>
      <c r="L10" s="13">
        <v>120</v>
      </c>
      <c r="M10" s="13">
        <f>15+60+15</f>
        <v>90</v>
      </c>
      <c r="N10" s="1"/>
      <c r="O10" s="1"/>
      <c r="P10" s="14">
        <f>275-10+735-10+226</f>
        <v>1216</v>
      </c>
      <c r="Q10" s="1">
        <f>7+4</f>
        <v>11</v>
      </c>
      <c r="R10" s="1">
        <f>9+7</f>
        <v>16</v>
      </c>
      <c r="S10" s="1"/>
      <c r="T10" s="1"/>
      <c r="U10" s="1">
        <f>38+2</f>
        <v>40</v>
      </c>
      <c r="V10" s="40">
        <f t="shared" si="2"/>
        <v>1.7392679263182861E-4</v>
      </c>
      <c r="W10" s="40">
        <f t="shared" si="3"/>
        <v>2.5296442687747033E-4</v>
      </c>
      <c r="X10" s="40">
        <f t="shared" si="4"/>
        <v>6.3217119195878248E-4</v>
      </c>
      <c r="Y10" s="2">
        <f t="shared" si="0"/>
        <v>0.66854859172798786</v>
      </c>
      <c r="Z10" s="2">
        <f t="shared" si="1"/>
        <v>0.9997470355731225</v>
      </c>
      <c r="AA10" s="2">
        <f t="shared" si="5"/>
        <v>0.66837947271664166</v>
      </c>
      <c r="AB10" s="23"/>
    </row>
    <row r="11" spans="1:28" x14ac:dyDescent="0.25">
      <c r="A11" s="9" t="s">
        <v>24</v>
      </c>
      <c r="B11" s="10" t="s">
        <v>49</v>
      </c>
      <c r="C11" s="10" t="s">
        <v>50</v>
      </c>
      <c r="D11" s="10" t="str">
        <f>VLOOKUP(C11,Setup!A:F,3,)</f>
        <v>Air freshener AIR WICK Freshmatic Life Scents series Paradise dessert, 250 ml</v>
      </c>
      <c r="E11" s="10" t="str">
        <f>VLOOKUP(C11,Setup!A:F,4,)</f>
        <v>AIR WICK</v>
      </c>
      <c r="F11" s="10" t="str">
        <f>VLOOKUP(C11,Setup!A:F,5,)</f>
        <v>AIR FRESHENERS</v>
      </c>
      <c r="G11" s="10" t="str">
        <f>VLOOKUP(C11,Setup!A:F,6,)</f>
        <v>Air fresheners refill RB</v>
      </c>
      <c r="H11" s="11" t="s">
        <v>51</v>
      </c>
      <c r="I11" s="26">
        <v>26820</v>
      </c>
      <c r="J11" s="12">
        <v>27558</v>
      </c>
      <c r="K11" s="13">
        <v>84</v>
      </c>
      <c r="L11" s="13">
        <v>15</v>
      </c>
      <c r="M11" s="13">
        <v>45</v>
      </c>
      <c r="N11" s="1"/>
      <c r="O11" s="1"/>
      <c r="P11" s="14">
        <v>447</v>
      </c>
      <c r="Q11" s="1">
        <f>8</f>
        <v>8</v>
      </c>
      <c r="R11" s="1">
        <f>11</f>
        <v>11</v>
      </c>
      <c r="S11" s="1"/>
      <c r="T11" s="1"/>
      <c r="U11" s="1">
        <f>23</f>
        <v>23</v>
      </c>
      <c r="V11" s="40">
        <f t="shared" si="2"/>
        <v>2.9021258071537399E-4</v>
      </c>
      <c r="W11" s="40">
        <f t="shared" si="3"/>
        <v>3.9899887554862347E-4</v>
      </c>
      <c r="X11" s="40">
        <f t="shared" si="4"/>
        <v>8.3390740002175405E-4</v>
      </c>
      <c r="Y11" s="2">
        <f t="shared" si="0"/>
        <v>0.81609808102345416</v>
      </c>
      <c r="Z11" s="2">
        <f t="shared" si="1"/>
        <v>0.99960100112445138</v>
      </c>
      <c r="AA11" s="2">
        <f t="shared" si="5"/>
        <v>0.81577245880678839</v>
      </c>
      <c r="AB11" s="23"/>
    </row>
    <row r="12" spans="1:28" x14ac:dyDescent="0.25">
      <c r="A12" s="9" t="s">
        <v>24</v>
      </c>
      <c r="B12" s="10" t="s">
        <v>52</v>
      </c>
      <c r="C12" s="10" t="s">
        <v>53</v>
      </c>
      <c r="D12" s="10" t="str">
        <f>VLOOKUP(C12,Setup!A:F,3,)</f>
        <v>Air freshener AROMA VOYAGE Hello Aroma Verti , Tropical smoothie, 250 ml</v>
      </c>
      <c r="E12" s="10" t="str">
        <f>VLOOKUP(C12,Setup!A:F,4,)</f>
        <v>VERTI</v>
      </c>
      <c r="F12" s="10" t="str">
        <f>VLOOKUP(C12,Setup!A:F,5,)</f>
        <v>AIR FRESHENERS</v>
      </c>
      <c r="G12" s="10" t="str">
        <f>VLOOKUP(C12,Setup!A:F,6,)</f>
        <v xml:space="preserve">Air fresheners refill </v>
      </c>
      <c r="H12" s="11" t="s">
        <v>54</v>
      </c>
      <c r="I12" s="24">
        <v>8500</v>
      </c>
      <c r="J12" s="12">
        <f>8514+6</f>
        <v>8520</v>
      </c>
      <c r="K12" s="13">
        <v>84</v>
      </c>
      <c r="L12" s="13">
        <v>60</v>
      </c>
      <c r="M12" s="13">
        <v>0</v>
      </c>
      <c r="N12" s="1"/>
      <c r="O12" s="1"/>
      <c r="P12" s="14">
        <f>62-10+219</f>
        <v>271</v>
      </c>
      <c r="Q12" s="1"/>
      <c r="R12" s="1">
        <f>7</f>
        <v>7</v>
      </c>
      <c r="S12" s="1"/>
      <c r="T12" s="1"/>
      <c r="U12" s="1">
        <f>6</f>
        <v>6</v>
      </c>
      <c r="V12" s="40">
        <f t="shared" si="2"/>
        <v>0</v>
      </c>
      <c r="W12" s="40">
        <f t="shared" si="3"/>
        <v>8.2092177788202177E-4</v>
      </c>
      <c r="X12" s="40">
        <f t="shared" si="4"/>
        <v>7.0372976776917663E-4</v>
      </c>
      <c r="Y12" s="2">
        <f t="shared" si="0"/>
        <v>0.37427517132314181</v>
      </c>
      <c r="Z12" s="2">
        <f t="shared" si="1"/>
        <v>0.99917907822211793</v>
      </c>
      <c r="AA12" s="2">
        <f t="shared" si="5"/>
        <v>0.37396792068408208</v>
      </c>
      <c r="AB12" s="23"/>
    </row>
    <row r="13" spans="1:28" x14ac:dyDescent="0.25">
      <c r="A13" s="9" t="s">
        <v>24</v>
      </c>
      <c r="B13" s="10" t="s">
        <v>55</v>
      </c>
      <c r="C13" s="10" t="s">
        <v>56</v>
      </c>
      <c r="D13" s="10" t="str">
        <f>VLOOKUP(C13,Setup!A:F,3,)</f>
        <v>Air freshener AROMA VOYAGE Hello Aroma Verti , Altai freshness, 250 ml</v>
      </c>
      <c r="E13" s="10" t="str">
        <f>VLOOKUP(C13,Setup!A:F,4,)</f>
        <v>VERTI</v>
      </c>
      <c r="F13" s="10" t="str">
        <f>VLOOKUP(C13,Setup!A:F,5,)</f>
        <v>AIR FRESHENERS</v>
      </c>
      <c r="G13" s="10" t="str">
        <f>VLOOKUP(C13,Setup!A:F,6,)</f>
        <v xml:space="preserve">Air fresheners refill </v>
      </c>
      <c r="H13" s="11" t="s">
        <v>57</v>
      </c>
      <c r="I13" s="24">
        <v>8500</v>
      </c>
      <c r="J13" s="12">
        <v>8418</v>
      </c>
      <c r="K13" s="13">
        <v>84</v>
      </c>
      <c r="L13" s="13">
        <v>15</v>
      </c>
      <c r="M13" s="13">
        <v>0</v>
      </c>
      <c r="N13" s="1"/>
      <c r="O13" s="1"/>
      <c r="P13" s="14">
        <v>124</v>
      </c>
      <c r="Q13" s="1">
        <f>2</f>
        <v>2</v>
      </c>
      <c r="R13" s="1">
        <f>3</f>
        <v>3</v>
      </c>
      <c r="S13" s="1"/>
      <c r="T13" s="1"/>
      <c r="U13" s="1">
        <f>6</f>
        <v>6</v>
      </c>
      <c r="V13" s="40">
        <f t="shared" si="2"/>
        <v>2.3752969121140142E-4</v>
      </c>
      <c r="W13" s="40">
        <f t="shared" si="3"/>
        <v>3.5625222657641609E-4</v>
      </c>
      <c r="X13" s="40">
        <f t="shared" si="4"/>
        <v>7.1225071225071229E-4</v>
      </c>
      <c r="Y13" s="2">
        <f t="shared" si="0"/>
        <v>0.80817972350230416</v>
      </c>
      <c r="Z13" s="2">
        <f t="shared" si="1"/>
        <v>0.99964374777342357</v>
      </c>
      <c r="AA13" s="2">
        <f t="shared" si="5"/>
        <v>0.80789180767633251</v>
      </c>
      <c r="AB13" s="23"/>
    </row>
    <row r="14" spans="1:28" x14ac:dyDescent="0.25">
      <c r="A14" s="9" t="s">
        <v>24</v>
      </c>
      <c r="B14" s="10" t="s">
        <v>58</v>
      </c>
      <c r="C14" s="10" t="s">
        <v>59</v>
      </c>
      <c r="D14" s="10" t="str">
        <f>VLOOKUP(C14,Setup!A:F,3,)</f>
        <v>Air freshener AROMA VOYAGE Hello Aroma Verti , Chinese orchid, 250 ml</v>
      </c>
      <c r="E14" s="10" t="str">
        <f>VLOOKUP(C14,Setup!A:F,4,)</f>
        <v>VERTI</v>
      </c>
      <c r="F14" s="10" t="str">
        <f>VLOOKUP(C14,Setup!A:F,5,)</f>
        <v>AIR FRESHENERS</v>
      </c>
      <c r="G14" s="10" t="str">
        <f>VLOOKUP(C14,Setup!A:F,6,)</f>
        <v xml:space="preserve">Air fresheners refill </v>
      </c>
      <c r="H14" s="11" t="s">
        <v>60</v>
      </c>
      <c r="I14" s="24">
        <v>8500</v>
      </c>
      <c r="J14" s="12">
        <v>8584</v>
      </c>
      <c r="K14" s="13">
        <v>84</v>
      </c>
      <c r="L14" s="13">
        <v>15</v>
      </c>
      <c r="M14" s="13">
        <v>0</v>
      </c>
      <c r="N14" s="1"/>
      <c r="O14" s="1"/>
      <c r="P14" s="14">
        <v>125</v>
      </c>
      <c r="Q14" s="1">
        <f>1</f>
        <v>1</v>
      </c>
      <c r="R14" s="1">
        <f>3</f>
        <v>3</v>
      </c>
      <c r="S14" s="1"/>
      <c r="T14" s="1"/>
      <c r="U14" s="1">
        <f>6</f>
        <v>6</v>
      </c>
      <c r="V14" s="40">
        <f t="shared" si="2"/>
        <v>1.1648223645894001E-4</v>
      </c>
      <c r="W14" s="40">
        <f t="shared" si="3"/>
        <v>3.4936531966926748E-4</v>
      </c>
      <c r="X14" s="40">
        <f t="shared" si="4"/>
        <v>6.9848661233993018E-4</v>
      </c>
      <c r="Y14" s="2">
        <f t="shared" si="0"/>
        <v>0.81752380952380954</v>
      </c>
      <c r="Z14" s="2">
        <f t="shared" si="1"/>
        <v>0.99965063468033077</v>
      </c>
      <c r="AA14" s="2">
        <f t="shared" si="5"/>
        <v>0.8172381950567581</v>
      </c>
      <c r="AB14" s="23"/>
    </row>
    <row r="15" spans="1:28" x14ac:dyDescent="0.25">
      <c r="A15" s="9" t="s">
        <v>24</v>
      </c>
      <c r="B15" s="10" t="s">
        <v>61</v>
      </c>
      <c r="C15" s="10" t="s">
        <v>62</v>
      </c>
      <c r="D15" s="10" t="str">
        <f>VLOOKUP(C15,Setup!A:F,3,)</f>
        <v>Air freshener AROMA VOYAGE Hello Aroma Verti , Karelian berries, 250 ml</v>
      </c>
      <c r="E15" s="10" t="str">
        <f>VLOOKUP(C15,Setup!A:F,4,)</f>
        <v>VERTI</v>
      </c>
      <c r="F15" s="10" t="str">
        <f>VLOOKUP(C15,Setup!A:F,5,)</f>
        <v>AIR FRESHENERS</v>
      </c>
      <c r="G15" s="10" t="str">
        <f>VLOOKUP(C15,Setup!A:F,6,)</f>
        <v xml:space="preserve">Air fresheners refill </v>
      </c>
      <c r="H15" s="11" t="s">
        <v>63</v>
      </c>
      <c r="I15" s="24">
        <v>8500</v>
      </c>
      <c r="J15" s="12">
        <v>8664</v>
      </c>
      <c r="K15" s="13">
        <v>84</v>
      </c>
      <c r="L15" s="13">
        <v>15</v>
      </c>
      <c r="M15" s="13">
        <v>0</v>
      </c>
      <c r="N15" s="1"/>
      <c r="O15" s="1"/>
      <c r="P15" s="14">
        <v>124</v>
      </c>
      <c r="Q15" s="1">
        <f>5</f>
        <v>5</v>
      </c>
      <c r="R15" s="1"/>
      <c r="S15" s="1"/>
      <c r="T15" s="1"/>
      <c r="U15" s="1">
        <f>6</f>
        <v>6</v>
      </c>
      <c r="V15" s="40">
        <f t="shared" si="2"/>
        <v>5.7676779328642294E-4</v>
      </c>
      <c r="W15" s="40">
        <f t="shared" si="3"/>
        <v>0</v>
      </c>
      <c r="X15" s="40">
        <f t="shared" si="4"/>
        <v>6.9204152249134946E-4</v>
      </c>
      <c r="Y15" s="2">
        <f t="shared" si="0"/>
        <v>0.83179723502304148</v>
      </c>
      <c r="Z15" s="2">
        <f t="shared" si="1"/>
        <v>1</v>
      </c>
      <c r="AA15" s="2">
        <f t="shared" si="5"/>
        <v>0.83179723502304148</v>
      </c>
      <c r="AB15" s="23"/>
    </row>
    <row r="16" spans="1:28" x14ac:dyDescent="0.25">
      <c r="A16" s="9" t="s">
        <v>24</v>
      </c>
      <c r="B16" s="10" t="s">
        <v>64</v>
      </c>
      <c r="C16" s="10" t="s">
        <v>65</v>
      </c>
      <c r="D16" s="10" t="str">
        <f>VLOOKUP(C16,Setup!A:F,3,)</f>
        <v>Air freshener VERTI Vetiver and bamboo, 250 ml</v>
      </c>
      <c r="E16" s="10" t="str">
        <f>VLOOKUP(C16,Setup!A:F,4,)</f>
        <v>VERTI</v>
      </c>
      <c r="F16" s="10" t="str">
        <f>VLOOKUP(C16,Setup!A:F,5,)</f>
        <v>AIR FRESHENERS</v>
      </c>
      <c r="G16" s="10" t="str">
        <f>VLOOKUP(C16,Setup!A:F,6,)</f>
        <v xml:space="preserve">Air fresheners refill </v>
      </c>
      <c r="H16" s="11" t="s">
        <v>66</v>
      </c>
      <c r="I16" s="24">
        <v>10000</v>
      </c>
      <c r="J16" s="12">
        <f>7680+1752+510</f>
        <v>9942</v>
      </c>
      <c r="K16" s="13">
        <v>84</v>
      </c>
      <c r="L16" s="13">
        <v>15</v>
      </c>
      <c r="M16" s="13">
        <v>0</v>
      </c>
      <c r="N16" s="1"/>
      <c r="O16" s="1"/>
      <c r="P16" s="14">
        <f>143-10+10</f>
        <v>143</v>
      </c>
      <c r="Q16" s="1"/>
      <c r="R16" s="1">
        <f>4</f>
        <v>4</v>
      </c>
      <c r="S16" s="1"/>
      <c r="T16" s="1"/>
      <c r="U16" s="1">
        <f>6</f>
        <v>6</v>
      </c>
      <c r="V16" s="40">
        <f t="shared" si="2"/>
        <v>0</v>
      </c>
      <c r="W16" s="40">
        <f t="shared" si="3"/>
        <v>4.0217172732756888E-4</v>
      </c>
      <c r="X16" s="40">
        <f t="shared" si="4"/>
        <v>6.0313630880579007E-4</v>
      </c>
      <c r="Y16" s="2">
        <f t="shared" si="0"/>
        <v>0.82767232767232768</v>
      </c>
      <c r="Z16" s="2">
        <f t="shared" si="1"/>
        <v>0.99959782827267241</v>
      </c>
      <c r="AA16" s="2">
        <f t="shared" si="5"/>
        <v>0.82733946126264646</v>
      </c>
      <c r="AB16" s="23"/>
    </row>
    <row r="17" spans="1:28" x14ac:dyDescent="0.25">
      <c r="A17" s="9" t="s">
        <v>24</v>
      </c>
      <c r="B17" s="10" t="s">
        <v>67</v>
      </c>
      <c r="C17" s="10" t="s">
        <v>68</v>
      </c>
      <c r="D17" s="10" t="str">
        <f>VLOOKUP(C17,Setup!A:F,3,)</f>
        <v>Air freshener VERTI Sea salt and white tree, 250 ml</v>
      </c>
      <c r="E17" s="10" t="str">
        <f>VLOOKUP(C17,Setup!A:F,4,)</f>
        <v>VERTI</v>
      </c>
      <c r="F17" s="10" t="str">
        <f>VLOOKUP(C17,Setup!A:F,5,)</f>
        <v>AIR FRESHENERS</v>
      </c>
      <c r="G17" s="10" t="str">
        <f>VLOOKUP(C17,Setup!A:F,6,)</f>
        <v xml:space="preserve">Air fresheners refill </v>
      </c>
      <c r="H17" s="11" t="s">
        <v>69</v>
      </c>
      <c r="I17" s="24">
        <v>10000</v>
      </c>
      <c r="J17" s="12">
        <v>10044</v>
      </c>
      <c r="K17" s="13">
        <v>84</v>
      </c>
      <c r="L17" s="13">
        <v>15</v>
      </c>
      <c r="M17" s="13">
        <v>0</v>
      </c>
      <c r="N17" s="1"/>
      <c r="O17" s="1"/>
      <c r="P17" s="14">
        <v>139</v>
      </c>
      <c r="Q17" s="1">
        <f>2</f>
        <v>2</v>
      </c>
      <c r="R17" s="1"/>
      <c r="S17" s="1"/>
      <c r="T17" s="1"/>
      <c r="U17" s="1">
        <f>6</f>
        <v>6</v>
      </c>
      <c r="V17" s="40">
        <f t="shared" si="2"/>
        <v>1.9908421262193908E-4</v>
      </c>
      <c r="W17" s="40">
        <f t="shared" si="3"/>
        <v>0</v>
      </c>
      <c r="X17" s="40">
        <f t="shared" si="4"/>
        <v>5.9701492537313433E-4</v>
      </c>
      <c r="Y17" s="2">
        <f t="shared" si="0"/>
        <v>0.86022610483042139</v>
      </c>
      <c r="Z17" s="2">
        <f t="shared" si="1"/>
        <v>1</v>
      </c>
      <c r="AA17" s="2">
        <f t="shared" si="5"/>
        <v>0.86022610483042139</v>
      </c>
      <c r="AB17" s="23"/>
    </row>
    <row r="18" spans="1:28" x14ac:dyDescent="0.25">
      <c r="A18" s="9" t="s">
        <v>24</v>
      </c>
      <c r="B18" s="10" t="s">
        <v>70</v>
      </c>
      <c r="C18" s="10" t="s">
        <v>71</v>
      </c>
      <c r="D18" s="10" t="str">
        <f>VLOOKUP(C18,Setup!A:F,3,)</f>
        <v>Air freshener VERTI Black pepper and orange blossom, 250 ml</v>
      </c>
      <c r="E18" s="10" t="str">
        <f>VLOOKUP(C18,Setup!A:F,4,)</f>
        <v>VERTI</v>
      </c>
      <c r="F18" s="10" t="str">
        <f>VLOOKUP(C18,Setup!A:F,5,)</f>
        <v>AIR FRESHENERS</v>
      </c>
      <c r="G18" s="10" t="str">
        <f>VLOOKUP(C18,Setup!A:F,6,)</f>
        <v xml:space="preserve">Air fresheners refill </v>
      </c>
      <c r="H18" s="11" t="s">
        <v>72</v>
      </c>
      <c r="I18" s="26">
        <v>10000</v>
      </c>
      <c r="J18" s="12">
        <v>10176</v>
      </c>
      <c r="K18" s="13">
        <v>84</v>
      </c>
      <c r="L18" s="13">
        <v>15</v>
      </c>
      <c r="M18" s="13">
        <v>0</v>
      </c>
      <c r="N18" s="1"/>
      <c r="O18" s="1"/>
      <c r="P18" s="14">
        <v>154</v>
      </c>
      <c r="Q18" s="1"/>
      <c r="R18" s="1">
        <f>1</f>
        <v>1</v>
      </c>
      <c r="S18" s="1"/>
      <c r="T18" s="1"/>
      <c r="U18" s="1">
        <f>6</f>
        <v>6</v>
      </c>
      <c r="V18" s="40">
        <f t="shared" si="2"/>
        <v>0</v>
      </c>
      <c r="W18" s="40">
        <f t="shared" si="3"/>
        <v>9.826078412105728E-5</v>
      </c>
      <c r="X18" s="40">
        <f t="shared" si="4"/>
        <v>5.8927519151443723E-4</v>
      </c>
      <c r="Y18" s="2">
        <f t="shared" si="0"/>
        <v>0.7866419294990723</v>
      </c>
      <c r="Z18" s="2">
        <f t="shared" si="1"/>
        <v>0.99990173921587899</v>
      </c>
      <c r="AA18" s="2">
        <f t="shared" si="5"/>
        <v>0.78656463344625727</v>
      </c>
      <c r="AB18" s="23"/>
    </row>
    <row r="19" spans="1:28" x14ac:dyDescent="0.25">
      <c r="A19" s="9" t="s">
        <v>24</v>
      </c>
      <c r="B19" s="10" t="s">
        <v>73</v>
      </c>
      <c r="C19" s="10" t="s">
        <v>74</v>
      </c>
      <c r="D19" s="10" t="str">
        <f>VLOOKUP(C19,Setup!A:F,3,)</f>
        <v>Air freshener VERTI Magnolia, 250 ml</v>
      </c>
      <c r="E19" s="10" t="str">
        <f>VLOOKUP(C19,Setup!A:F,4,)</f>
        <v>VERTI</v>
      </c>
      <c r="F19" s="10" t="str">
        <f>VLOOKUP(C19,Setup!A:F,5,)</f>
        <v>AIR FRESHENERS</v>
      </c>
      <c r="G19" s="10" t="str">
        <f>VLOOKUP(C19,Setup!A:F,6,)</f>
        <v xml:space="preserve">Air fresheners refill </v>
      </c>
      <c r="H19" s="11" t="s">
        <v>75</v>
      </c>
      <c r="I19" s="27">
        <v>10000</v>
      </c>
      <c r="J19" s="12">
        <v>10092</v>
      </c>
      <c r="K19" s="13">
        <v>84</v>
      </c>
      <c r="L19" s="13">
        <v>15</v>
      </c>
      <c r="M19" s="13">
        <v>0</v>
      </c>
      <c r="N19" s="1"/>
      <c r="O19" s="1"/>
      <c r="P19" s="14">
        <v>139</v>
      </c>
      <c r="Q19" s="1"/>
      <c r="R19" s="1">
        <f>3</f>
        <v>3</v>
      </c>
      <c r="S19" s="1"/>
      <c r="T19" s="1"/>
      <c r="U19" s="1">
        <f>6</f>
        <v>6</v>
      </c>
      <c r="V19" s="40">
        <f t="shared" si="2"/>
        <v>0</v>
      </c>
      <c r="W19" s="40">
        <f t="shared" si="3"/>
        <v>2.9717682020802375E-4</v>
      </c>
      <c r="X19" s="40">
        <f t="shared" si="4"/>
        <v>5.941770647653001E-4</v>
      </c>
      <c r="Y19" s="2">
        <f t="shared" si="0"/>
        <v>0.86433710174717371</v>
      </c>
      <c r="Z19" s="2">
        <f t="shared" si="1"/>
        <v>0.99970282317979198</v>
      </c>
      <c r="AA19" s="2">
        <f t="shared" si="5"/>
        <v>0.86408024079568868</v>
      </c>
      <c r="AB19" s="23"/>
    </row>
    <row r="20" spans="1:28" x14ac:dyDescent="0.25">
      <c r="A20" s="9" t="s">
        <v>24</v>
      </c>
      <c r="B20" s="10" t="s">
        <v>76</v>
      </c>
      <c r="C20" s="10" t="s">
        <v>77</v>
      </c>
      <c r="D20" s="10" t="str">
        <f>VLOOKUP(C20,Setup!A:F,3,)</f>
        <v>Air freshener NUZHNIE VESHI Vanilla comfort, 300 ml, N</v>
      </c>
      <c r="E20" s="10" t="str">
        <f>VLOOKUP(C20,Setup!A:F,4,)</f>
        <v>NUZHNYE VESHI</v>
      </c>
      <c r="F20" s="10" t="str">
        <f>VLOOKUP(C20,Setup!A:F,5,)</f>
        <v>AIR FRESHENERS</v>
      </c>
      <c r="G20" s="10" t="str">
        <f>VLOOKUP(C20,Setup!A:F,6,)</f>
        <v>Air fresheners waterbase</v>
      </c>
      <c r="H20" s="11" t="s">
        <v>78</v>
      </c>
      <c r="I20" s="27">
        <v>8954</v>
      </c>
      <c r="J20" s="12">
        <v>9104</v>
      </c>
      <c r="K20" s="13">
        <v>120</v>
      </c>
      <c r="L20" s="13">
        <v>120</v>
      </c>
      <c r="M20" s="13">
        <v>15</v>
      </c>
      <c r="N20" s="1"/>
      <c r="O20" s="1"/>
      <c r="P20" s="14">
        <f>240</f>
        <v>240</v>
      </c>
      <c r="Q20" s="1">
        <f>1</f>
        <v>1</v>
      </c>
      <c r="R20" s="1">
        <f>4</f>
        <v>4</v>
      </c>
      <c r="S20" s="1"/>
      <c r="T20" s="1"/>
      <c r="U20" s="1">
        <f>6</f>
        <v>6</v>
      </c>
      <c r="V20" s="40">
        <f t="shared" si="2"/>
        <v>1.0982976386600769E-4</v>
      </c>
      <c r="W20" s="40">
        <f t="shared" si="3"/>
        <v>4.391743522178305E-4</v>
      </c>
      <c r="X20" s="40">
        <f t="shared" si="4"/>
        <v>6.5861690450054889E-4</v>
      </c>
      <c r="Y20" s="2">
        <f t="shared" si="0"/>
        <v>0.3371851851851852</v>
      </c>
      <c r="Z20" s="2">
        <f t="shared" si="1"/>
        <v>0.99956082564778215</v>
      </c>
      <c r="AA20" s="2">
        <f t="shared" si="5"/>
        <v>0.33703710209990406</v>
      </c>
      <c r="AB20" s="23"/>
    </row>
    <row r="21" spans="1:28" x14ac:dyDescent="0.25">
      <c r="A21" s="9" t="s">
        <v>24</v>
      </c>
      <c r="B21" s="10" t="s">
        <v>79</v>
      </c>
      <c r="C21" s="10" t="s">
        <v>80</v>
      </c>
      <c r="D21" s="10" t="str">
        <f>VLOOKUP(C21,Setup!A:F,3,)</f>
        <v>Air freshener NUZHNIE VESHI Kiwi grapes. antitobacco, 300 ml, N</v>
      </c>
      <c r="E21" s="10" t="str">
        <f>VLOOKUP(C21,Setup!A:F,4,)</f>
        <v>NUZHNYE VESHI</v>
      </c>
      <c r="F21" s="10" t="str">
        <f>VLOOKUP(C21,Setup!A:F,5,)</f>
        <v>AIR FRESHENERS</v>
      </c>
      <c r="G21" s="10" t="str">
        <f>VLOOKUP(C21,Setup!A:F,6,)</f>
        <v>Air fresheners waterbase</v>
      </c>
      <c r="H21" s="11" t="s">
        <v>81</v>
      </c>
      <c r="I21" s="27">
        <v>12866</v>
      </c>
      <c r="J21" s="12">
        <f>1944+216+10896</f>
        <v>13056</v>
      </c>
      <c r="K21" s="13">
        <v>120</v>
      </c>
      <c r="L21" s="13">
        <v>15</v>
      </c>
      <c r="M21" s="13">
        <v>0</v>
      </c>
      <c r="N21" s="1"/>
      <c r="O21" s="1"/>
      <c r="P21" s="14">
        <f>53-10+98</f>
        <v>141</v>
      </c>
      <c r="Q21" s="1"/>
      <c r="R21" s="1">
        <f>1</f>
        <v>1</v>
      </c>
      <c r="S21" s="1"/>
      <c r="T21" s="1"/>
      <c r="U21" s="1">
        <f>6</f>
        <v>6</v>
      </c>
      <c r="V21" s="40">
        <f t="shared" si="2"/>
        <v>0</v>
      </c>
      <c r="W21" s="40">
        <f t="shared" si="3"/>
        <v>7.6587271195527302E-5</v>
      </c>
      <c r="X21" s="40">
        <f t="shared" si="4"/>
        <v>4.5934772622875517E-4</v>
      </c>
      <c r="Y21" s="2">
        <f t="shared" si="0"/>
        <v>0.77163120567375887</v>
      </c>
      <c r="Z21" s="2">
        <f t="shared" si="1"/>
        <v>0.99992341272880447</v>
      </c>
      <c r="AA21" s="2">
        <f t="shared" si="5"/>
        <v>0.77157210854534697</v>
      </c>
      <c r="AB21" s="23"/>
    </row>
    <row r="22" spans="1:28" x14ac:dyDescent="0.25">
      <c r="A22" s="9" t="s">
        <v>24</v>
      </c>
      <c r="B22" s="10" t="s">
        <v>82</v>
      </c>
      <c r="C22" s="10" t="s">
        <v>83</v>
      </c>
      <c r="D22" s="10" t="str">
        <f>VLOOKUP(C22,Setup!A:F,3,)</f>
        <v>Air freshener NUZHNIE VISHI Lime and cinnanmon, 300 ml, N</v>
      </c>
      <c r="E22" s="10" t="str">
        <f>VLOOKUP(C22,Setup!A:F,4,)</f>
        <v>NUZHNYE VESHI</v>
      </c>
      <c r="F22" s="10" t="str">
        <f>VLOOKUP(C22,Setup!A:F,5,)</f>
        <v>AIR FRESHENERS</v>
      </c>
      <c r="G22" s="10" t="str">
        <f>VLOOKUP(C22,Setup!A:F,6,)</f>
        <v>Air fresheners waterbase</v>
      </c>
      <c r="H22" s="11" t="s">
        <v>84</v>
      </c>
      <c r="I22" s="27">
        <v>9756</v>
      </c>
      <c r="J22" s="12">
        <f>2360+7580</f>
        <v>9940</v>
      </c>
      <c r="K22" s="13">
        <v>120</v>
      </c>
      <c r="L22" s="13">
        <v>15</v>
      </c>
      <c r="M22" s="13">
        <v>0</v>
      </c>
      <c r="N22" s="1"/>
      <c r="O22" s="1"/>
      <c r="P22" s="14">
        <v>100</v>
      </c>
      <c r="Q22" s="1">
        <v>3</v>
      </c>
      <c r="R22" s="1">
        <v>2</v>
      </c>
      <c r="S22" s="1"/>
      <c r="T22" s="1"/>
      <c r="U22" s="1">
        <v>6</v>
      </c>
      <c r="V22" s="40">
        <f t="shared" si="2"/>
        <v>3.0171980287639546E-4</v>
      </c>
      <c r="W22" s="40">
        <f t="shared" si="3"/>
        <v>2.011667672500503E-4</v>
      </c>
      <c r="X22" s="40">
        <f t="shared" si="4"/>
        <v>6.0325759099135335E-4</v>
      </c>
      <c r="Y22" s="2">
        <f t="shared" si="0"/>
        <v>0.82833333333333337</v>
      </c>
      <c r="Z22" s="2">
        <f t="shared" si="1"/>
        <v>0.99979883323274998</v>
      </c>
      <c r="AA22" s="2">
        <f t="shared" si="5"/>
        <v>0.82816670019446126</v>
      </c>
      <c r="AB22" s="23"/>
    </row>
    <row r="23" spans="1:28" x14ac:dyDescent="0.25">
      <c r="A23" s="9" t="s">
        <v>24</v>
      </c>
      <c r="B23" s="10" t="s">
        <v>85</v>
      </c>
      <c r="C23" s="10" t="s">
        <v>86</v>
      </c>
      <c r="D23" s="10" t="str">
        <f>VLOOKUP(C23,Setup!A:F,3,)</f>
        <v>Air freshener NUZHNIE VESHI Queen of flowers, 300 ml, N</v>
      </c>
      <c r="E23" s="10" t="str">
        <f>VLOOKUP(C23,Setup!A:F,4,)</f>
        <v>NUZHNYE VESHI</v>
      </c>
      <c r="F23" s="10" t="str">
        <f>VLOOKUP(C23,Setup!A:F,5,)</f>
        <v>AIR FRESHENERS</v>
      </c>
      <c r="G23" s="10" t="str">
        <f>VLOOKUP(C23,Setup!A:F,6,)</f>
        <v>Air fresheners waterbase</v>
      </c>
      <c r="H23" s="11" t="s">
        <v>87</v>
      </c>
      <c r="I23" s="27">
        <v>9832</v>
      </c>
      <c r="J23" s="12">
        <f>5288+4752+6</f>
        <v>10046</v>
      </c>
      <c r="K23" s="13">
        <v>120</v>
      </c>
      <c r="L23" s="13">
        <v>30</v>
      </c>
      <c r="M23" s="13">
        <v>0</v>
      </c>
      <c r="N23" s="1"/>
      <c r="O23" s="1"/>
      <c r="P23" s="14">
        <v>94</v>
      </c>
      <c r="Q23" s="1">
        <v>4</v>
      </c>
      <c r="R23" s="1">
        <v>3</v>
      </c>
      <c r="S23" s="1"/>
      <c r="T23" s="1"/>
      <c r="U23" s="1">
        <v>6</v>
      </c>
      <c r="V23" s="40">
        <f t="shared" si="2"/>
        <v>3.980099502487562E-4</v>
      </c>
      <c r="W23" s="40">
        <f t="shared" si="3"/>
        <v>2.9853716787740076E-4</v>
      </c>
      <c r="X23" s="40">
        <f t="shared" si="4"/>
        <v>5.9689614007162755E-4</v>
      </c>
      <c r="Y23" s="2">
        <f t="shared" si="0"/>
        <v>0.89060283687943265</v>
      </c>
      <c r="Z23" s="2">
        <f t="shared" si="1"/>
        <v>0.99970146283212258</v>
      </c>
      <c r="AA23" s="2">
        <f t="shared" si="5"/>
        <v>0.8903369588308071</v>
      </c>
      <c r="AB23" s="23"/>
    </row>
    <row r="24" spans="1:28" x14ac:dyDescent="0.25">
      <c r="A24" s="9" t="s">
        <v>24</v>
      </c>
      <c r="B24" s="10" t="s">
        <v>88</v>
      </c>
      <c r="C24" s="10" t="s">
        <v>89</v>
      </c>
      <c r="D24" s="10" t="str">
        <f>VLOOKUP(C24,Setup!A:F,3,)</f>
        <v>Air freshener NUZHNIE VESHI Summer rain, 300 ml, N</v>
      </c>
      <c r="E24" s="10" t="str">
        <f>VLOOKUP(C24,Setup!A:F,4,)</f>
        <v>NUZHNYE VESHI</v>
      </c>
      <c r="F24" s="10" t="str">
        <f>VLOOKUP(C24,Setup!A:F,5,)</f>
        <v>AIR FRESHENERS</v>
      </c>
      <c r="G24" s="10" t="str">
        <f>VLOOKUP(C24,Setup!A:F,6,)</f>
        <v>Air fresheners waterbase</v>
      </c>
      <c r="H24" s="11" t="s">
        <v>90</v>
      </c>
      <c r="I24" s="28">
        <v>10139</v>
      </c>
      <c r="J24" s="12">
        <v>10154</v>
      </c>
      <c r="K24" s="13">
        <v>60</v>
      </c>
      <c r="L24" s="13">
        <v>15</v>
      </c>
      <c r="M24" s="13">
        <v>0</v>
      </c>
      <c r="N24" s="1"/>
      <c r="O24" s="1"/>
      <c r="P24" s="14">
        <v>150</v>
      </c>
      <c r="Q24" s="1">
        <v>9</v>
      </c>
      <c r="R24" s="1">
        <v>1</v>
      </c>
      <c r="S24" s="1"/>
      <c r="T24" s="1"/>
      <c r="U24" s="1">
        <v>6</v>
      </c>
      <c r="V24" s="40">
        <f t="shared" si="2"/>
        <v>8.8556528584079509E-4</v>
      </c>
      <c r="W24" s="40">
        <f t="shared" si="3"/>
        <v>9.8473658296405713E-5</v>
      </c>
      <c r="X24" s="40">
        <f t="shared" si="4"/>
        <v>5.905511811023622E-4</v>
      </c>
      <c r="Y24" s="2">
        <f t="shared" si="0"/>
        <v>1.1282222222222222</v>
      </c>
      <c r="Z24" s="2">
        <f t="shared" si="1"/>
        <v>0.99990152634170359</v>
      </c>
      <c r="AA24" s="2">
        <f t="shared" si="5"/>
        <v>1.1281111220526288</v>
      </c>
      <c r="AB24" s="1" t="s">
        <v>4859</v>
      </c>
    </row>
    <row r="25" spans="1:28" x14ac:dyDescent="0.25">
      <c r="A25" s="9" t="s">
        <v>24</v>
      </c>
      <c r="B25" s="10" t="s">
        <v>91</v>
      </c>
      <c r="C25" s="10" t="s">
        <v>92</v>
      </c>
      <c r="D25" s="10" t="str">
        <f>VLOOKUP(C25,Setup!A:F,3,)</f>
        <v>Air freshener NUZHNIE VESHI Gentle freesia, 300 ml, N</v>
      </c>
      <c r="E25" s="10" t="str">
        <f>VLOOKUP(C25,Setup!A:F,4,)</f>
        <v>NUZHNYE VESHI</v>
      </c>
      <c r="F25" s="10" t="str">
        <f>VLOOKUP(C25,Setup!A:F,5,)</f>
        <v>AIR FRESHENERS</v>
      </c>
      <c r="G25" s="10" t="str">
        <f>VLOOKUP(C25,Setup!A:F,6,)</f>
        <v>Air fresheners waterbase</v>
      </c>
      <c r="H25" s="11" t="s">
        <v>93</v>
      </c>
      <c r="I25" s="27">
        <v>13229</v>
      </c>
      <c r="J25" s="12">
        <v>13532</v>
      </c>
      <c r="K25" s="13">
        <v>60</v>
      </c>
      <c r="L25" s="13">
        <v>15</v>
      </c>
      <c r="M25" s="13">
        <v>0</v>
      </c>
      <c r="N25" s="1"/>
      <c r="O25" s="1"/>
      <c r="P25" s="14">
        <v>242</v>
      </c>
      <c r="Q25" s="1">
        <v>6</v>
      </c>
      <c r="R25" s="1">
        <v>1</v>
      </c>
      <c r="S25" s="1"/>
      <c r="T25" s="1"/>
      <c r="U25" s="1">
        <v>6</v>
      </c>
      <c r="V25" s="40">
        <f t="shared" si="2"/>
        <v>4.4319692716797166E-4</v>
      </c>
      <c r="W25" s="40">
        <f t="shared" si="3"/>
        <v>7.3893445651370724E-5</v>
      </c>
      <c r="X25" s="40">
        <f t="shared" si="4"/>
        <v>4.4319692716797166E-4</v>
      </c>
      <c r="Y25" s="2">
        <f t="shared" si="0"/>
        <v>0.93195592286501372</v>
      </c>
      <c r="Z25" s="2">
        <f t="shared" si="1"/>
        <v>0.99992610655434866</v>
      </c>
      <c r="AA25" s="2">
        <f t="shared" si="5"/>
        <v>0.93188705743067801</v>
      </c>
      <c r="AB25" s="1" t="s">
        <v>4859</v>
      </c>
    </row>
    <row r="26" spans="1:28" x14ac:dyDescent="0.25">
      <c r="A26" s="9" t="s">
        <v>24</v>
      </c>
      <c r="B26" s="10" t="s">
        <v>31</v>
      </c>
      <c r="C26" s="10" t="s">
        <v>32</v>
      </c>
      <c r="D26" s="10" t="str">
        <f>VLOOKUP(C26,Setup!A:F,3,)</f>
        <v>Air freshener AIR WICK Spanish holidays Grapefruit and Blooming lime, 290 ml, new</v>
      </c>
      <c r="E26" s="10" t="str">
        <f>VLOOKUP(C26,Setup!A:F,4,)</f>
        <v>AIR WICK</v>
      </c>
      <c r="F26" s="10" t="str">
        <f>VLOOKUP(C26,Setup!A:F,5,)</f>
        <v>AIR FRESHENERS</v>
      </c>
      <c r="G26" s="10" t="str">
        <f>VLOOKUP(C26,Setup!A:F,6,)</f>
        <v>Air fresheners waterbase RB</v>
      </c>
      <c r="H26" s="11" t="s">
        <v>94</v>
      </c>
      <c r="I26" s="24">
        <v>13608</v>
      </c>
      <c r="J26" s="12">
        <v>13608</v>
      </c>
      <c r="K26" s="13">
        <v>120</v>
      </c>
      <c r="L26" s="13">
        <v>30</v>
      </c>
      <c r="M26" s="13">
        <v>0</v>
      </c>
      <c r="N26" s="1"/>
      <c r="O26" s="1"/>
      <c r="P26" s="14">
        <f>51-10+200</f>
        <v>241</v>
      </c>
      <c r="Q26" s="1">
        <v>8</v>
      </c>
      <c r="R26" s="1">
        <f>5+4</f>
        <v>9</v>
      </c>
      <c r="S26" s="1"/>
      <c r="T26" s="1"/>
      <c r="U26" s="1">
        <v>8</v>
      </c>
      <c r="V26" s="40">
        <f t="shared" si="2"/>
        <v>5.8754406580493535E-4</v>
      </c>
      <c r="W26" s="40">
        <f t="shared" si="3"/>
        <v>6.6093853271645734E-4</v>
      </c>
      <c r="X26" s="40">
        <f t="shared" si="4"/>
        <v>5.8754406580493535E-4</v>
      </c>
      <c r="Y26" s="2">
        <f t="shared" si="0"/>
        <v>0.47053941908713692</v>
      </c>
      <c r="Z26" s="2">
        <f t="shared" si="1"/>
        <v>0.99933906146728357</v>
      </c>
      <c r="AA26" s="2">
        <f t="shared" si="5"/>
        <v>0.47022842145390026</v>
      </c>
      <c r="AB26" s="1"/>
    </row>
    <row r="27" spans="1:28" x14ac:dyDescent="0.25">
      <c r="A27" s="9" t="s">
        <v>24</v>
      </c>
      <c r="B27" s="10" t="s">
        <v>31</v>
      </c>
      <c r="C27" s="10" t="s">
        <v>32</v>
      </c>
      <c r="D27" s="10" t="str">
        <f>VLOOKUP(C27,Setup!A:F,3,)</f>
        <v>Air freshener AIR WICK Spanish holidays Grapefruit and Blooming lime, 290 ml, new</v>
      </c>
      <c r="E27" s="10" t="str">
        <f>VLOOKUP(C27,Setup!A:F,4,)</f>
        <v>AIR WICK</v>
      </c>
      <c r="F27" s="10" t="str">
        <f>VLOOKUP(C27,Setup!A:F,5,)</f>
        <v>AIR FRESHENERS</v>
      </c>
      <c r="G27" s="10" t="str">
        <f>VLOOKUP(C27,Setup!A:F,6,)</f>
        <v>Air fresheners waterbase RB</v>
      </c>
      <c r="H27" s="11" t="s">
        <v>95</v>
      </c>
      <c r="I27" s="24">
        <v>18480</v>
      </c>
      <c r="J27" s="12">
        <v>18672</v>
      </c>
      <c r="K27" s="13">
        <v>120</v>
      </c>
      <c r="L27" s="13">
        <v>0</v>
      </c>
      <c r="M27" s="13">
        <v>0</v>
      </c>
      <c r="N27" s="1"/>
      <c r="O27" s="1"/>
      <c r="P27" s="14">
        <v>200</v>
      </c>
      <c r="Q27" s="1">
        <v>12</v>
      </c>
      <c r="R27" s="1">
        <v>15</v>
      </c>
      <c r="S27" s="1"/>
      <c r="T27" s="1"/>
      <c r="U27" s="1">
        <v>8</v>
      </c>
      <c r="V27" s="40">
        <f t="shared" si="2"/>
        <v>6.4226075786769424E-4</v>
      </c>
      <c r="W27" s="40">
        <f t="shared" si="3"/>
        <v>8.0269706212875256E-4</v>
      </c>
      <c r="X27" s="40">
        <f t="shared" si="4"/>
        <v>4.2826552462526765E-4</v>
      </c>
      <c r="Y27" s="2">
        <f t="shared" si="0"/>
        <v>0.77800000000000002</v>
      </c>
      <c r="Z27" s="2">
        <f t="shared" si="1"/>
        <v>0.99919730293787123</v>
      </c>
      <c r="AA27" s="2">
        <f t="shared" si="5"/>
        <v>0.77737550168566383</v>
      </c>
      <c r="AB27" s="1"/>
    </row>
    <row r="28" spans="1:28" x14ac:dyDescent="0.25">
      <c r="A28" s="9" t="s">
        <v>24</v>
      </c>
      <c r="B28" s="10" t="s">
        <v>35</v>
      </c>
      <c r="C28" s="10" t="s">
        <v>36</v>
      </c>
      <c r="D28" s="10" t="str">
        <f>VLOOKUP(C28,Setup!A:F,3,)</f>
        <v>Air freshener AIR WICK Maldivian Dreams Tropical flowers and Patchouli, 290 ml, new</v>
      </c>
      <c r="E28" s="10" t="str">
        <f>VLOOKUP(C28,Setup!A:F,4,)</f>
        <v>AIR WICK</v>
      </c>
      <c r="F28" s="10" t="str">
        <f>VLOOKUP(C28,Setup!A:F,5,)</f>
        <v>AIR FRESHENERS</v>
      </c>
      <c r="G28" s="10" t="str">
        <f>VLOOKUP(C28,Setup!A:F,6,)</f>
        <v>Air fresheners waterbase RB</v>
      </c>
      <c r="H28" s="11" t="s">
        <v>94</v>
      </c>
      <c r="I28" s="24">
        <v>27216</v>
      </c>
      <c r="J28" s="12">
        <f>27216+100</f>
        <v>27316</v>
      </c>
      <c r="K28" s="13">
        <v>90</v>
      </c>
      <c r="L28" s="13">
        <v>30</v>
      </c>
      <c r="M28" s="13">
        <v>15</v>
      </c>
      <c r="N28" s="1"/>
      <c r="O28" s="1"/>
      <c r="P28" s="14">
        <v>306</v>
      </c>
      <c r="Q28" s="1">
        <v>12</v>
      </c>
      <c r="R28" s="1">
        <v>6</v>
      </c>
      <c r="S28" s="1"/>
      <c r="T28" s="1"/>
      <c r="U28" s="1">
        <v>8</v>
      </c>
      <c r="V28" s="40">
        <f t="shared" si="2"/>
        <v>4.3911007025761124E-4</v>
      </c>
      <c r="W28" s="40">
        <f t="shared" si="3"/>
        <v>2.196032501281019E-4</v>
      </c>
      <c r="X28" s="40">
        <f t="shared" si="4"/>
        <v>2.9278290147855365E-4</v>
      </c>
      <c r="Y28" s="2">
        <f t="shared" si="0"/>
        <v>1.0429935089728903</v>
      </c>
      <c r="Z28" s="2">
        <f t="shared" si="1"/>
        <v>0.99978039674987185</v>
      </c>
      <c r="AA28" s="2">
        <f t="shared" si="5"/>
        <v>1.0427644642084573</v>
      </c>
      <c r="AB28" s="1"/>
    </row>
    <row r="29" spans="1:28" x14ac:dyDescent="0.25">
      <c r="A29" s="9" t="s">
        <v>24</v>
      </c>
      <c r="B29" s="10" t="s">
        <v>37</v>
      </c>
      <c r="C29" s="10" t="s">
        <v>38</v>
      </c>
      <c r="D29" s="10" t="str">
        <f>VLOOKUP(C29,Setup!A:F,3,)</f>
        <v>Air freshener AIR WICK Maldivian Dreams Tropical flowers and Patchouli, 290 ml, new</v>
      </c>
      <c r="E29" s="10" t="str">
        <f>VLOOKUP(C29,Setup!A:F,4,)</f>
        <v>AIR WICK</v>
      </c>
      <c r="F29" s="10" t="str">
        <f>VLOOKUP(C29,Setup!A:F,5,)</f>
        <v>AIR FRESHENERS</v>
      </c>
      <c r="G29" s="10" t="str">
        <f>VLOOKUP(C29,Setup!A:F,6,)</f>
        <v>Air fresheners waterbase RB</v>
      </c>
      <c r="H29" s="11" t="s">
        <v>96</v>
      </c>
      <c r="I29" s="24">
        <v>23100</v>
      </c>
      <c r="J29" s="12">
        <v>23508</v>
      </c>
      <c r="K29" s="13">
        <v>120</v>
      </c>
      <c r="L29" s="13">
        <v>0</v>
      </c>
      <c r="M29" s="13">
        <v>0</v>
      </c>
      <c r="N29" s="1"/>
      <c r="O29" s="1"/>
      <c r="P29" s="14">
        <f>29-10+234</f>
        <v>253</v>
      </c>
      <c r="Q29" s="1">
        <v>2</v>
      </c>
      <c r="R29" s="1">
        <v>2</v>
      </c>
      <c r="S29" s="1"/>
      <c r="T29" s="1"/>
      <c r="U29" s="1">
        <v>8</v>
      </c>
      <c r="V29" s="40">
        <f t="shared" si="2"/>
        <v>8.507018290089324E-5</v>
      </c>
      <c r="W29" s="40">
        <f t="shared" si="3"/>
        <v>8.507018290089324E-5</v>
      </c>
      <c r="X29" s="40">
        <f t="shared" si="4"/>
        <v>3.4019391052900151E-4</v>
      </c>
      <c r="Y29" s="2">
        <f t="shared" si="0"/>
        <v>0.77430830039525689</v>
      </c>
      <c r="Z29" s="2">
        <f t="shared" si="1"/>
        <v>0.99991492981709906</v>
      </c>
      <c r="AA29" s="2">
        <f t="shared" si="5"/>
        <v>0.77424242984652059</v>
      </c>
      <c r="AB29" s="1"/>
    </row>
    <row r="30" spans="1:28" x14ac:dyDescent="0.25">
      <c r="A30" s="9" t="s">
        <v>24</v>
      </c>
      <c r="B30" s="10" t="s">
        <v>25</v>
      </c>
      <c r="C30" s="10" t="s">
        <v>26</v>
      </c>
      <c r="D30" s="10" t="str">
        <f>VLOOKUP(C30,Setup!A:F,3,)</f>
        <v>Air freshener AIR WICK French Riviera Sea wave and Light breeze, 290 ml, new</v>
      </c>
      <c r="E30" s="10" t="str">
        <f>VLOOKUP(C30,Setup!A:F,4,)</f>
        <v>AIR WICK</v>
      </c>
      <c r="F30" s="10" t="str">
        <f>VLOOKUP(C30,Setup!A:F,5,)</f>
        <v>AIR FRESHENERS</v>
      </c>
      <c r="G30" s="10" t="str">
        <f>VLOOKUP(C30,Setup!A:F,6,)</f>
        <v>Air fresheners waterbase RB</v>
      </c>
      <c r="H30" s="11" t="s">
        <v>97</v>
      </c>
      <c r="I30" s="24">
        <v>25717</v>
      </c>
      <c r="J30" s="12">
        <v>25668</v>
      </c>
      <c r="K30" s="13">
        <v>120</v>
      </c>
      <c r="L30" s="13">
        <v>15</v>
      </c>
      <c r="M30" s="13">
        <v>0</v>
      </c>
      <c r="N30" s="1"/>
      <c r="O30" s="1"/>
      <c r="P30" s="14">
        <v>261</v>
      </c>
      <c r="Q30" s="1">
        <v>22</v>
      </c>
      <c r="R30" s="1">
        <f>16+5</f>
        <v>21</v>
      </c>
      <c r="S30" s="1"/>
      <c r="T30" s="1"/>
      <c r="U30" s="1">
        <v>8</v>
      </c>
      <c r="V30" s="40">
        <f t="shared" si="2"/>
        <v>8.5636434410276373E-4</v>
      </c>
      <c r="W30" s="40">
        <f t="shared" si="3"/>
        <v>8.1747051267079291E-4</v>
      </c>
      <c r="X30" s="40">
        <f t="shared" si="4"/>
        <v>3.1157501168406292E-4</v>
      </c>
      <c r="Y30" s="2">
        <f t="shared" si="0"/>
        <v>0.81954022988505748</v>
      </c>
      <c r="Z30" s="2">
        <f t="shared" si="1"/>
        <v>0.99918252948732922</v>
      </c>
      <c r="AA30" s="2">
        <f t="shared" si="5"/>
        <v>0.81887027991317907</v>
      </c>
      <c r="AB30" s="1"/>
    </row>
    <row r="31" spans="1:28" x14ac:dyDescent="0.25">
      <c r="A31" s="9" t="s">
        <v>24</v>
      </c>
      <c r="B31" s="10" t="s">
        <v>28</v>
      </c>
      <c r="C31" s="10" t="s">
        <v>29</v>
      </c>
      <c r="D31" s="10" t="str">
        <f>VLOOKUP(C31,Setup!A:F,3,)</f>
        <v>Air freshener AIR WICK Swiss Alps Morning Dew and Green Forest, 290 ml, new</v>
      </c>
      <c r="E31" s="10" t="str">
        <f>VLOOKUP(C31,Setup!A:F,4,)</f>
        <v>AIR WICK</v>
      </c>
      <c r="F31" s="10" t="str">
        <f>VLOOKUP(C31,Setup!A:F,5,)</f>
        <v>AIR FRESHENERS</v>
      </c>
      <c r="G31" s="10" t="str">
        <f>VLOOKUP(C31,Setup!A:F,6,)</f>
        <v>Air fresheners waterbase RB</v>
      </c>
      <c r="H31" s="11" t="s">
        <v>98</v>
      </c>
      <c r="I31" s="24">
        <v>13229</v>
      </c>
      <c r="J31" s="12">
        <v>11412</v>
      </c>
      <c r="K31" s="13">
        <v>120</v>
      </c>
      <c r="L31" s="13">
        <v>15</v>
      </c>
      <c r="M31" s="13">
        <v>15</v>
      </c>
      <c r="N31" s="1"/>
      <c r="O31" s="1"/>
      <c r="P31" s="14">
        <v>138</v>
      </c>
      <c r="Q31" s="1">
        <v>1</v>
      </c>
      <c r="R31" s="1">
        <v>6</v>
      </c>
      <c r="S31" s="1"/>
      <c r="T31" s="1"/>
      <c r="U31" s="1">
        <v>8</v>
      </c>
      <c r="V31" s="40">
        <f t="shared" si="2"/>
        <v>8.7619381407167272E-5</v>
      </c>
      <c r="W31" s="40">
        <f t="shared" si="3"/>
        <v>5.2548607461902258E-4</v>
      </c>
      <c r="X31" s="40">
        <f t="shared" si="4"/>
        <v>7.0052539404553418E-4</v>
      </c>
      <c r="Y31" s="2">
        <f t="shared" si="0"/>
        <v>0.77317073170731709</v>
      </c>
      <c r="Z31" s="2">
        <f t="shared" si="1"/>
        <v>0.999474513925381</v>
      </c>
      <c r="AA31" s="2">
        <f t="shared" si="5"/>
        <v>0.77276444125450194</v>
      </c>
      <c r="AB31" s="1"/>
    </row>
    <row r="32" spans="1:28" x14ac:dyDescent="0.25">
      <c r="A32" s="9" t="s">
        <v>24</v>
      </c>
      <c r="B32" s="10" t="s">
        <v>99</v>
      </c>
      <c r="C32" s="10" t="s">
        <v>100</v>
      </c>
      <c r="D32" s="10" t="str">
        <f>VLOOKUP(C32,Setup!A:F,3,)</f>
        <v>Air freshener AIR WICK Baikal freshness Fresh air and Delicate lily of the valley, 290 ml, new</v>
      </c>
      <c r="E32" s="10" t="str">
        <f>VLOOKUP(C32,Setup!A:F,4,)</f>
        <v>AIR WICK</v>
      </c>
      <c r="F32" s="10" t="str">
        <f>VLOOKUP(C32,Setup!A:F,5,)</f>
        <v>AIR FRESHENERS</v>
      </c>
      <c r="G32" s="10" t="str">
        <f>VLOOKUP(C32,Setup!A:F,6,)</f>
        <v>Air fresheners waterbase RB</v>
      </c>
      <c r="H32" s="11" t="s">
        <v>101</v>
      </c>
      <c r="I32" s="24">
        <v>6930</v>
      </c>
      <c r="J32" s="12">
        <v>6900</v>
      </c>
      <c r="K32" s="13">
        <v>120</v>
      </c>
      <c r="L32" s="13">
        <v>15</v>
      </c>
      <c r="M32" s="13">
        <v>0</v>
      </c>
      <c r="N32" s="1"/>
      <c r="O32" s="1"/>
      <c r="P32" s="14">
        <v>75</v>
      </c>
      <c r="Q32" s="1">
        <f>2+5</f>
        <v>7</v>
      </c>
      <c r="R32" s="1">
        <v>9</v>
      </c>
      <c r="S32" s="1"/>
      <c r="T32" s="1"/>
      <c r="U32" s="1">
        <v>8</v>
      </c>
      <c r="V32" s="40">
        <f t="shared" si="2"/>
        <v>1.0134646011292891E-3</v>
      </c>
      <c r="W32" s="40">
        <f t="shared" si="3"/>
        <v>1.3026487190620929E-3</v>
      </c>
      <c r="X32" s="40">
        <f t="shared" si="4"/>
        <v>1.1580775911986102E-3</v>
      </c>
      <c r="Y32" s="2">
        <f t="shared" si="0"/>
        <v>0.76666666666666672</v>
      </c>
      <c r="Z32" s="2">
        <f t="shared" si="1"/>
        <v>0.99869735128093795</v>
      </c>
      <c r="AA32" s="2">
        <f t="shared" si="5"/>
        <v>0.76566796931538583</v>
      </c>
      <c r="AB32" s="1"/>
    </row>
    <row r="33" spans="1:28" x14ac:dyDescent="0.25">
      <c r="A33" s="9" t="s">
        <v>24</v>
      </c>
      <c r="B33" s="10" t="s">
        <v>102</v>
      </c>
      <c r="C33" s="10" t="s">
        <v>103</v>
      </c>
      <c r="D33" s="10" t="str">
        <f>VLOOKUP(C33,Setup!A:F,3,)</f>
        <v>Air freshener AIR WICK Hawaiian Rhythm Kiwi and apple, 290 ml, new</v>
      </c>
      <c r="E33" s="10" t="str">
        <f>VLOOKUP(C33,Setup!A:F,4,)</f>
        <v>AIR WICK</v>
      </c>
      <c r="F33" s="10" t="str">
        <f>VLOOKUP(C33,Setup!A:F,5,)</f>
        <v>AIR FRESHENERS</v>
      </c>
      <c r="G33" s="10" t="str">
        <f>VLOOKUP(C33,Setup!A:F,6,)</f>
        <v>Air fresheners waterbase RB</v>
      </c>
      <c r="H33" s="11" t="s">
        <v>104</v>
      </c>
      <c r="I33" s="24">
        <v>11550</v>
      </c>
      <c r="J33" s="12">
        <v>10188</v>
      </c>
      <c r="K33" s="13">
        <v>120</v>
      </c>
      <c r="L33" s="13">
        <v>15</v>
      </c>
      <c r="M33" s="13">
        <v>0</v>
      </c>
      <c r="N33" s="1"/>
      <c r="O33" s="1"/>
      <c r="P33" s="14">
        <f>17+10-10+110</f>
        <v>127</v>
      </c>
      <c r="Q33" s="1">
        <v>22</v>
      </c>
      <c r="R33" s="1">
        <v>7</v>
      </c>
      <c r="S33" s="1"/>
      <c r="T33" s="1"/>
      <c r="U33" s="1">
        <v>8</v>
      </c>
      <c r="V33" s="40">
        <f t="shared" si="2"/>
        <v>2.1547502448579824E-3</v>
      </c>
      <c r="W33" s="40">
        <f t="shared" si="3"/>
        <v>6.8661108386463957E-4</v>
      </c>
      <c r="X33" s="40">
        <f t="shared" si="4"/>
        <v>7.8462142016477048E-4</v>
      </c>
      <c r="Y33" s="2">
        <f t="shared" si="0"/>
        <v>0.66850393700787403</v>
      </c>
      <c r="Z33" s="2">
        <f t="shared" si="1"/>
        <v>0.99931338891613541</v>
      </c>
      <c r="AA33" s="2">
        <f t="shared" si="5"/>
        <v>0.66804493479511728</v>
      </c>
      <c r="AB33" s="1"/>
    </row>
    <row r="34" spans="1:28" x14ac:dyDescent="0.25">
      <c r="A34" s="9" t="s">
        <v>24</v>
      </c>
      <c r="B34" s="10" t="s">
        <v>105</v>
      </c>
      <c r="C34" s="10" t="s">
        <v>106</v>
      </c>
      <c r="D34" s="10" t="str">
        <f>VLOOKUP(C34,Setup!A:F,3,)</f>
        <v>Air freshener AIR WICK Altai meadows Chamomile and lush greenery, 290 ml, new</v>
      </c>
      <c r="E34" s="10" t="str">
        <f>VLOOKUP(C34,Setup!A:F,4,)</f>
        <v>AIR WICK</v>
      </c>
      <c r="F34" s="10" t="str">
        <f>VLOOKUP(C34,Setup!A:F,5,)</f>
        <v>AIR FRESHENERS</v>
      </c>
      <c r="G34" s="10" t="str">
        <f>VLOOKUP(C34,Setup!A:F,6,)</f>
        <v>Air fresheners waterbase RB</v>
      </c>
      <c r="H34" s="11" t="s">
        <v>107</v>
      </c>
      <c r="I34" s="24">
        <v>14446</v>
      </c>
      <c r="J34" s="12">
        <v>14652</v>
      </c>
      <c r="K34" s="13">
        <v>120</v>
      </c>
      <c r="L34" s="13">
        <v>15</v>
      </c>
      <c r="M34" s="13">
        <v>15</v>
      </c>
      <c r="N34" s="1"/>
      <c r="O34" s="1"/>
      <c r="P34" s="14">
        <v>195</v>
      </c>
      <c r="Q34" s="1">
        <v>2</v>
      </c>
      <c r="R34" s="1">
        <v>2</v>
      </c>
      <c r="S34" s="1"/>
      <c r="T34" s="1"/>
      <c r="U34" s="1">
        <v>8</v>
      </c>
      <c r="V34" s="40">
        <f t="shared" si="2"/>
        <v>1.364815067558346E-4</v>
      </c>
      <c r="W34" s="40">
        <f t="shared" si="3"/>
        <v>1.364815067558346E-4</v>
      </c>
      <c r="X34" s="40">
        <f t="shared" si="4"/>
        <v>5.4570259208731246E-4</v>
      </c>
      <c r="Y34" s="2">
        <f t="shared" ref="Y34:Y65" si="6">(J34/(K34*(P34-M34-N34)))</f>
        <v>0.67833333333333334</v>
      </c>
      <c r="Z34" s="2">
        <f t="shared" ref="Z34:Z65" si="7">(J34/(J34+R34+S34-T34))</f>
        <v>0.99986351849324417</v>
      </c>
      <c r="AA34" s="2">
        <f t="shared" si="5"/>
        <v>0.67824075337791734</v>
      </c>
      <c r="AB34" s="1"/>
    </row>
    <row r="35" spans="1:28" x14ac:dyDescent="0.25">
      <c r="A35" s="9" t="s">
        <v>24</v>
      </c>
      <c r="B35" s="10" t="s">
        <v>31</v>
      </c>
      <c r="C35" s="10" t="s">
        <v>32</v>
      </c>
      <c r="D35" s="10" t="str">
        <f>VLOOKUP(C35,Setup!A:F,3,)</f>
        <v>Air freshener AIR WICK Spanish holidays Grapefruit and Blooming lime, 290 ml, new</v>
      </c>
      <c r="E35" s="10" t="str">
        <f>VLOOKUP(C35,Setup!A:F,4,)</f>
        <v>AIR WICK</v>
      </c>
      <c r="F35" s="10" t="str">
        <f>VLOOKUP(C35,Setup!A:F,5,)</f>
        <v>AIR FRESHENERS</v>
      </c>
      <c r="G35" s="10" t="str">
        <f>VLOOKUP(C35,Setup!A:F,6,)</f>
        <v>Air fresheners waterbase RB</v>
      </c>
      <c r="H35" s="11" t="s">
        <v>108</v>
      </c>
      <c r="I35" s="24">
        <v>4620</v>
      </c>
      <c r="J35" s="12">
        <v>4608</v>
      </c>
      <c r="K35" s="13">
        <v>120</v>
      </c>
      <c r="L35" s="13">
        <v>15</v>
      </c>
      <c r="M35" s="13">
        <v>0</v>
      </c>
      <c r="N35" s="1"/>
      <c r="O35" s="1"/>
      <c r="P35" s="14">
        <v>67</v>
      </c>
      <c r="Q35" s="1"/>
      <c r="R35" s="1">
        <v>4</v>
      </c>
      <c r="S35" s="1"/>
      <c r="T35" s="1"/>
      <c r="U35" s="1">
        <v>8</v>
      </c>
      <c r="V35" s="40">
        <f t="shared" si="2"/>
        <v>0</v>
      </c>
      <c r="W35" s="40">
        <f t="shared" si="3"/>
        <v>8.6730268863833475E-4</v>
      </c>
      <c r="X35" s="40">
        <f t="shared" si="4"/>
        <v>1.7331022530329288E-3</v>
      </c>
      <c r="Y35" s="2">
        <f t="shared" si="6"/>
        <v>0.57313432835820899</v>
      </c>
      <c r="Z35" s="2">
        <f t="shared" si="7"/>
        <v>0.99913269731136167</v>
      </c>
      <c r="AA35" s="2">
        <f t="shared" si="5"/>
        <v>0.57263724741427302</v>
      </c>
      <c r="AB35" s="1"/>
    </row>
    <row r="36" spans="1:28" x14ac:dyDescent="0.25">
      <c r="A36" s="9" t="s">
        <v>24</v>
      </c>
      <c r="B36" s="10" t="s">
        <v>109</v>
      </c>
      <c r="C36" s="10" t="s">
        <v>110</v>
      </c>
      <c r="D36" s="10" t="str">
        <f>VLOOKUP(C36,Setup!A:F,3,)</f>
        <v>Air freshener FLOWER SHOP Golden lotus and rose, 300 ml</v>
      </c>
      <c r="E36" s="10" t="str">
        <f>VLOOKUP(C36,Setup!A:F,4,)</f>
        <v>FLOWER SHOP</v>
      </c>
      <c r="F36" s="10" t="str">
        <f>VLOOKUP(C36,Setup!A:F,5,)</f>
        <v>AIR FRESHENERS</v>
      </c>
      <c r="G36" s="10" t="str">
        <f>VLOOKUP(C36,Setup!A:F,6,)</f>
        <v>Air fresheners waterbase</v>
      </c>
      <c r="H36" s="11" t="s">
        <v>111</v>
      </c>
      <c r="I36" s="24">
        <v>8643</v>
      </c>
      <c r="J36" s="12">
        <v>8592</v>
      </c>
      <c r="K36" s="13">
        <v>120</v>
      </c>
      <c r="L36" s="13">
        <v>15</v>
      </c>
      <c r="M36" s="13">
        <v>0</v>
      </c>
      <c r="N36" s="1"/>
      <c r="O36" s="1"/>
      <c r="P36" s="14">
        <v>129</v>
      </c>
      <c r="Q36" s="1">
        <v>12</v>
      </c>
      <c r="R36" s="1"/>
      <c r="S36" s="1"/>
      <c r="T36" s="1"/>
      <c r="U36" s="1">
        <v>6</v>
      </c>
      <c r="V36" s="40">
        <f t="shared" si="2"/>
        <v>1.3947001394700139E-3</v>
      </c>
      <c r="W36" s="40">
        <f t="shared" si="3"/>
        <v>0</v>
      </c>
      <c r="X36" s="40">
        <f t="shared" si="4"/>
        <v>6.9783670621074664E-4</v>
      </c>
      <c r="Y36" s="2">
        <f t="shared" si="6"/>
        <v>0.55503875968992245</v>
      </c>
      <c r="Z36" s="2">
        <f t="shared" si="7"/>
        <v>1</v>
      </c>
      <c r="AA36" s="2">
        <f t="shared" si="5"/>
        <v>0.55503875968992245</v>
      </c>
      <c r="AB36" s="1"/>
    </row>
    <row r="37" spans="1:28" x14ac:dyDescent="0.25">
      <c r="A37" s="9" t="s">
        <v>24</v>
      </c>
      <c r="B37" s="10" t="s">
        <v>112</v>
      </c>
      <c r="C37" s="10" t="s">
        <v>113</v>
      </c>
      <c r="D37" s="10" t="str">
        <f>VLOOKUP(C37,Setup!A:F,3,)</f>
        <v>Air freshener FLOWER SHOP Morse minerals, 300 ml, N</v>
      </c>
      <c r="E37" s="10" t="str">
        <f>VLOOKUP(C37,Setup!A:F,4,)</f>
        <v>FLOWER SHOP</v>
      </c>
      <c r="F37" s="10" t="str">
        <f>VLOOKUP(C37,Setup!A:F,5,)</f>
        <v>AIR FRESHENERS</v>
      </c>
      <c r="G37" s="10" t="str">
        <f>VLOOKUP(C37,Setup!A:F,6,)</f>
        <v>Air fresheners waterbase</v>
      </c>
      <c r="H37" s="11" t="s">
        <v>114</v>
      </c>
      <c r="I37" s="24">
        <v>9141</v>
      </c>
      <c r="J37" s="12">
        <v>9144</v>
      </c>
      <c r="K37" s="13">
        <v>120</v>
      </c>
      <c r="L37" s="13">
        <v>15</v>
      </c>
      <c r="M37" s="13">
        <v>0</v>
      </c>
      <c r="N37" s="1"/>
      <c r="O37" s="1"/>
      <c r="P37" s="14">
        <v>95</v>
      </c>
      <c r="Q37" s="1"/>
      <c r="R37" s="1">
        <v>2</v>
      </c>
      <c r="S37" s="1"/>
      <c r="T37" s="1"/>
      <c r="U37" s="1">
        <v>6</v>
      </c>
      <c r="V37" s="40">
        <f t="shared" si="2"/>
        <v>0</v>
      </c>
      <c r="W37" s="40">
        <f t="shared" si="3"/>
        <v>2.1867483052700635E-4</v>
      </c>
      <c r="X37" s="40">
        <f t="shared" si="4"/>
        <v>6.5573770491803279E-4</v>
      </c>
      <c r="Y37" s="2">
        <f t="shared" si="6"/>
        <v>0.80210526315789477</v>
      </c>
      <c r="Z37" s="2">
        <f t="shared" si="7"/>
        <v>0.99978132516947305</v>
      </c>
      <c r="AA37" s="2">
        <f t="shared" si="5"/>
        <v>0.80192986292540891</v>
      </c>
      <c r="AB37" s="1"/>
    </row>
    <row r="38" spans="1:28" x14ac:dyDescent="0.25">
      <c r="A38" s="9" t="s">
        <v>24</v>
      </c>
      <c r="B38" s="10" t="s">
        <v>115</v>
      </c>
      <c r="C38" s="10" t="s">
        <v>116</v>
      </c>
      <c r="D38" s="10" t="str">
        <f>VLOOKUP(C38,Setup!A:F,3,)</f>
        <v>Air freshener FLOWER SHOP apple and jasmine, 300 ml, N</v>
      </c>
      <c r="E38" s="10" t="str">
        <f>VLOOKUP(C38,Setup!A:F,4,)</f>
        <v>FLOWER SHOP</v>
      </c>
      <c r="F38" s="10" t="str">
        <f>VLOOKUP(C38,Setup!A:F,5,)</f>
        <v>AIR FRESHENERS</v>
      </c>
      <c r="G38" s="10" t="str">
        <f>VLOOKUP(C38,Setup!A:F,6,)</f>
        <v>Air fresheners waterbase</v>
      </c>
      <c r="H38" s="11" t="s">
        <v>117</v>
      </c>
      <c r="I38" s="24">
        <v>9900</v>
      </c>
      <c r="J38" s="12">
        <v>10128</v>
      </c>
      <c r="K38" s="13">
        <v>120</v>
      </c>
      <c r="L38" s="13">
        <v>15</v>
      </c>
      <c r="M38" s="13">
        <v>0</v>
      </c>
      <c r="N38" s="1"/>
      <c r="O38" s="1"/>
      <c r="P38" s="14">
        <v>105</v>
      </c>
      <c r="Q38" s="1">
        <v>1</v>
      </c>
      <c r="R38" s="1"/>
      <c r="S38" s="1"/>
      <c r="T38" s="1"/>
      <c r="U38" s="1">
        <v>6</v>
      </c>
      <c r="V38" s="40">
        <f t="shared" si="2"/>
        <v>9.8726429065060719E-5</v>
      </c>
      <c r="W38" s="40">
        <f t="shared" si="3"/>
        <v>0</v>
      </c>
      <c r="X38" s="40">
        <f t="shared" si="4"/>
        <v>5.9206631142687976E-4</v>
      </c>
      <c r="Y38" s="2">
        <f t="shared" si="6"/>
        <v>0.80380952380952386</v>
      </c>
      <c r="Z38" s="2">
        <f t="shared" si="7"/>
        <v>1</v>
      </c>
      <c r="AA38" s="2">
        <f t="shared" si="5"/>
        <v>0.80380952380952386</v>
      </c>
      <c r="AB38" s="1"/>
    </row>
    <row r="39" spans="1:28" x14ac:dyDescent="0.25">
      <c r="A39" s="9" t="s">
        <v>24</v>
      </c>
      <c r="B39" s="10" t="s">
        <v>118</v>
      </c>
      <c r="C39" s="10" t="s">
        <v>119</v>
      </c>
      <c r="D39" s="10" t="str">
        <f>VLOOKUP(C39,Setup!A:F,3,)</f>
        <v>Air freshener FLOWER SHOP Antitabacco, 300 ml, N</v>
      </c>
      <c r="E39" s="10" t="str">
        <f>VLOOKUP(C39,Setup!A:F,4,)</f>
        <v>FLOWER SHOP</v>
      </c>
      <c r="F39" s="10" t="str">
        <f>VLOOKUP(C39,Setup!A:F,5,)</f>
        <v>AIR FRESHENERS</v>
      </c>
      <c r="G39" s="10" t="str">
        <f>VLOOKUP(C39,Setup!A:F,6,)</f>
        <v>Air fresheners waterbase</v>
      </c>
      <c r="H39" s="11" t="s">
        <v>120</v>
      </c>
      <c r="I39" s="24">
        <v>4400</v>
      </c>
      <c r="J39" s="12">
        <f>600+3900</f>
        <v>4500</v>
      </c>
      <c r="K39" s="13">
        <v>120</v>
      </c>
      <c r="L39" s="13">
        <v>15</v>
      </c>
      <c r="M39" s="13">
        <v>0</v>
      </c>
      <c r="N39" s="1"/>
      <c r="O39" s="1"/>
      <c r="P39" s="14">
        <f>19+35</f>
        <v>54</v>
      </c>
      <c r="Q39" s="1">
        <v>1</v>
      </c>
      <c r="R39" s="1"/>
      <c r="S39" s="1"/>
      <c r="T39" s="1"/>
      <c r="U39" s="1">
        <v>6</v>
      </c>
      <c r="V39" s="40">
        <f t="shared" si="2"/>
        <v>2.2217285047767163E-4</v>
      </c>
      <c r="W39" s="40">
        <f t="shared" si="3"/>
        <v>0</v>
      </c>
      <c r="X39" s="40">
        <f t="shared" si="4"/>
        <v>1.3315579227696406E-3</v>
      </c>
      <c r="Y39" s="2">
        <f t="shared" si="6"/>
        <v>0.69444444444444442</v>
      </c>
      <c r="Z39" s="2">
        <f t="shared" si="7"/>
        <v>1</v>
      </c>
      <c r="AA39" s="2">
        <f t="shared" si="5"/>
        <v>0.69444444444444442</v>
      </c>
      <c r="AB39" s="1"/>
    </row>
    <row r="40" spans="1:28" x14ac:dyDescent="0.25">
      <c r="A40" s="9" t="s">
        <v>24</v>
      </c>
      <c r="B40" s="10" t="s">
        <v>121</v>
      </c>
      <c r="C40" s="10" t="s">
        <v>122</v>
      </c>
      <c r="D40" s="10" t="str">
        <f>VLOOKUP(C40,Setup!A:F,3,)</f>
        <v>Air freshener FLOWER SHOP Lime and mint, 300 ml,</v>
      </c>
      <c r="E40" s="10" t="str">
        <f>VLOOKUP(C40,Setup!A:F,4,)</f>
        <v>FLOWER SHOP</v>
      </c>
      <c r="F40" s="10" t="str">
        <f>VLOOKUP(C40,Setup!A:F,5,)</f>
        <v>AIR FRESHENERS</v>
      </c>
      <c r="G40" s="10" t="str">
        <f>VLOOKUP(C40,Setup!A:F,6,)</f>
        <v>Air fresheners waterbase</v>
      </c>
      <c r="H40" s="11" t="s">
        <v>123</v>
      </c>
      <c r="I40" s="24">
        <v>5100</v>
      </c>
      <c r="J40" s="12">
        <v>5112</v>
      </c>
      <c r="K40" s="13">
        <v>120</v>
      </c>
      <c r="L40" s="13">
        <v>15</v>
      </c>
      <c r="M40" s="13">
        <v>0</v>
      </c>
      <c r="N40" s="1"/>
      <c r="O40" s="1"/>
      <c r="P40" s="14">
        <f>60-10</f>
        <v>50</v>
      </c>
      <c r="Q40" s="1"/>
      <c r="R40" s="1"/>
      <c r="S40" s="1"/>
      <c r="T40" s="1"/>
      <c r="U40" s="1">
        <v>6</v>
      </c>
      <c r="V40" s="40">
        <f t="shared" si="2"/>
        <v>0</v>
      </c>
      <c r="W40" s="40">
        <f t="shared" si="3"/>
        <v>0</v>
      </c>
      <c r="X40" s="40">
        <f t="shared" si="4"/>
        <v>1.1723329425556857E-3</v>
      </c>
      <c r="Y40" s="2">
        <f t="shared" si="6"/>
        <v>0.85199999999999998</v>
      </c>
      <c r="Z40" s="2">
        <f t="shared" si="7"/>
        <v>1</v>
      </c>
      <c r="AA40" s="2">
        <f t="shared" si="5"/>
        <v>0.85199999999999998</v>
      </c>
      <c r="AB40" s="1"/>
    </row>
    <row r="41" spans="1:28" x14ac:dyDescent="0.25">
      <c r="A41" s="9" t="s">
        <v>24</v>
      </c>
      <c r="B41" s="10" t="s">
        <v>46</v>
      </c>
      <c r="C41" s="10" t="s">
        <v>47</v>
      </c>
      <c r="D41" s="10" t="str">
        <f>VLOOKUP(C41,Setup!A:F,3,)</f>
        <v>Air freshener AIR WICK Freshmatic Delicate silk and lily, 250 ml</v>
      </c>
      <c r="E41" s="10" t="str">
        <f>VLOOKUP(C41,Setup!A:F,4,)</f>
        <v>AIR WICK</v>
      </c>
      <c r="F41" s="10" t="str">
        <f>VLOOKUP(C41,Setup!A:F,5,)</f>
        <v>AIR FRESHENERS</v>
      </c>
      <c r="G41" s="10" t="str">
        <f>VLOOKUP(C41,Setup!A:F,6,)</f>
        <v>Air fresheners refill RB</v>
      </c>
      <c r="H41" s="11" t="s">
        <v>124</v>
      </c>
      <c r="I41" s="24">
        <v>42912</v>
      </c>
      <c r="J41" s="12">
        <f>40386+3780</f>
        <v>44166</v>
      </c>
      <c r="K41" s="13">
        <v>84</v>
      </c>
      <c r="L41" s="13">
        <v>120</v>
      </c>
      <c r="M41" s="13">
        <f>45</f>
        <v>45</v>
      </c>
      <c r="N41" s="1"/>
      <c r="O41" s="1"/>
      <c r="P41" s="14">
        <f>735-10+70</f>
        <v>795</v>
      </c>
      <c r="Q41" s="1">
        <v>2</v>
      </c>
      <c r="R41" s="1">
        <f>10+3</f>
        <v>13</v>
      </c>
      <c r="S41" s="1"/>
      <c r="T41" s="1"/>
      <c r="U41" s="1">
        <v>32</v>
      </c>
      <c r="V41" s="40">
        <f t="shared" si="2"/>
        <v>4.5281651874660387E-5</v>
      </c>
      <c r="W41" s="40">
        <f t="shared" si="3"/>
        <v>2.9425745263586772E-4</v>
      </c>
      <c r="X41" s="40">
        <f t="shared" si="4"/>
        <v>7.2401466129689131E-4</v>
      </c>
      <c r="Y41" s="2">
        <f t="shared" si="6"/>
        <v>0.70104761904761903</v>
      </c>
      <c r="Z41" s="2">
        <f t="shared" si="7"/>
        <v>0.99970574254736411</v>
      </c>
      <c r="AA41" s="2">
        <f t="shared" si="5"/>
        <v>0.70084133056106157</v>
      </c>
      <c r="AB41" s="1"/>
    </row>
    <row r="42" spans="1:28" x14ac:dyDescent="0.25">
      <c r="A42" s="9" t="s">
        <v>24</v>
      </c>
      <c r="B42" s="10" t="s">
        <v>125</v>
      </c>
      <c r="C42" s="10" t="s">
        <v>126</v>
      </c>
      <c r="D42" s="10" t="str">
        <f>VLOOKUP(C42,Setup!A:F,3,)</f>
        <v>Air freshener AIR WICK Freshmatic Tropical fantasies Ripe mango, 250 ml</v>
      </c>
      <c r="E42" s="10" t="str">
        <f>VLOOKUP(C42,Setup!A:F,4,)</f>
        <v>AIR WICK</v>
      </c>
      <c r="F42" s="10" t="str">
        <f>VLOOKUP(C42,Setup!A:F,5,)</f>
        <v>AIR FRESHENERS</v>
      </c>
      <c r="G42" s="10" t="str">
        <f>VLOOKUP(C42,Setup!A:F,6,)</f>
        <v>Air fresheners refill RB</v>
      </c>
      <c r="H42" s="11" t="s">
        <v>127</v>
      </c>
      <c r="I42" s="24">
        <v>16092</v>
      </c>
      <c r="J42" s="12">
        <v>16302</v>
      </c>
      <c r="K42" s="13">
        <v>84</v>
      </c>
      <c r="L42" s="13">
        <v>15</v>
      </c>
      <c r="M42" s="13">
        <v>15</v>
      </c>
      <c r="N42" s="1"/>
      <c r="O42" s="1"/>
      <c r="P42" s="14">
        <v>261</v>
      </c>
      <c r="Q42" s="1">
        <f>22</f>
        <v>22</v>
      </c>
      <c r="R42" s="1">
        <v>2</v>
      </c>
      <c r="S42" s="1"/>
      <c r="T42" s="1"/>
      <c r="U42" s="1">
        <v>17</v>
      </c>
      <c r="V42" s="40">
        <f t="shared" si="2"/>
        <v>1.3477088948787063E-3</v>
      </c>
      <c r="W42" s="40">
        <f t="shared" si="3"/>
        <v>1.226692836113837E-4</v>
      </c>
      <c r="X42" s="40">
        <f t="shared" si="4"/>
        <v>1.0417304981922913E-3</v>
      </c>
      <c r="Y42" s="2">
        <f t="shared" si="6"/>
        <v>0.78890824622531941</v>
      </c>
      <c r="Z42" s="2">
        <f t="shared" si="7"/>
        <v>0.99987733071638862</v>
      </c>
      <c r="AA42" s="2">
        <f t="shared" si="5"/>
        <v>0.7888114714159199</v>
      </c>
      <c r="AB42" s="1"/>
    </row>
    <row r="43" spans="1:28" x14ac:dyDescent="0.25">
      <c r="A43" s="9" t="s">
        <v>24</v>
      </c>
      <c r="B43" s="10" t="s">
        <v>128</v>
      </c>
      <c r="C43" s="10" t="s">
        <v>129</v>
      </c>
      <c r="D43" s="10" t="str">
        <f>VLOOKUP(C43,Setup!A:F,3,)</f>
        <v>Air freshener BREF SPA Luxury Aromas, 250 ml</v>
      </c>
      <c r="E43" s="10" t="str">
        <f>VLOOKUP(C43,Setup!A:F,4,)</f>
        <v>BREF</v>
      </c>
      <c r="F43" s="10" t="str">
        <f>VLOOKUP(C43,Setup!A:F,5,)</f>
        <v>AIR FRESHENERS</v>
      </c>
      <c r="G43" s="10" t="str">
        <f>VLOOKUP(C43,Setup!A:F,6,)</f>
        <v xml:space="preserve">Air fresheners refill </v>
      </c>
      <c r="H43" s="11" t="s">
        <v>130</v>
      </c>
      <c r="I43" s="24">
        <v>8046</v>
      </c>
      <c r="J43" s="12">
        <v>8268</v>
      </c>
      <c r="K43" s="13">
        <v>84</v>
      </c>
      <c r="L43" s="13">
        <v>60</v>
      </c>
      <c r="M43" s="13">
        <v>30</v>
      </c>
      <c r="N43" s="1">
        <v>19</v>
      </c>
      <c r="O43" s="1" t="s">
        <v>4839</v>
      </c>
      <c r="P43" s="14">
        <v>176</v>
      </c>
      <c r="Q43" s="1">
        <v>61</v>
      </c>
      <c r="R43" s="1">
        <v>5</v>
      </c>
      <c r="S43" s="1"/>
      <c r="T43" s="1"/>
      <c r="U43" s="1">
        <v>12</v>
      </c>
      <c r="V43" s="40">
        <f t="shared" si="2"/>
        <v>7.3238083803577863E-3</v>
      </c>
      <c r="W43" s="40">
        <f t="shared" si="3"/>
        <v>6.0437567992263988E-4</v>
      </c>
      <c r="X43" s="40">
        <f t="shared" si="4"/>
        <v>1.4492753623188406E-3</v>
      </c>
      <c r="Y43" s="2">
        <f t="shared" si="6"/>
        <v>0.77502812148481437</v>
      </c>
      <c r="Z43" s="2">
        <f t="shared" si="7"/>
        <v>0.99939562432007734</v>
      </c>
      <c r="AA43" s="2">
        <f t="shared" si="5"/>
        <v>0.77455971333693285</v>
      </c>
      <c r="AB43" s="1"/>
    </row>
    <row r="44" spans="1:28" x14ac:dyDescent="0.25">
      <c r="A44" s="9" t="s">
        <v>24</v>
      </c>
      <c r="B44" s="10" t="s">
        <v>131</v>
      </c>
      <c r="C44" s="10" t="s">
        <v>132</v>
      </c>
      <c r="D44" s="10" t="str">
        <f>VLOOKUP(C44,Setup!A:F,3,)</f>
        <v>Air freshener BREF Energy, 250 ml</v>
      </c>
      <c r="E44" s="10" t="str">
        <f>VLOOKUP(C44,Setup!A:F,4,)</f>
        <v>BREF</v>
      </c>
      <c r="F44" s="10" t="str">
        <f>VLOOKUP(C44,Setup!A:F,5,)</f>
        <v>AIR FRESHENERS</v>
      </c>
      <c r="G44" s="10" t="str">
        <f>VLOOKUP(C44,Setup!A:F,6,)</f>
        <v xml:space="preserve">Air fresheners refill </v>
      </c>
      <c r="H44" s="11" t="s">
        <v>133</v>
      </c>
      <c r="I44" s="24">
        <v>8046</v>
      </c>
      <c r="J44" s="12">
        <v>8736</v>
      </c>
      <c r="K44" s="13">
        <v>84</v>
      </c>
      <c r="L44" s="13">
        <v>15</v>
      </c>
      <c r="M44" s="13">
        <f>15</f>
        <v>15</v>
      </c>
      <c r="N44" s="1"/>
      <c r="O44" s="1"/>
      <c r="P44" s="14">
        <v>158</v>
      </c>
      <c r="Q44" s="1">
        <f>10+50</f>
        <v>60</v>
      </c>
      <c r="R44" s="1">
        <f>2+4</f>
        <v>6</v>
      </c>
      <c r="S44" s="1"/>
      <c r="T44" s="1"/>
      <c r="U44" s="1">
        <v>6</v>
      </c>
      <c r="V44" s="40">
        <f t="shared" si="2"/>
        <v>6.8212824010914054E-3</v>
      </c>
      <c r="W44" s="40">
        <f t="shared" si="3"/>
        <v>6.863417982155113E-4</v>
      </c>
      <c r="X44" s="40">
        <f t="shared" si="4"/>
        <v>6.863417982155113E-4</v>
      </c>
      <c r="Y44" s="2">
        <f t="shared" si="6"/>
        <v>0.72727272727272729</v>
      </c>
      <c r="Z44" s="2">
        <f t="shared" si="7"/>
        <v>0.99931365820178453</v>
      </c>
      <c r="AA44" s="2">
        <f t="shared" si="5"/>
        <v>0.72677356960129791</v>
      </c>
      <c r="AB44" s="1"/>
    </row>
    <row r="45" spans="1:28" x14ac:dyDescent="0.25">
      <c r="A45" s="9" t="s">
        <v>24</v>
      </c>
      <c r="B45" s="10" t="s">
        <v>134</v>
      </c>
      <c r="C45" s="10" t="s">
        <v>135</v>
      </c>
      <c r="D45" s="10" t="str">
        <f>VLOOKUP(C45,Setup!A:F,3,)</f>
        <v>Air freshener BREF De Luxe Captivating Jasmine, 280 ml</v>
      </c>
      <c r="E45" s="10" t="str">
        <f>VLOOKUP(C45,Setup!A:F,4,)</f>
        <v>BREF</v>
      </c>
      <c r="F45" s="10" t="str">
        <f>VLOOKUP(C45,Setup!A:F,5,)</f>
        <v>AIR FRESHENERS</v>
      </c>
      <c r="G45" s="10" t="str">
        <f>VLOOKUP(C45,Setup!A:F,6,)</f>
        <v>Air fresheners dry</v>
      </c>
      <c r="H45" s="11" t="s">
        <v>136</v>
      </c>
      <c r="I45" s="24">
        <v>36960</v>
      </c>
      <c r="J45" s="12">
        <f>37674</f>
        <v>37674</v>
      </c>
      <c r="K45" s="13">
        <v>110</v>
      </c>
      <c r="L45" s="13">
        <v>120</v>
      </c>
      <c r="M45" s="13">
        <v>0</v>
      </c>
      <c r="N45" s="1">
        <v>13</v>
      </c>
      <c r="O45" s="1" t="s">
        <v>4839</v>
      </c>
      <c r="P45" s="14">
        <f>70-10+503</f>
        <v>563</v>
      </c>
      <c r="Q45" s="1">
        <v>167</v>
      </c>
      <c r="R45" s="1">
        <v>22</v>
      </c>
      <c r="S45" s="1"/>
      <c r="T45" s="1"/>
      <c r="U45" s="1">
        <v>12</v>
      </c>
      <c r="V45" s="40">
        <f t="shared" si="2"/>
        <v>4.4132026109246587E-3</v>
      </c>
      <c r="W45" s="40">
        <f t="shared" si="3"/>
        <v>5.8361629881154497E-4</v>
      </c>
      <c r="X45" s="40">
        <f t="shared" si="4"/>
        <v>3.1842063365706099E-4</v>
      </c>
      <c r="Y45" s="2">
        <f t="shared" si="6"/>
        <v>0.62271074380165292</v>
      </c>
      <c r="Z45" s="2">
        <f t="shared" si="7"/>
        <v>0.99941638370118846</v>
      </c>
      <c r="AA45" s="2">
        <f t="shared" si="5"/>
        <v>0.6223473196621252</v>
      </c>
      <c r="AB45" s="1"/>
    </row>
    <row r="46" spans="1:28" x14ac:dyDescent="0.25">
      <c r="A46" s="9" t="s">
        <v>24</v>
      </c>
      <c r="B46" s="10" t="s">
        <v>137</v>
      </c>
      <c r="C46" s="10" t="s">
        <v>138</v>
      </c>
      <c r="D46" s="10" t="str">
        <f>VLOOKUP(C46,Setup!A:F,3,)</f>
        <v>Air freshener BREF De Luxe Magic Orchid, 280 ml</v>
      </c>
      <c r="E46" s="10" t="str">
        <f>VLOOKUP(C46,Setup!A:F,4,)</f>
        <v>BREF</v>
      </c>
      <c r="F46" s="10" t="str">
        <f>VLOOKUP(C46,Setup!A:F,5,)</f>
        <v>AIR FRESHENERS</v>
      </c>
      <c r="G46" s="10" t="str">
        <f>VLOOKUP(C46,Setup!A:F,6,)</f>
        <v>Air fresheners dry</v>
      </c>
      <c r="H46" s="11" t="s">
        <v>139</v>
      </c>
      <c r="I46" s="24">
        <v>12920</v>
      </c>
      <c r="J46" s="12">
        <v>12498</v>
      </c>
      <c r="K46" s="13">
        <v>110</v>
      </c>
      <c r="L46" s="13">
        <v>15</v>
      </c>
      <c r="M46" s="13">
        <v>0</v>
      </c>
      <c r="N46" s="1">
        <v>12</v>
      </c>
      <c r="O46" s="1" t="s">
        <v>4839</v>
      </c>
      <c r="P46" s="14">
        <v>158</v>
      </c>
      <c r="Q46" s="1">
        <v>173</v>
      </c>
      <c r="R46" s="1">
        <v>14</v>
      </c>
      <c r="S46" s="1"/>
      <c r="T46" s="1"/>
      <c r="U46" s="1">
        <v>6</v>
      </c>
      <c r="V46" s="40">
        <f t="shared" si="2"/>
        <v>1.3653223897087839E-2</v>
      </c>
      <c r="W46" s="40">
        <f t="shared" si="3"/>
        <v>1.118925831202046E-3</v>
      </c>
      <c r="X46" s="40">
        <f t="shared" si="4"/>
        <v>4.7984644913627637E-4</v>
      </c>
      <c r="Y46" s="2">
        <f t="shared" si="6"/>
        <v>0.77820672478206721</v>
      </c>
      <c r="Z46" s="2">
        <f t="shared" si="7"/>
        <v>0.9988810741687979</v>
      </c>
      <c r="AA46" s="2">
        <f t="shared" si="5"/>
        <v>0.77733596917569336</v>
      </c>
      <c r="AB46" s="1"/>
    </row>
    <row r="47" spans="1:28" x14ac:dyDescent="0.25">
      <c r="A47" s="9" t="s">
        <v>24</v>
      </c>
      <c r="B47" s="10" t="s">
        <v>31</v>
      </c>
      <c r="C47" s="10" t="s">
        <v>32</v>
      </c>
      <c r="D47" s="10" t="str">
        <f>VLOOKUP(C47,Setup!A:F,3,)</f>
        <v>Air freshener AIR WICK Spanish holidays Grapefruit and Blooming lime, 290 ml, new</v>
      </c>
      <c r="E47" s="10" t="str">
        <f>VLOOKUP(C47,Setup!A:F,4,)</f>
        <v>AIR WICK</v>
      </c>
      <c r="F47" s="10" t="str">
        <f>VLOOKUP(C47,Setup!A:F,5,)</f>
        <v>AIR FRESHENERS</v>
      </c>
      <c r="G47" s="10" t="str">
        <f>VLOOKUP(C47,Setup!A:F,6,)</f>
        <v>Air fresheners waterbase RB</v>
      </c>
      <c r="H47" s="11" t="s">
        <v>140</v>
      </c>
      <c r="I47" s="24">
        <v>24624</v>
      </c>
      <c r="J47" s="12">
        <f>1944+456+22224</f>
        <v>24624</v>
      </c>
      <c r="K47" s="13">
        <v>120</v>
      </c>
      <c r="L47" s="13">
        <v>30</v>
      </c>
      <c r="M47" s="13">
        <v>0</v>
      </c>
      <c r="N47" s="1"/>
      <c r="O47" s="1"/>
      <c r="P47" s="14">
        <f>74-10+225</f>
        <v>289</v>
      </c>
      <c r="Q47" s="1">
        <v>10</v>
      </c>
      <c r="R47" s="1">
        <v>6</v>
      </c>
      <c r="S47" s="1"/>
      <c r="T47" s="1"/>
      <c r="U47" s="1">
        <v>8</v>
      </c>
      <c r="V47" s="40">
        <f t="shared" si="2"/>
        <v>4.0594300560201345E-4</v>
      </c>
      <c r="W47" s="40">
        <f t="shared" si="3"/>
        <v>2.43605359317905E-4</v>
      </c>
      <c r="X47" s="40">
        <f t="shared" si="4"/>
        <v>3.2478077297823967E-4</v>
      </c>
      <c r="Y47" s="2">
        <f t="shared" si="6"/>
        <v>0.71003460207612457</v>
      </c>
      <c r="Z47" s="2">
        <f t="shared" si="7"/>
        <v>0.99975639464068211</v>
      </c>
      <c r="AA47" s="2">
        <f t="shared" si="5"/>
        <v>0.70986163384175771</v>
      </c>
      <c r="AB47" s="1"/>
    </row>
    <row r="48" spans="1:28" x14ac:dyDescent="0.25">
      <c r="A48" s="9" t="s">
        <v>24</v>
      </c>
      <c r="B48" s="10" t="s">
        <v>31</v>
      </c>
      <c r="C48" s="10" t="s">
        <v>32</v>
      </c>
      <c r="D48" s="10" t="str">
        <f>VLOOKUP(C48,Setup!A:F,3,)</f>
        <v>Air freshener AIR WICK Spanish holidays Grapefruit and Blooming lime, 290 ml, new</v>
      </c>
      <c r="E48" s="10" t="str">
        <f>VLOOKUP(C48,Setup!A:F,4,)</f>
        <v>AIR WICK</v>
      </c>
      <c r="F48" s="10" t="str">
        <f>VLOOKUP(C48,Setup!A:F,5,)</f>
        <v>AIR FRESHENERS</v>
      </c>
      <c r="G48" s="10" t="str">
        <f>VLOOKUP(C48,Setup!A:F,6,)</f>
        <v>Air fresheners waterbase RB</v>
      </c>
      <c r="H48" s="11" t="s">
        <v>141</v>
      </c>
      <c r="I48" s="24">
        <v>16170</v>
      </c>
      <c r="J48" s="12">
        <v>16776</v>
      </c>
      <c r="K48" s="13">
        <v>120</v>
      </c>
      <c r="L48" s="13">
        <v>0</v>
      </c>
      <c r="M48" s="13">
        <v>0</v>
      </c>
      <c r="N48" s="1"/>
      <c r="O48" s="1"/>
      <c r="P48" s="14">
        <v>179</v>
      </c>
      <c r="Q48" s="1">
        <v>17</v>
      </c>
      <c r="R48" s="1">
        <v>12</v>
      </c>
      <c r="S48" s="1"/>
      <c r="T48" s="1"/>
      <c r="U48" s="1">
        <v>8</v>
      </c>
      <c r="V48" s="40">
        <f t="shared" si="2"/>
        <v>1.0123265646400286E-3</v>
      </c>
      <c r="W48" s="40">
        <f t="shared" si="3"/>
        <v>7.1479628305932811E-4</v>
      </c>
      <c r="X48" s="40">
        <f t="shared" si="4"/>
        <v>4.7664442326024784E-4</v>
      </c>
      <c r="Y48" s="2">
        <f t="shared" si="6"/>
        <v>0.78100558659217878</v>
      </c>
      <c r="Z48" s="2">
        <f t="shared" si="7"/>
        <v>0.99928520371694063</v>
      </c>
      <c r="AA48" s="2">
        <f t="shared" si="5"/>
        <v>0.78044732670183403</v>
      </c>
      <c r="AB48" s="1"/>
    </row>
    <row r="49" spans="1:28" x14ac:dyDescent="0.25">
      <c r="A49" s="9" t="s">
        <v>24</v>
      </c>
      <c r="B49" s="10" t="s">
        <v>35</v>
      </c>
      <c r="C49" s="10" t="s">
        <v>36</v>
      </c>
      <c r="D49" s="10" t="str">
        <f>VLOOKUP(C49,Setup!A:F,3,)</f>
        <v>Air freshener AIR WICK Maldivian Dreams Tropical flowers and Patchouli, 290 ml, new</v>
      </c>
      <c r="E49" s="10" t="str">
        <f>VLOOKUP(C49,Setup!A:F,4,)</f>
        <v>AIR WICK</v>
      </c>
      <c r="F49" s="10" t="str">
        <f>VLOOKUP(C49,Setup!A:F,5,)</f>
        <v>AIR FRESHENERS</v>
      </c>
      <c r="G49" s="10" t="str">
        <f>VLOOKUP(C49,Setup!A:F,6,)</f>
        <v>Air fresheners waterbase RB</v>
      </c>
      <c r="H49" s="11" t="s">
        <v>140</v>
      </c>
      <c r="I49" s="24">
        <v>49248</v>
      </c>
      <c r="J49" s="12">
        <v>49248</v>
      </c>
      <c r="K49" s="13">
        <v>90</v>
      </c>
      <c r="L49" s="13">
        <v>30</v>
      </c>
      <c r="M49" s="13">
        <v>15</v>
      </c>
      <c r="N49" s="1"/>
      <c r="O49" s="1"/>
      <c r="P49" s="14">
        <v>666</v>
      </c>
      <c r="Q49" s="1">
        <v>11</v>
      </c>
      <c r="R49" s="1">
        <v>6</v>
      </c>
      <c r="S49" s="1"/>
      <c r="T49" s="1"/>
      <c r="U49" s="1">
        <v>8</v>
      </c>
      <c r="V49" s="40">
        <f t="shared" si="2"/>
        <v>2.2330944598956536E-4</v>
      </c>
      <c r="W49" s="40">
        <f t="shared" si="3"/>
        <v>1.2181751735899622E-4</v>
      </c>
      <c r="X49" s="40">
        <f t="shared" si="4"/>
        <v>1.6241676140977748E-4</v>
      </c>
      <c r="Y49" s="2">
        <f t="shared" si="6"/>
        <v>0.84055299539170503</v>
      </c>
      <c r="Z49" s="2">
        <f t="shared" si="7"/>
        <v>0.99987818248264104</v>
      </c>
      <c r="AA49" s="2">
        <f t="shared" si="5"/>
        <v>0.84045060131259774</v>
      </c>
      <c r="AB49" s="1"/>
    </row>
    <row r="50" spans="1:28" x14ac:dyDescent="0.25">
      <c r="A50" s="9" t="s">
        <v>24</v>
      </c>
      <c r="B50" s="10" t="s">
        <v>37</v>
      </c>
      <c r="C50" s="10" t="s">
        <v>38</v>
      </c>
      <c r="D50" s="10" t="str">
        <f>VLOOKUP(C50,Setup!A:F,3,)</f>
        <v>Air freshener AIR WICK Maldivian Dreams Tropical flowers and Patchouli, 290 ml, new</v>
      </c>
      <c r="E50" s="10" t="str">
        <f>VLOOKUP(C50,Setup!A:F,4,)</f>
        <v>AIR WICK</v>
      </c>
      <c r="F50" s="10" t="str">
        <f>VLOOKUP(C50,Setup!A:F,5,)</f>
        <v>AIR FRESHENERS</v>
      </c>
      <c r="G50" s="10" t="str">
        <f>VLOOKUP(C50,Setup!A:F,6,)</f>
        <v>Air fresheners waterbase RB</v>
      </c>
      <c r="H50" s="11" t="s">
        <v>142</v>
      </c>
      <c r="I50" s="24">
        <v>48510</v>
      </c>
      <c r="J50" s="12">
        <v>49932</v>
      </c>
      <c r="K50" s="13">
        <v>120</v>
      </c>
      <c r="L50" s="13">
        <v>30</v>
      </c>
      <c r="M50" s="13">
        <v>15</v>
      </c>
      <c r="N50" s="1"/>
      <c r="O50" s="1"/>
      <c r="P50" s="14">
        <v>531</v>
      </c>
      <c r="Q50" s="1">
        <v>10</v>
      </c>
      <c r="R50" s="1">
        <v>2</v>
      </c>
      <c r="S50" s="1"/>
      <c r="T50" s="1"/>
      <c r="U50" s="1">
        <v>8</v>
      </c>
      <c r="V50" s="40">
        <f t="shared" si="2"/>
        <v>2.0023226943254174E-4</v>
      </c>
      <c r="W50" s="40">
        <f t="shared" si="3"/>
        <v>4.0052869788120321E-5</v>
      </c>
      <c r="X50" s="40">
        <f t="shared" si="4"/>
        <v>1.6019223067681218E-4</v>
      </c>
      <c r="Y50" s="2">
        <f t="shared" si="6"/>
        <v>0.80639534883720931</v>
      </c>
      <c r="Z50" s="2">
        <f t="shared" si="7"/>
        <v>0.99995994713021186</v>
      </c>
      <c r="AA50" s="2">
        <f t="shared" si="5"/>
        <v>0.80636305038930456</v>
      </c>
      <c r="AB50" s="1"/>
    </row>
    <row r="51" spans="1:28" x14ac:dyDescent="0.25">
      <c r="A51" s="9" t="s">
        <v>24</v>
      </c>
      <c r="B51" s="10" t="s">
        <v>40</v>
      </c>
      <c r="C51" s="10" t="s">
        <v>41</v>
      </c>
      <c r="D51" s="10" t="str">
        <f>VLOOKUP(C51,Setup!A:F,3,)</f>
        <v>Air freshener AIR WICK Japanese Spring Cherry blossoms and Bergamot, 290 ml, new</v>
      </c>
      <c r="E51" s="10" t="str">
        <f>VLOOKUP(C51,Setup!A:F,4,)</f>
        <v>AIR WICK</v>
      </c>
      <c r="F51" s="10" t="str">
        <f>VLOOKUP(C51,Setup!A:F,5,)</f>
        <v>AIR FRESHENERS</v>
      </c>
      <c r="G51" s="10" t="str">
        <f>VLOOKUP(C51,Setup!A:F,6,)</f>
        <v>Air fresheners waterbase RB</v>
      </c>
      <c r="H51" s="11" t="s">
        <v>143</v>
      </c>
      <c r="I51" s="24">
        <v>11550</v>
      </c>
      <c r="J51" s="12">
        <v>11508</v>
      </c>
      <c r="K51" s="13">
        <v>120</v>
      </c>
      <c r="L51" s="13">
        <v>15</v>
      </c>
      <c r="M51" s="13">
        <v>0</v>
      </c>
      <c r="N51" s="1"/>
      <c r="O51" s="1"/>
      <c r="P51" s="14">
        <v>118</v>
      </c>
      <c r="Q51" s="1">
        <v>20</v>
      </c>
      <c r="R51" s="1">
        <v>4</v>
      </c>
      <c r="S51" s="1"/>
      <c r="T51" s="1"/>
      <c r="U51" s="1">
        <v>8</v>
      </c>
      <c r="V51" s="40">
        <f t="shared" si="2"/>
        <v>1.7349063150589867E-3</v>
      </c>
      <c r="W51" s="40">
        <f t="shared" si="3"/>
        <v>3.4746351633078526E-4</v>
      </c>
      <c r="X51" s="40">
        <f t="shared" si="4"/>
        <v>6.9468565474122956E-4</v>
      </c>
      <c r="Y51" s="2">
        <f t="shared" si="6"/>
        <v>0.81271186440677967</v>
      </c>
      <c r="Z51" s="2">
        <f t="shared" si="7"/>
        <v>0.99965253648366925</v>
      </c>
      <c r="AA51" s="2">
        <f t="shared" si="5"/>
        <v>0.81242947668460919</v>
      </c>
      <c r="AB51" s="1"/>
    </row>
    <row r="52" spans="1:28" x14ac:dyDescent="0.25">
      <c r="A52" s="9" t="s">
        <v>24</v>
      </c>
      <c r="B52" s="10" t="s">
        <v>43</v>
      </c>
      <c r="C52" s="10" t="s">
        <v>44</v>
      </c>
      <c r="D52" s="10" t="str">
        <f>VLOOKUP(C52,Setup!A:F,3,)</f>
        <v>Air freshener AIR WICK Moroccan morning Mint leaves and Green tea, 290 ml, new</v>
      </c>
      <c r="E52" s="10" t="str">
        <f>VLOOKUP(C52,Setup!A:F,4,)</f>
        <v>AIR WICK</v>
      </c>
      <c r="F52" s="10" t="str">
        <f>VLOOKUP(C52,Setup!A:F,5,)</f>
        <v>AIR FRESHENERS</v>
      </c>
      <c r="G52" s="10" t="str">
        <f>VLOOKUP(C52,Setup!A:F,6,)</f>
        <v>Air fresheners waterbase RB</v>
      </c>
      <c r="H52" s="11" t="s">
        <v>144</v>
      </c>
      <c r="I52" s="24">
        <v>11550</v>
      </c>
      <c r="J52" s="12">
        <v>11544</v>
      </c>
      <c r="K52" s="13">
        <v>120</v>
      </c>
      <c r="L52" s="13">
        <v>15</v>
      </c>
      <c r="M52" s="13">
        <v>0</v>
      </c>
      <c r="N52" s="1"/>
      <c r="O52" s="1"/>
      <c r="P52" s="14">
        <v>132</v>
      </c>
      <c r="Q52" s="1">
        <f>4</f>
        <v>4</v>
      </c>
      <c r="R52" s="1">
        <f>6</f>
        <v>6</v>
      </c>
      <c r="S52" s="1"/>
      <c r="T52" s="1"/>
      <c r="U52" s="1">
        <v>8</v>
      </c>
      <c r="V52" s="40">
        <f t="shared" si="2"/>
        <v>3.4638032559750607E-4</v>
      </c>
      <c r="W52" s="40">
        <f t="shared" si="3"/>
        <v>5.1948051948051948E-4</v>
      </c>
      <c r="X52" s="40">
        <f t="shared" si="4"/>
        <v>6.925207756232687E-4</v>
      </c>
      <c r="Y52" s="2">
        <f t="shared" si="6"/>
        <v>0.72878787878787876</v>
      </c>
      <c r="Z52" s="2">
        <f t="shared" si="7"/>
        <v>0.99948051948051952</v>
      </c>
      <c r="AA52" s="2">
        <f t="shared" si="5"/>
        <v>0.72840928768201496</v>
      </c>
      <c r="AB52" s="1"/>
    </row>
    <row r="53" spans="1:28" x14ac:dyDescent="0.25">
      <c r="A53" s="9" t="s">
        <v>24</v>
      </c>
      <c r="B53" s="10" t="s">
        <v>99</v>
      </c>
      <c r="C53" s="10" t="s">
        <v>100</v>
      </c>
      <c r="D53" s="10" t="str">
        <f>VLOOKUP(C53,Setup!A:F,3,)</f>
        <v>Air freshener AIR WICK Baikal freshness Fresh air and Delicate lily of the valley, 290 ml, new</v>
      </c>
      <c r="E53" s="10" t="str">
        <f>VLOOKUP(C53,Setup!A:F,4,)</f>
        <v>AIR WICK</v>
      </c>
      <c r="F53" s="10" t="str">
        <f>VLOOKUP(C53,Setup!A:F,5,)</f>
        <v>AIR FRESHENERS</v>
      </c>
      <c r="G53" s="10" t="str">
        <f>VLOOKUP(C53,Setup!A:F,6,)</f>
        <v>Air fresheners waterbase RB</v>
      </c>
      <c r="H53" s="11" t="s">
        <v>145</v>
      </c>
      <c r="I53" s="24">
        <v>5608</v>
      </c>
      <c r="J53" s="12">
        <v>5580</v>
      </c>
      <c r="K53" s="13">
        <v>120</v>
      </c>
      <c r="L53" s="13">
        <v>15</v>
      </c>
      <c r="M53" s="13">
        <v>0</v>
      </c>
      <c r="N53" s="1"/>
      <c r="O53" s="1"/>
      <c r="P53" s="14">
        <v>64</v>
      </c>
      <c r="Q53" s="1">
        <v>17</v>
      </c>
      <c r="R53" s="1">
        <v>2</v>
      </c>
      <c r="S53" s="1"/>
      <c r="T53" s="1"/>
      <c r="U53" s="1">
        <f>8+6</f>
        <v>14</v>
      </c>
      <c r="V53" s="40">
        <f t="shared" si="2"/>
        <v>3.0373414329104877E-3</v>
      </c>
      <c r="W53" s="40">
        <f t="shared" si="3"/>
        <v>3.5829451809387314E-4</v>
      </c>
      <c r="X53" s="40">
        <f t="shared" si="4"/>
        <v>2.5026814444047193E-3</v>
      </c>
      <c r="Y53" s="2">
        <f t="shared" si="6"/>
        <v>0.7265625</v>
      </c>
      <c r="Z53" s="2">
        <f t="shared" si="7"/>
        <v>0.99964170548190612</v>
      </c>
      <c r="AA53" s="2">
        <f t="shared" si="5"/>
        <v>0.72630217663919738</v>
      </c>
      <c r="AB53" s="1"/>
    </row>
    <row r="54" spans="1:28" x14ac:dyDescent="0.25">
      <c r="A54" s="9" t="s">
        <v>24</v>
      </c>
      <c r="B54" s="10" t="s">
        <v>46</v>
      </c>
      <c r="C54" s="10" t="s">
        <v>47</v>
      </c>
      <c r="D54" s="10" t="str">
        <f>VLOOKUP(C54,Setup!A:F,3,)</f>
        <v>Air freshener AIR WICK Freshmatic Delicate silk and lily, 250 ml</v>
      </c>
      <c r="E54" s="10" t="str">
        <f>VLOOKUP(C54,Setup!A:F,4,)</f>
        <v>AIR WICK</v>
      </c>
      <c r="F54" s="10" t="str">
        <f>VLOOKUP(C54,Setup!A:F,5,)</f>
        <v>AIR FRESHENERS</v>
      </c>
      <c r="G54" s="10" t="str">
        <f>VLOOKUP(C54,Setup!A:F,6,)</f>
        <v>Air fresheners refill RB</v>
      </c>
      <c r="H54" s="11" t="s">
        <v>146</v>
      </c>
      <c r="I54" s="24">
        <v>101916</v>
      </c>
      <c r="J54" s="12">
        <v>104646</v>
      </c>
      <c r="K54" s="13">
        <v>84</v>
      </c>
      <c r="L54" s="13">
        <v>120</v>
      </c>
      <c r="M54" s="13">
        <v>60</v>
      </c>
      <c r="N54" s="1"/>
      <c r="O54" s="1"/>
      <c r="P54" s="14">
        <v>1770</v>
      </c>
      <c r="Q54" s="1">
        <v>7</v>
      </c>
      <c r="R54" s="1">
        <v>26</v>
      </c>
      <c r="S54" s="1"/>
      <c r="T54" s="1"/>
      <c r="U54" s="1">
        <v>59</v>
      </c>
      <c r="V54" s="40">
        <f t="shared" si="2"/>
        <v>6.688771463789858E-5</v>
      </c>
      <c r="W54" s="40">
        <f t="shared" si="3"/>
        <v>2.483949862427392E-4</v>
      </c>
      <c r="X54" s="40">
        <f t="shared" si="4"/>
        <v>5.6348789456090917E-4</v>
      </c>
      <c r="Y54" s="2">
        <f t="shared" si="6"/>
        <v>0.72852965747702592</v>
      </c>
      <c r="Z54" s="2">
        <f t="shared" si="7"/>
        <v>0.99975160501375726</v>
      </c>
      <c r="AA54" s="2">
        <f t="shared" si="5"/>
        <v>0.72834869436277949</v>
      </c>
      <c r="AB54" s="1"/>
    </row>
    <row r="55" spans="1:28" x14ac:dyDescent="0.25">
      <c r="A55" s="9" t="s">
        <v>24</v>
      </c>
      <c r="B55" s="10" t="s">
        <v>49</v>
      </c>
      <c r="C55" s="10" t="s">
        <v>50</v>
      </c>
      <c r="D55" s="10" t="str">
        <f>VLOOKUP(C55,Setup!A:F,3,)</f>
        <v>Air freshener AIR WICK Freshmatic Life Scents series Paradise dessert, 250 ml</v>
      </c>
      <c r="E55" s="10" t="str">
        <f>VLOOKUP(C55,Setup!A:F,4,)</f>
        <v>AIR WICK</v>
      </c>
      <c r="F55" s="10" t="str">
        <f>VLOOKUP(C55,Setup!A:F,5,)</f>
        <v>AIR FRESHENERS</v>
      </c>
      <c r="G55" s="10" t="str">
        <f>VLOOKUP(C55,Setup!A:F,6,)</f>
        <v>Air fresheners refill RB</v>
      </c>
      <c r="H55" s="11" t="s">
        <v>147</v>
      </c>
      <c r="I55" s="24">
        <v>12204</v>
      </c>
      <c r="J55" s="12">
        <v>13098</v>
      </c>
      <c r="K55" s="13">
        <v>84</v>
      </c>
      <c r="L55" s="13">
        <v>15</v>
      </c>
      <c r="M55" s="13">
        <v>15</v>
      </c>
      <c r="N55" s="1"/>
      <c r="O55" s="1"/>
      <c r="P55" s="14">
        <v>210</v>
      </c>
      <c r="Q55" s="1">
        <v>0</v>
      </c>
      <c r="R55" s="1">
        <v>0</v>
      </c>
      <c r="S55" s="1"/>
      <c r="T55" s="1"/>
      <c r="U55" s="1">
        <v>17</v>
      </c>
      <c r="V55" s="40">
        <f t="shared" si="2"/>
        <v>0</v>
      </c>
      <c r="W55" s="40">
        <f t="shared" si="3"/>
        <v>0</v>
      </c>
      <c r="X55" s="40">
        <f t="shared" si="4"/>
        <v>1.2962256957682044E-3</v>
      </c>
      <c r="Y55" s="2">
        <f t="shared" si="6"/>
        <v>0.79963369963369968</v>
      </c>
      <c r="Z55" s="2">
        <f t="shared" si="7"/>
        <v>1</v>
      </c>
      <c r="AA55" s="2">
        <f t="shared" si="5"/>
        <v>0.79963369963369968</v>
      </c>
      <c r="AB55" s="1"/>
    </row>
    <row r="56" spans="1:28" x14ac:dyDescent="0.25">
      <c r="A56" s="9" t="s">
        <v>24</v>
      </c>
      <c r="B56" s="10" t="s">
        <v>125</v>
      </c>
      <c r="C56" s="10" t="s">
        <v>126</v>
      </c>
      <c r="D56" s="10" t="str">
        <f>VLOOKUP(C56,Setup!A:F,3,)</f>
        <v>Air freshener AIR WICK Freshmatic Tropical fantasies Ripe mango, 250 ml</v>
      </c>
      <c r="E56" s="10" t="str">
        <f>VLOOKUP(C56,Setup!A:F,4,)</f>
        <v>AIR WICK</v>
      </c>
      <c r="F56" s="10" t="str">
        <f>VLOOKUP(C56,Setup!A:F,5,)</f>
        <v>AIR FRESHENERS</v>
      </c>
      <c r="G56" s="10" t="str">
        <f>VLOOKUP(C56,Setup!A:F,6,)</f>
        <v>Air fresheners refill RB</v>
      </c>
      <c r="H56" s="11" t="s">
        <v>148</v>
      </c>
      <c r="I56" s="24">
        <v>18774</v>
      </c>
      <c r="J56" s="12">
        <v>19668</v>
      </c>
      <c r="K56" s="13">
        <v>84</v>
      </c>
      <c r="L56" s="13">
        <v>15</v>
      </c>
      <c r="M56" s="13">
        <v>45</v>
      </c>
      <c r="N56" s="1"/>
      <c r="O56" s="1"/>
      <c r="P56" s="14">
        <v>349</v>
      </c>
      <c r="Q56" s="1">
        <v>2</v>
      </c>
      <c r="R56" s="1">
        <v>1</v>
      </c>
      <c r="S56" s="1"/>
      <c r="T56" s="1"/>
      <c r="U56" s="1">
        <v>20</v>
      </c>
      <c r="V56" s="40">
        <f t="shared" si="2"/>
        <v>1.0167768174885612E-4</v>
      </c>
      <c r="W56" s="40">
        <f t="shared" si="3"/>
        <v>5.0841425593573645E-5</v>
      </c>
      <c r="X56" s="40">
        <f t="shared" si="4"/>
        <v>1.0158472165786266E-3</v>
      </c>
      <c r="Y56" s="2">
        <f t="shared" si="6"/>
        <v>0.77020676691729328</v>
      </c>
      <c r="Z56" s="2">
        <f t="shared" si="7"/>
        <v>0.99994915857440647</v>
      </c>
      <c r="AA56" s="2">
        <f t="shared" si="5"/>
        <v>0.7701676085072614</v>
      </c>
      <c r="AB56" s="1"/>
    </row>
    <row r="57" spans="1:28" x14ac:dyDescent="0.25">
      <c r="A57" s="9" t="s">
        <v>24</v>
      </c>
      <c r="B57" s="10" t="s">
        <v>79</v>
      </c>
      <c r="C57" s="10" t="s">
        <v>80</v>
      </c>
      <c r="D57" s="10" t="str">
        <f>VLOOKUP(C57,Setup!A:F,3,)</f>
        <v>Air freshener NUZHNIE VESHI Kiwi grapes. antitobacco, 300 ml, N</v>
      </c>
      <c r="E57" s="10" t="str">
        <f>VLOOKUP(C57,Setup!A:F,4,)</f>
        <v>NUZHNYE VESHI</v>
      </c>
      <c r="F57" s="10" t="str">
        <f>VLOOKUP(C57,Setup!A:F,5,)</f>
        <v>AIR FRESHENERS</v>
      </c>
      <c r="G57" s="10" t="str">
        <f>VLOOKUP(C57,Setup!A:F,6,)</f>
        <v>Air fresheners waterbase</v>
      </c>
      <c r="H57" s="11" t="s">
        <v>149</v>
      </c>
      <c r="I57" s="24">
        <v>20636</v>
      </c>
      <c r="J57" s="12">
        <v>20724</v>
      </c>
      <c r="K57" s="13">
        <v>120</v>
      </c>
      <c r="L57" s="13">
        <v>120</v>
      </c>
      <c r="M57" s="13">
        <v>0</v>
      </c>
      <c r="N57" s="1"/>
      <c r="O57" s="1"/>
      <c r="P57" s="14">
        <v>335</v>
      </c>
      <c r="Q57" s="1">
        <f>21</f>
        <v>21</v>
      </c>
      <c r="R57" s="1">
        <f>4</f>
        <v>4</v>
      </c>
      <c r="S57" s="1"/>
      <c r="T57" s="1"/>
      <c r="U57" s="1">
        <f>6</f>
        <v>6</v>
      </c>
      <c r="V57" s="40">
        <f t="shared" si="2"/>
        <v>1.0122921185827911E-3</v>
      </c>
      <c r="W57" s="40">
        <f t="shared" si="3"/>
        <v>1.9297568506368199E-4</v>
      </c>
      <c r="X57" s="40">
        <f t="shared" si="4"/>
        <v>2.8943560057887119E-4</v>
      </c>
      <c r="Y57" s="2">
        <f t="shared" si="6"/>
        <v>0.51552238805970152</v>
      </c>
      <c r="Z57" s="2">
        <f t="shared" si="7"/>
        <v>0.99980702431493629</v>
      </c>
      <c r="AA57" s="2">
        <f t="shared" si="5"/>
        <v>0.51542290477370001</v>
      </c>
      <c r="AB57" s="1"/>
    </row>
    <row r="58" spans="1:28" x14ac:dyDescent="0.25">
      <c r="A58" s="9" t="s">
        <v>24</v>
      </c>
      <c r="B58" s="10" t="s">
        <v>76</v>
      </c>
      <c r="C58" s="10" t="s">
        <v>77</v>
      </c>
      <c r="D58" s="10" t="str">
        <f>VLOOKUP(C58,Setup!A:F,3,)</f>
        <v>Air freshener NUZHNIE VESHI Vanilla comfort, 300 ml, N</v>
      </c>
      <c r="E58" s="10" t="str">
        <f>VLOOKUP(C58,Setup!A:F,4,)</f>
        <v>NUZHNYE VESHI</v>
      </c>
      <c r="F58" s="10" t="str">
        <f>VLOOKUP(C58,Setup!A:F,5,)</f>
        <v>AIR FRESHENERS</v>
      </c>
      <c r="G58" s="10" t="str">
        <f>VLOOKUP(C58,Setup!A:F,6,)</f>
        <v>Air fresheners waterbase</v>
      </c>
      <c r="H58" s="11" t="s">
        <v>150</v>
      </c>
      <c r="I58" s="24">
        <v>15857</v>
      </c>
      <c r="J58" s="12">
        <v>15816</v>
      </c>
      <c r="K58" s="13">
        <v>120</v>
      </c>
      <c r="L58" s="13">
        <v>15</v>
      </c>
      <c r="M58" s="13">
        <v>30</v>
      </c>
      <c r="N58" s="1"/>
      <c r="O58" s="1"/>
      <c r="P58" s="14">
        <v>194</v>
      </c>
      <c r="Q58" s="1">
        <v>11</v>
      </c>
      <c r="R58" s="1">
        <v>25</v>
      </c>
      <c r="S58" s="1"/>
      <c r="T58" s="1"/>
      <c r="U58" s="1">
        <v>6</v>
      </c>
      <c r="V58" s="40">
        <f t="shared" si="2"/>
        <v>6.9501484804448098E-4</v>
      </c>
      <c r="W58" s="40">
        <f t="shared" si="3"/>
        <v>1.5781831955053343E-3</v>
      </c>
      <c r="X58" s="40">
        <f t="shared" si="4"/>
        <v>3.7921880925293893E-4</v>
      </c>
      <c r="Y58" s="2">
        <f t="shared" si="6"/>
        <v>0.8036585365853659</v>
      </c>
      <c r="Z58" s="2">
        <f t="shared" si="7"/>
        <v>0.99842181680449471</v>
      </c>
      <c r="AA58" s="2">
        <f t="shared" si="5"/>
        <v>0.80239021618800255</v>
      </c>
      <c r="AB58" s="1"/>
    </row>
    <row r="59" spans="1:28" x14ac:dyDescent="0.25">
      <c r="A59" s="9" t="s">
        <v>24</v>
      </c>
      <c r="B59" s="10" t="s">
        <v>91</v>
      </c>
      <c r="C59" s="10" t="s">
        <v>92</v>
      </c>
      <c r="D59" s="10" t="str">
        <f>VLOOKUP(C59,Setup!A:F,3,)</f>
        <v>Air freshener NUZHNIE VESHI Gentle freesia, 300 ml, N</v>
      </c>
      <c r="E59" s="10" t="str">
        <f>VLOOKUP(C59,Setup!A:F,4,)</f>
        <v>NUZHNYE VESHI</v>
      </c>
      <c r="F59" s="10" t="str">
        <f>VLOOKUP(C59,Setup!A:F,5,)</f>
        <v>AIR FRESHENERS</v>
      </c>
      <c r="G59" s="10" t="str">
        <f>VLOOKUP(C59,Setup!A:F,6,)</f>
        <v>Air fresheners waterbase</v>
      </c>
      <c r="H59" s="11" t="s">
        <v>151</v>
      </c>
      <c r="I59" s="24">
        <v>21090</v>
      </c>
      <c r="J59" s="12">
        <f>14544+6414</f>
        <v>20958</v>
      </c>
      <c r="K59" s="13">
        <v>60</v>
      </c>
      <c r="L59" s="13">
        <v>30</v>
      </c>
      <c r="M59" s="13">
        <v>15</v>
      </c>
      <c r="N59" s="1"/>
      <c r="O59" s="1"/>
      <c r="P59" s="14">
        <f>302+92</f>
        <v>394</v>
      </c>
      <c r="Q59" s="1">
        <f>8+9</f>
        <v>17</v>
      </c>
      <c r="R59" s="1">
        <f>1+1</f>
        <v>2</v>
      </c>
      <c r="S59" s="1"/>
      <c r="T59" s="1"/>
      <c r="U59" s="1">
        <v>6</v>
      </c>
      <c r="V59" s="40">
        <f t="shared" si="2"/>
        <v>8.1048867699642436E-4</v>
      </c>
      <c r="W59" s="40">
        <f t="shared" si="3"/>
        <v>9.5419847328244274E-5</v>
      </c>
      <c r="X59" s="40">
        <f t="shared" si="4"/>
        <v>2.8620492272467084E-4</v>
      </c>
      <c r="Y59" s="2">
        <f t="shared" si="6"/>
        <v>0.92163588390501316</v>
      </c>
      <c r="Z59" s="2">
        <f t="shared" si="7"/>
        <v>0.99990458015267181</v>
      </c>
      <c r="AA59" s="2">
        <f t="shared" si="5"/>
        <v>0.92154794154967878</v>
      </c>
      <c r="AB59" s="1" t="s">
        <v>4859</v>
      </c>
    </row>
    <row r="60" spans="1:28" x14ac:dyDescent="0.25">
      <c r="A60" s="9" t="s">
        <v>24</v>
      </c>
      <c r="B60" s="10" t="s">
        <v>85</v>
      </c>
      <c r="C60" s="10" t="s">
        <v>86</v>
      </c>
      <c r="D60" s="10" t="str">
        <f>VLOOKUP(C60,Setup!A:F,3,)</f>
        <v>Air freshener NUZHNIE VESHI Queen of flowers, 300 ml, N</v>
      </c>
      <c r="E60" s="10" t="str">
        <f>VLOOKUP(C60,Setup!A:F,4,)</f>
        <v>NUZHNYE VESHI</v>
      </c>
      <c r="F60" s="10" t="str">
        <f>VLOOKUP(C60,Setup!A:F,5,)</f>
        <v>AIR FRESHENERS</v>
      </c>
      <c r="G60" s="10" t="str">
        <f>VLOOKUP(C60,Setup!A:F,6,)</f>
        <v>Air fresheners waterbase</v>
      </c>
      <c r="H60" s="11" t="s">
        <v>152</v>
      </c>
      <c r="I60" s="29">
        <v>5894</v>
      </c>
      <c r="J60" s="12">
        <v>6040</v>
      </c>
      <c r="K60" s="13">
        <v>120</v>
      </c>
      <c r="L60" s="13">
        <v>30</v>
      </c>
      <c r="M60" s="13">
        <v>0</v>
      </c>
      <c r="N60" s="1"/>
      <c r="O60" s="1"/>
      <c r="P60" s="14">
        <v>60</v>
      </c>
      <c r="Q60" s="1">
        <v>0</v>
      </c>
      <c r="R60" s="1">
        <v>7</v>
      </c>
      <c r="S60" s="1"/>
      <c r="T60" s="1"/>
      <c r="U60" s="1">
        <v>6</v>
      </c>
      <c r="V60" s="40">
        <f t="shared" si="2"/>
        <v>0</v>
      </c>
      <c r="W60" s="40">
        <f t="shared" si="3"/>
        <v>1.1575988093269389E-3</v>
      </c>
      <c r="X60" s="40">
        <f t="shared" si="4"/>
        <v>9.9239166391002311E-4</v>
      </c>
      <c r="Y60" s="2">
        <f t="shared" si="6"/>
        <v>0.83888888888888891</v>
      </c>
      <c r="Z60" s="2">
        <f t="shared" si="7"/>
        <v>0.99884240119067302</v>
      </c>
      <c r="AA60" s="2">
        <f t="shared" si="5"/>
        <v>0.83791779210995354</v>
      </c>
      <c r="AB60" s="1"/>
    </row>
    <row r="61" spans="1:28" x14ac:dyDescent="0.25">
      <c r="A61" s="9" t="s">
        <v>24</v>
      </c>
      <c r="B61" s="10" t="s">
        <v>82</v>
      </c>
      <c r="C61" s="10" t="s">
        <v>83</v>
      </c>
      <c r="D61" s="10" t="str">
        <f>VLOOKUP(C61,Setup!A:F,3,)</f>
        <v>Air freshener NUZHNIE VISHI Lime and cinnanmon, 300 ml, N</v>
      </c>
      <c r="E61" s="10" t="str">
        <f>VLOOKUP(C61,Setup!A:F,4,)</f>
        <v>NUZHNYE VESHI</v>
      </c>
      <c r="F61" s="10" t="str">
        <f>VLOOKUP(C61,Setup!A:F,5,)</f>
        <v>AIR FRESHENERS</v>
      </c>
      <c r="G61" s="10" t="str">
        <f>VLOOKUP(C61,Setup!A:F,6,)</f>
        <v>Air fresheners waterbase</v>
      </c>
      <c r="H61" s="11" t="s">
        <v>153</v>
      </c>
      <c r="I61" s="25">
        <v>3392</v>
      </c>
      <c r="J61" s="12">
        <v>3372</v>
      </c>
      <c r="K61" s="13">
        <v>120</v>
      </c>
      <c r="L61" s="13">
        <v>15</v>
      </c>
      <c r="M61" s="13">
        <v>0</v>
      </c>
      <c r="N61" s="1"/>
      <c r="O61" s="1"/>
      <c r="P61" s="14">
        <v>41</v>
      </c>
      <c r="Q61" s="1">
        <v>0</v>
      </c>
      <c r="R61" s="1">
        <v>8</v>
      </c>
      <c r="S61" s="1"/>
      <c r="T61" s="1"/>
      <c r="U61" s="1">
        <v>6</v>
      </c>
      <c r="V61" s="40">
        <f t="shared" si="2"/>
        <v>0</v>
      </c>
      <c r="W61" s="40">
        <f t="shared" si="3"/>
        <v>2.3668639053254438E-3</v>
      </c>
      <c r="X61" s="40">
        <f t="shared" si="4"/>
        <v>1.7761989342806395E-3</v>
      </c>
      <c r="Y61" s="2">
        <f t="shared" si="6"/>
        <v>0.68536585365853664</v>
      </c>
      <c r="Z61" s="2">
        <f t="shared" si="7"/>
        <v>0.99763313609467452</v>
      </c>
      <c r="AA61" s="2">
        <f t="shared" si="5"/>
        <v>0.68374368595756962</v>
      </c>
      <c r="AB61" s="1"/>
    </row>
    <row r="62" spans="1:28" x14ac:dyDescent="0.25">
      <c r="A62" s="9" t="s">
        <v>24</v>
      </c>
      <c r="B62" s="10" t="s">
        <v>88</v>
      </c>
      <c r="C62" s="10" t="s">
        <v>89</v>
      </c>
      <c r="D62" s="10" t="str">
        <f>VLOOKUP(C62,Setup!A:F,3,)</f>
        <v>Air freshener NUZHNIE VESHI Summer rain, 300 ml, N</v>
      </c>
      <c r="E62" s="10" t="str">
        <f>VLOOKUP(C62,Setup!A:F,4,)</f>
        <v>NUZHNYE VESHI</v>
      </c>
      <c r="F62" s="10" t="str">
        <f>VLOOKUP(C62,Setup!A:F,5,)</f>
        <v>AIR FRESHENERS</v>
      </c>
      <c r="G62" s="10" t="str">
        <f>VLOOKUP(C62,Setup!A:F,6,)</f>
        <v>Air fresheners waterbase</v>
      </c>
      <c r="H62" s="11" t="s">
        <v>154</v>
      </c>
      <c r="I62" s="25">
        <v>2171</v>
      </c>
      <c r="J62" s="12">
        <v>2184</v>
      </c>
      <c r="K62" s="13">
        <v>60</v>
      </c>
      <c r="L62" s="13">
        <v>30</v>
      </c>
      <c r="M62" s="13">
        <v>0</v>
      </c>
      <c r="N62" s="1"/>
      <c r="O62" s="1"/>
      <c r="P62" s="14">
        <v>50</v>
      </c>
      <c r="Q62" s="1"/>
      <c r="R62" s="1"/>
      <c r="S62" s="1"/>
      <c r="T62" s="1"/>
      <c r="U62" s="1">
        <v>6</v>
      </c>
      <c r="V62" s="40">
        <f t="shared" si="2"/>
        <v>0</v>
      </c>
      <c r="W62" s="40">
        <f t="shared" si="3"/>
        <v>0</v>
      </c>
      <c r="X62" s="40">
        <f t="shared" si="4"/>
        <v>2.7397260273972603E-3</v>
      </c>
      <c r="Y62" s="2">
        <f t="shared" si="6"/>
        <v>0.72799999999999998</v>
      </c>
      <c r="Z62" s="2">
        <f t="shared" si="7"/>
        <v>1</v>
      </c>
      <c r="AA62" s="2">
        <f t="shared" si="5"/>
        <v>0.72799999999999998</v>
      </c>
      <c r="AB62" s="1" t="s">
        <v>4859</v>
      </c>
    </row>
    <row r="63" spans="1:28" x14ac:dyDescent="0.25">
      <c r="A63" s="9" t="s">
        <v>24</v>
      </c>
      <c r="B63" s="10" t="s">
        <v>25</v>
      </c>
      <c r="C63" s="10" t="s">
        <v>26</v>
      </c>
      <c r="D63" s="10" t="str">
        <f>VLOOKUP(C63,Setup!A:F,3,)</f>
        <v>Air freshener AIR WICK French Riviera Sea wave and Light breeze, 290 ml, new</v>
      </c>
      <c r="E63" s="10" t="str">
        <f>VLOOKUP(C63,Setup!A:F,4,)</f>
        <v>AIR WICK</v>
      </c>
      <c r="F63" s="10" t="str">
        <f>VLOOKUP(C63,Setup!A:F,5,)</f>
        <v>AIR FRESHENERS</v>
      </c>
      <c r="G63" s="10" t="str">
        <f>VLOOKUP(C63,Setup!A:F,6,)</f>
        <v>Air fresheners waterbase RB</v>
      </c>
      <c r="H63" s="11" t="s">
        <v>155</v>
      </c>
      <c r="I63" s="24">
        <v>11550</v>
      </c>
      <c r="J63" s="12">
        <v>11520</v>
      </c>
      <c r="K63" s="13">
        <v>120</v>
      </c>
      <c r="L63" s="13">
        <v>30</v>
      </c>
      <c r="M63" s="13">
        <v>0</v>
      </c>
      <c r="N63" s="1">
        <v>60</v>
      </c>
      <c r="O63" s="1" t="s">
        <v>4840</v>
      </c>
      <c r="P63" s="14">
        <v>190</v>
      </c>
      <c r="Q63" s="1">
        <v>10</v>
      </c>
      <c r="R63" s="1">
        <v>5</v>
      </c>
      <c r="S63" s="1"/>
      <c r="T63" s="1"/>
      <c r="U63" s="1">
        <v>8</v>
      </c>
      <c r="V63" s="40">
        <f t="shared" si="2"/>
        <v>8.6730268863833475E-4</v>
      </c>
      <c r="W63" s="40">
        <f t="shared" si="3"/>
        <v>4.3383947939262471E-4</v>
      </c>
      <c r="X63" s="40">
        <f t="shared" si="4"/>
        <v>6.939625260235947E-4</v>
      </c>
      <c r="Y63" s="2">
        <f t="shared" si="6"/>
        <v>0.7384615384615385</v>
      </c>
      <c r="Z63" s="2">
        <f t="shared" si="7"/>
        <v>0.99956616052060743</v>
      </c>
      <c r="AA63" s="2">
        <f t="shared" si="5"/>
        <v>0.73814116469214086</v>
      </c>
      <c r="AB63" s="1"/>
    </row>
    <row r="64" spans="1:28" x14ac:dyDescent="0.25">
      <c r="A64" s="9" t="s">
        <v>24</v>
      </c>
      <c r="B64" s="10" t="s">
        <v>31</v>
      </c>
      <c r="C64" s="10" t="s">
        <v>32</v>
      </c>
      <c r="D64" s="10" t="str">
        <f>VLOOKUP(C64,Setup!A:F,3,)</f>
        <v>Air freshener AIR WICK Spanish holidays Grapefruit and Blooming lime, 290 ml, new</v>
      </c>
      <c r="E64" s="10" t="str">
        <f>VLOOKUP(C64,Setup!A:F,4,)</f>
        <v>AIR WICK</v>
      </c>
      <c r="F64" s="10" t="str">
        <f>VLOOKUP(C64,Setup!A:F,5,)</f>
        <v>AIR FRESHENERS</v>
      </c>
      <c r="G64" s="10" t="str">
        <f>VLOOKUP(C64,Setup!A:F,6,)</f>
        <v>Air fresheners waterbase RB</v>
      </c>
      <c r="H64" s="11" t="s">
        <v>156</v>
      </c>
      <c r="I64" s="24">
        <v>27720</v>
      </c>
      <c r="J64" s="12">
        <v>27672</v>
      </c>
      <c r="K64" s="13">
        <v>120</v>
      </c>
      <c r="L64" s="13">
        <v>15</v>
      </c>
      <c r="M64" s="13">
        <v>0</v>
      </c>
      <c r="N64" s="1"/>
      <c r="O64" s="1"/>
      <c r="P64" s="14">
        <v>277</v>
      </c>
      <c r="Q64" s="1">
        <f>22</f>
        <v>22</v>
      </c>
      <c r="R64" s="1">
        <f>10</f>
        <v>10</v>
      </c>
      <c r="S64" s="1"/>
      <c r="T64" s="1"/>
      <c r="U64" s="1">
        <f>8</f>
        <v>8</v>
      </c>
      <c r="V64" s="40">
        <f t="shared" si="2"/>
        <v>7.9439589802845383E-4</v>
      </c>
      <c r="W64" s="40">
        <f t="shared" si="3"/>
        <v>3.6124557474170941E-4</v>
      </c>
      <c r="X64" s="40">
        <f t="shared" si="4"/>
        <v>2.8901734104046245E-4</v>
      </c>
      <c r="Y64" s="2">
        <f t="shared" si="6"/>
        <v>0.83249097472924183</v>
      </c>
      <c r="Z64" s="2">
        <f t="shared" si="7"/>
        <v>0.99963875442525829</v>
      </c>
      <c r="AA64" s="2">
        <f t="shared" si="5"/>
        <v>0.8321902410486085</v>
      </c>
      <c r="AB64" s="1"/>
    </row>
    <row r="65" spans="1:28" x14ac:dyDescent="0.25">
      <c r="A65" s="9" t="s">
        <v>24</v>
      </c>
      <c r="B65" s="10" t="s">
        <v>40</v>
      </c>
      <c r="C65" s="10" t="s">
        <v>41</v>
      </c>
      <c r="D65" s="10" t="str">
        <f>VLOOKUP(C65,Setup!A:F,3,)</f>
        <v>Air freshener AIR WICK Japanese Spring Cherry blossoms and Bergamot, 290 ml, new</v>
      </c>
      <c r="E65" s="10" t="str">
        <f>VLOOKUP(C65,Setup!A:F,4,)</f>
        <v>AIR WICK</v>
      </c>
      <c r="F65" s="10" t="str">
        <f>VLOOKUP(C65,Setup!A:F,5,)</f>
        <v>AIR FRESHENERS</v>
      </c>
      <c r="G65" s="10" t="str">
        <f>VLOOKUP(C65,Setup!A:F,6,)</f>
        <v>Air fresheners waterbase RB</v>
      </c>
      <c r="H65" s="11" t="s">
        <v>157</v>
      </c>
      <c r="I65" s="25">
        <v>11550</v>
      </c>
      <c r="J65" s="12">
        <v>11532</v>
      </c>
      <c r="K65" s="13">
        <v>120</v>
      </c>
      <c r="L65" s="13">
        <v>15</v>
      </c>
      <c r="M65" s="13">
        <v>0</v>
      </c>
      <c r="N65" s="1"/>
      <c r="O65" s="1"/>
      <c r="P65" s="14">
        <f>25-10+112</f>
        <v>127</v>
      </c>
      <c r="Q65" s="1">
        <v>7</v>
      </c>
      <c r="R65" s="1">
        <v>2</v>
      </c>
      <c r="S65" s="1"/>
      <c r="T65" s="1"/>
      <c r="U65" s="1">
        <v>8</v>
      </c>
      <c r="V65" s="40">
        <f t="shared" si="2"/>
        <v>6.0663835687667909E-4</v>
      </c>
      <c r="W65" s="40">
        <f t="shared" si="3"/>
        <v>1.7340038148083925E-4</v>
      </c>
      <c r="X65" s="40">
        <f t="shared" si="4"/>
        <v>6.932409012131716E-4</v>
      </c>
      <c r="Y65" s="2">
        <f t="shared" si="6"/>
        <v>0.75669291338582678</v>
      </c>
      <c r="Z65" s="2">
        <f t="shared" si="7"/>
        <v>0.99982659961851916</v>
      </c>
      <c r="AA65" s="2">
        <f t="shared" si="5"/>
        <v>0.75656170254598187</v>
      </c>
      <c r="AB65" s="1"/>
    </row>
    <row r="66" spans="1:28" x14ac:dyDescent="0.25">
      <c r="A66" s="9" t="s">
        <v>24</v>
      </c>
      <c r="B66" s="10" t="s">
        <v>43</v>
      </c>
      <c r="C66" s="10" t="s">
        <v>44</v>
      </c>
      <c r="D66" s="10" t="str">
        <f>VLOOKUP(C66,Setup!A:F,3,)</f>
        <v>Air freshener AIR WICK Moroccan morning Mint leaves and Green tea, 290 ml, new</v>
      </c>
      <c r="E66" s="10" t="str">
        <f>VLOOKUP(C66,Setup!A:F,4,)</f>
        <v>AIR WICK</v>
      </c>
      <c r="F66" s="10" t="str">
        <f>VLOOKUP(C66,Setup!A:F,5,)</f>
        <v>AIR FRESHENERS</v>
      </c>
      <c r="G66" s="10" t="str">
        <f>VLOOKUP(C66,Setup!A:F,6,)</f>
        <v>Air fresheners waterbase RB</v>
      </c>
      <c r="H66" s="11" t="s">
        <v>158</v>
      </c>
      <c r="I66" s="24">
        <v>6930</v>
      </c>
      <c r="J66" s="12">
        <v>6936</v>
      </c>
      <c r="K66" s="13">
        <v>120</v>
      </c>
      <c r="L66" s="13">
        <v>15</v>
      </c>
      <c r="M66" s="13">
        <v>0</v>
      </c>
      <c r="N66" s="1"/>
      <c r="O66" s="1"/>
      <c r="P66" s="14">
        <v>70</v>
      </c>
      <c r="Q66" s="1">
        <v>2</v>
      </c>
      <c r="R66" s="1">
        <v>2</v>
      </c>
      <c r="S66" s="1"/>
      <c r="T66" s="1"/>
      <c r="U66" s="1">
        <v>8</v>
      </c>
      <c r="V66" s="40">
        <f t="shared" si="2"/>
        <v>2.8826751225136929E-4</v>
      </c>
      <c r="W66" s="40">
        <f t="shared" si="3"/>
        <v>2.8826751225136929E-4</v>
      </c>
      <c r="X66" s="40">
        <f t="shared" si="4"/>
        <v>1.152073732718894E-3</v>
      </c>
      <c r="Y66" s="2">
        <f t="shared" ref="Y66:Y76" si="8">(J66/(K66*(P66-M66-N66)))</f>
        <v>0.82571428571428573</v>
      </c>
      <c r="Z66" s="2">
        <f t="shared" ref="Z66:Z76" si="9">(J66/(J66+R66+S66-T66))</f>
        <v>0.99971173248774858</v>
      </c>
      <c r="AA66" s="2">
        <f t="shared" si="5"/>
        <v>0.82547625911131239</v>
      </c>
      <c r="AB66" s="1"/>
    </row>
    <row r="67" spans="1:28" x14ac:dyDescent="0.25">
      <c r="A67" s="9" t="s">
        <v>24</v>
      </c>
      <c r="B67" s="10" t="s">
        <v>37</v>
      </c>
      <c r="C67" s="10" t="s">
        <v>38</v>
      </c>
      <c r="D67" s="10" t="str">
        <f>VLOOKUP(C67,Setup!A:F,3,)</f>
        <v>Air freshener AIR WICK Maldivian Dreams Tropical flowers and Patchouli, 290 ml, new</v>
      </c>
      <c r="E67" s="10" t="str">
        <f>VLOOKUP(C67,Setup!A:F,4,)</f>
        <v>AIR WICK</v>
      </c>
      <c r="F67" s="10" t="str">
        <f>VLOOKUP(C67,Setup!A:F,5,)</f>
        <v>AIR FRESHENERS</v>
      </c>
      <c r="G67" s="10" t="str">
        <f>VLOOKUP(C67,Setup!A:F,6,)</f>
        <v>Air fresheners waterbase RB</v>
      </c>
      <c r="H67" s="11" t="s">
        <v>159</v>
      </c>
      <c r="I67" s="24">
        <v>40400</v>
      </c>
      <c r="J67" s="12">
        <v>37536</v>
      </c>
      <c r="K67" s="13">
        <v>120</v>
      </c>
      <c r="L67" s="13">
        <v>15</v>
      </c>
      <c r="M67" s="13">
        <f>45+15</f>
        <v>60</v>
      </c>
      <c r="N67" s="1"/>
      <c r="O67" s="1"/>
      <c r="P67" s="14">
        <v>418</v>
      </c>
      <c r="Q67" s="1">
        <v>5</v>
      </c>
      <c r="R67" s="1">
        <v>10</v>
      </c>
      <c r="S67" s="1"/>
      <c r="T67" s="1"/>
      <c r="U67" s="1">
        <v>8</v>
      </c>
      <c r="V67" s="40">
        <f t="shared" ref="V67:V76" si="10">Q67/(Q67+J67)</f>
        <v>1.3318771476519007E-4</v>
      </c>
      <c r="W67" s="40">
        <f t="shared" ref="W67:W76" si="11">R67/(R67+J67)</f>
        <v>2.6633995632024715E-4</v>
      </c>
      <c r="X67" s="40">
        <f t="shared" ref="X67:X76" si="12">U67/(U67+J67)</f>
        <v>2.1308331557639036E-4</v>
      </c>
      <c r="Y67" s="2">
        <f t="shared" si="8"/>
        <v>0.8737430167597765</v>
      </c>
      <c r="Z67" s="2">
        <f t="shared" si="9"/>
        <v>0.99973366004367981</v>
      </c>
      <c r="AA67" s="2">
        <f t="shared" ref="AA67:AA76" si="13">Y67*Z67</f>
        <v>0.87351030408285768</v>
      </c>
      <c r="AB67" s="1"/>
    </row>
    <row r="68" spans="1:28" x14ac:dyDescent="0.25">
      <c r="A68" s="9" t="s">
        <v>24</v>
      </c>
      <c r="B68" s="10" t="s">
        <v>160</v>
      </c>
      <c r="C68" s="10" t="s">
        <v>161</v>
      </c>
      <c r="D68" s="10" t="str">
        <f>VLOOKUP(C68,Setup!A:F,3,)</f>
        <v>Air freshener AIR PURE Home Aroma Breath of the taiga, 230 ml</v>
      </c>
      <c r="E68" s="10" t="str">
        <f>VLOOKUP(C68,Setup!A:F,4,)</f>
        <v>AIR PURE</v>
      </c>
      <c r="F68" s="10" t="str">
        <f>VLOOKUP(C68,Setup!A:F,5,)</f>
        <v>AIR FRESHENERS</v>
      </c>
      <c r="G68" s="10" t="str">
        <f>VLOOKUP(C68,Setup!A:F,6,)</f>
        <v xml:space="preserve">Air fresheners refill </v>
      </c>
      <c r="H68" s="11" t="s">
        <v>162</v>
      </c>
      <c r="I68" s="25">
        <v>50082</v>
      </c>
      <c r="J68" s="12">
        <v>50058</v>
      </c>
      <c r="K68" s="13">
        <v>84</v>
      </c>
      <c r="L68" s="13">
        <v>120</v>
      </c>
      <c r="M68" s="13">
        <v>60</v>
      </c>
      <c r="N68" s="1">
        <v>34</v>
      </c>
      <c r="O68" s="1" t="s">
        <v>4841</v>
      </c>
      <c r="P68" s="14">
        <f>135-10+735-10+105</f>
        <v>955</v>
      </c>
      <c r="Q68" s="1">
        <f>6+1</f>
        <v>7</v>
      </c>
      <c r="R68" s="1">
        <f>1+7</f>
        <v>8</v>
      </c>
      <c r="S68" s="1"/>
      <c r="T68" s="1"/>
      <c r="U68" s="1">
        <v>6</v>
      </c>
      <c r="V68" s="40">
        <f t="shared" si="10"/>
        <v>1.3981823629281934E-4</v>
      </c>
      <c r="W68" s="40">
        <f t="shared" si="11"/>
        <v>1.5978907841649023E-4</v>
      </c>
      <c r="X68" s="40">
        <f t="shared" si="12"/>
        <v>1.1984659635666346E-4</v>
      </c>
      <c r="Y68" s="2">
        <f t="shared" si="8"/>
        <v>0.69213539074166253</v>
      </c>
      <c r="Z68" s="2">
        <f t="shared" si="9"/>
        <v>0.99984021092158348</v>
      </c>
      <c r="AA68" s="2">
        <f t="shared" si="13"/>
        <v>0.69202479506543646</v>
      </c>
      <c r="AB68" s="1"/>
    </row>
    <row r="69" spans="1:28" x14ac:dyDescent="0.25">
      <c r="A69" s="9" t="s">
        <v>24</v>
      </c>
      <c r="B69" s="10" t="s">
        <v>163</v>
      </c>
      <c r="C69" s="10" t="s">
        <v>164</v>
      </c>
      <c r="D69" s="10" t="str">
        <f>VLOOKUP(C69,Setup!A:F,3,)</f>
        <v>Air freshener AIR PURE Lilac Day, 230 ml</v>
      </c>
      <c r="E69" s="10" t="str">
        <f>VLOOKUP(C69,Setup!A:F,4,)</f>
        <v>AIR PURE</v>
      </c>
      <c r="F69" s="10" t="str">
        <f>VLOOKUP(C69,Setup!A:F,5,)</f>
        <v>AIR FRESHENERS</v>
      </c>
      <c r="G69" s="10" t="str">
        <f>VLOOKUP(C69,Setup!A:F,6,)</f>
        <v xml:space="preserve">Air fresheners refill </v>
      </c>
      <c r="H69" s="11" t="s">
        <v>165</v>
      </c>
      <c r="I69" s="25">
        <v>9233</v>
      </c>
      <c r="J69" s="12">
        <v>9242</v>
      </c>
      <c r="K69" s="13">
        <v>84</v>
      </c>
      <c r="L69" s="13">
        <v>15</v>
      </c>
      <c r="M69" s="13">
        <v>0</v>
      </c>
      <c r="N69" s="1">
        <v>26</v>
      </c>
      <c r="O69" s="1" t="s">
        <v>4842</v>
      </c>
      <c r="P69" s="14">
        <v>152</v>
      </c>
      <c r="Q69" s="1"/>
      <c r="R69" s="1"/>
      <c r="S69" s="1"/>
      <c r="T69" s="1"/>
      <c r="U69" s="1">
        <v>6</v>
      </c>
      <c r="V69" s="40">
        <f t="shared" si="10"/>
        <v>0</v>
      </c>
      <c r="W69" s="40">
        <f t="shared" si="11"/>
        <v>0</v>
      </c>
      <c r="X69" s="40">
        <f t="shared" si="12"/>
        <v>6.487889273356401E-4</v>
      </c>
      <c r="Y69" s="2">
        <f t="shared" si="8"/>
        <v>0.87320483749055178</v>
      </c>
      <c r="Z69" s="2">
        <f t="shared" si="9"/>
        <v>1</v>
      </c>
      <c r="AA69" s="2">
        <f t="shared" si="13"/>
        <v>0.87320483749055178</v>
      </c>
      <c r="AB69" s="1"/>
    </row>
    <row r="70" spans="1:28" x14ac:dyDescent="0.25">
      <c r="A70" s="9" t="s">
        <v>24</v>
      </c>
      <c r="B70" s="10" t="s">
        <v>46</v>
      </c>
      <c r="C70" s="10" t="s">
        <v>47</v>
      </c>
      <c r="D70" s="10" t="str">
        <f>VLOOKUP(C70,Setup!A:F,3,)</f>
        <v>Air freshener AIR WICK Freshmatic Delicate silk and lily, 250 ml</v>
      </c>
      <c r="E70" s="10" t="str">
        <f>VLOOKUP(C70,Setup!A:F,4,)</f>
        <v>AIR WICK</v>
      </c>
      <c r="F70" s="10" t="str">
        <f>VLOOKUP(C70,Setup!A:F,5,)</f>
        <v>AIR FRESHENERS</v>
      </c>
      <c r="G70" s="10" t="str">
        <f>VLOOKUP(C70,Setup!A:F,6,)</f>
        <v>Air fresheners refill RB</v>
      </c>
      <c r="H70" s="11" t="s">
        <v>166</v>
      </c>
      <c r="I70" s="24">
        <v>64368</v>
      </c>
      <c r="J70" s="12">
        <f>28692+36948</f>
        <v>65640</v>
      </c>
      <c r="K70" s="13">
        <v>84</v>
      </c>
      <c r="L70" s="13">
        <v>60</v>
      </c>
      <c r="M70" s="13">
        <f>45+60</f>
        <v>105</v>
      </c>
      <c r="N70" s="1"/>
      <c r="O70" s="1"/>
      <c r="P70" s="14">
        <f>478-10+570</f>
        <v>1038</v>
      </c>
      <c r="Q70" s="1">
        <f>8</f>
        <v>8</v>
      </c>
      <c r="R70" s="1">
        <f>1+5</f>
        <v>6</v>
      </c>
      <c r="S70" s="1"/>
      <c r="T70" s="1"/>
      <c r="U70" s="1">
        <v>41</v>
      </c>
      <c r="V70" s="40">
        <f t="shared" si="10"/>
        <v>1.2186205215695832E-4</v>
      </c>
      <c r="W70" s="40">
        <f t="shared" si="11"/>
        <v>9.1399323645005026E-5</v>
      </c>
      <c r="X70" s="40">
        <f t="shared" si="12"/>
        <v>6.2422922915302752E-4</v>
      </c>
      <c r="Y70" s="2">
        <f t="shared" si="8"/>
        <v>0.83754402082376356</v>
      </c>
      <c r="Z70" s="2">
        <f t="shared" si="9"/>
        <v>0.99990860067635501</v>
      </c>
      <c r="AA70" s="2">
        <f t="shared" si="13"/>
        <v>0.83746746986673737</v>
      </c>
      <c r="AB70" s="1"/>
    </row>
    <row r="71" spans="1:28" x14ac:dyDescent="0.25">
      <c r="A71" s="9" t="s">
        <v>24</v>
      </c>
      <c r="B71" s="10" t="s">
        <v>125</v>
      </c>
      <c r="C71" s="10" t="s">
        <v>126</v>
      </c>
      <c r="D71" s="10" t="str">
        <f>VLOOKUP(C71,Setup!A:F,3,)</f>
        <v>Air freshener AIR WICK Freshmatic Tropical fantasies Ripe mango, 250 ml</v>
      </c>
      <c r="E71" s="10" t="str">
        <f>VLOOKUP(C71,Setup!A:F,4,)</f>
        <v>AIR WICK</v>
      </c>
      <c r="F71" s="10" t="str">
        <f>VLOOKUP(C71,Setup!A:F,5,)</f>
        <v>AIR FRESHENERS</v>
      </c>
      <c r="G71" s="10" t="str">
        <f>VLOOKUP(C71,Setup!A:F,6,)</f>
        <v>Air fresheners refill RB</v>
      </c>
      <c r="H71" s="11" t="s">
        <v>167</v>
      </c>
      <c r="I71" s="24">
        <v>10728</v>
      </c>
      <c r="J71" s="12">
        <f>9756+792</f>
        <v>10548</v>
      </c>
      <c r="K71" s="13">
        <v>84</v>
      </c>
      <c r="L71" s="13">
        <v>15</v>
      </c>
      <c r="M71" s="13">
        <v>0</v>
      </c>
      <c r="N71" s="1"/>
      <c r="O71" s="1"/>
      <c r="P71" s="14">
        <f>165-10+13</f>
        <v>168</v>
      </c>
      <c r="Q71" s="1">
        <f>6</f>
        <v>6</v>
      </c>
      <c r="R71" s="1">
        <f>2</f>
        <v>2</v>
      </c>
      <c r="S71" s="1"/>
      <c r="T71" s="1"/>
      <c r="U71" s="1">
        <f>14</f>
        <v>14</v>
      </c>
      <c r="V71" s="40">
        <f t="shared" si="10"/>
        <v>5.6850483229107444E-4</v>
      </c>
      <c r="W71" s="40">
        <f t="shared" si="11"/>
        <v>1.8957345971563981E-4</v>
      </c>
      <c r="X71" s="40">
        <f t="shared" si="12"/>
        <v>1.3255065328536262E-3</v>
      </c>
      <c r="Y71" s="2">
        <f t="shared" si="8"/>
        <v>0.74744897959183676</v>
      </c>
      <c r="Z71" s="2">
        <f t="shared" si="9"/>
        <v>0.9998104265402844</v>
      </c>
      <c r="AA71" s="2">
        <f t="shared" si="13"/>
        <v>0.74730728310281469</v>
      </c>
      <c r="AB71" s="1"/>
    </row>
    <row r="72" spans="1:28" x14ac:dyDescent="0.25">
      <c r="A72" s="9" t="s">
        <v>24</v>
      </c>
      <c r="B72" s="10" t="s">
        <v>168</v>
      </c>
      <c r="C72" s="10" t="s">
        <v>169</v>
      </c>
      <c r="D72" s="10" t="str">
        <f>VLOOKUP(C72,Setup!A:F,3,)</f>
        <v>Air freshener AIR PURE ALPEN FRESH Tropical flowers, 250 ml</v>
      </c>
      <c r="E72" s="10" t="str">
        <f>VLOOKUP(C72,Setup!A:F,4,)</f>
        <v>ALPEN</v>
      </c>
      <c r="F72" s="10" t="str">
        <f>VLOOKUP(C72,Setup!A:F,5,)</f>
        <v>AIR FRESHENERS</v>
      </c>
      <c r="G72" s="10" t="str">
        <f>VLOOKUP(C72,Setup!A:F,6,)</f>
        <v xml:space="preserve">Air fresheners refill </v>
      </c>
      <c r="H72" s="11" t="s">
        <v>170</v>
      </c>
      <c r="I72" s="24">
        <v>8100</v>
      </c>
      <c r="J72" s="12">
        <v>8112</v>
      </c>
      <c r="K72" s="13">
        <v>84</v>
      </c>
      <c r="L72" s="13">
        <v>60</v>
      </c>
      <c r="M72" s="13">
        <v>0</v>
      </c>
      <c r="N72" s="1"/>
      <c r="O72" s="1"/>
      <c r="P72" s="14">
        <v>147</v>
      </c>
      <c r="Q72" s="1">
        <v>7</v>
      </c>
      <c r="R72" s="1">
        <v>4</v>
      </c>
      <c r="S72" s="1"/>
      <c r="T72" s="1"/>
      <c r="U72" s="1">
        <v>6</v>
      </c>
      <c r="V72" s="40">
        <f t="shared" si="10"/>
        <v>8.6217514472225639E-4</v>
      </c>
      <c r="W72" s="40">
        <f t="shared" si="11"/>
        <v>4.9285362247412522E-4</v>
      </c>
      <c r="X72" s="40">
        <f t="shared" si="12"/>
        <v>7.3909830007390983E-4</v>
      </c>
      <c r="Y72" s="2">
        <f t="shared" si="8"/>
        <v>0.65694849368318753</v>
      </c>
      <c r="Z72" s="2">
        <f t="shared" si="9"/>
        <v>0.99950714637752591</v>
      </c>
      <c r="AA72" s="2">
        <f t="shared" si="13"/>
        <v>0.65662471423829682</v>
      </c>
      <c r="AB72" s="1"/>
    </row>
    <row r="73" spans="1:28" x14ac:dyDescent="0.25">
      <c r="A73" s="9" t="s">
        <v>24</v>
      </c>
      <c r="B73" s="10" t="s">
        <v>171</v>
      </c>
      <c r="C73" s="10" t="s">
        <v>172</v>
      </c>
      <c r="D73" s="10" t="str">
        <f>VLOOKUP(C73,Setup!A:F,3,)</f>
        <v>Air freshener AIR PURE ALPEN FRESH Freshness of a waterfall, 250 ml</v>
      </c>
      <c r="E73" s="10" t="str">
        <f>VLOOKUP(C73,Setup!A:F,4,)</f>
        <v>ALPEN</v>
      </c>
      <c r="F73" s="10" t="str">
        <f>VLOOKUP(C73,Setup!A:F,5,)</f>
        <v>AIR FRESHENERS</v>
      </c>
      <c r="G73" s="10" t="str">
        <f>VLOOKUP(C73,Setup!A:F,6,)</f>
        <v xml:space="preserve">Air fresheners refill </v>
      </c>
      <c r="H73" s="11" t="s">
        <v>173</v>
      </c>
      <c r="I73" s="24">
        <v>6100</v>
      </c>
      <c r="J73" s="12">
        <v>6216</v>
      </c>
      <c r="K73" s="13">
        <v>84</v>
      </c>
      <c r="L73" s="13">
        <v>15</v>
      </c>
      <c r="M73" s="13">
        <v>15</v>
      </c>
      <c r="N73" s="1"/>
      <c r="O73" s="1"/>
      <c r="P73" s="14">
        <v>109</v>
      </c>
      <c r="Q73" s="1"/>
      <c r="R73" s="1"/>
      <c r="S73" s="1"/>
      <c r="T73" s="1"/>
      <c r="U73" s="1">
        <f>6</f>
        <v>6</v>
      </c>
      <c r="V73" s="40">
        <f t="shared" si="10"/>
        <v>0</v>
      </c>
      <c r="W73" s="40">
        <f t="shared" si="11"/>
        <v>0</v>
      </c>
      <c r="X73" s="40">
        <f t="shared" si="12"/>
        <v>9.6432015429122472E-4</v>
      </c>
      <c r="Y73" s="2">
        <f t="shared" si="8"/>
        <v>0.78723404255319152</v>
      </c>
      <c r="Z73" s="2">
        <f t="shared" si="9"/>
        <v>1</v>
      </c>
      <c r="AA73" s="2">
        <f t="shared" si="13"/>
        <v>0.78723404255319152</v>
      </c>
      <c r="AB73" s="1"/>
    </row>
    <row r="74" spans="1:28" x14ac:dyDescent="0.25">
      <c r="A74" s="9" t="s">
        <v>24</v>
      </c>
      <c r="B74" s="10" t="s">
        <v>174</v>
      </c>
      <c r="C74" s="10" t="s">
        <v>175</v>
      </c>
      <c r="D74" s="10" t="str">
        <f>VLOOKUP(C74,Setup!A:F,3,)</f>
        <v>Air freshener AIR PURE ALPEN FRESH Sea breeze, 250 ml</v>
      </c>
      <c r="E74" s="10" t="str">
        <f>VLOOKUP(C74,Setup!A:F,4,)</f>
        <v>ALPEN</v>
      </c>
      <c r="F74" s="10" t="str">
        <f>VLOOKUP(C74,Setup!A:F,5,)</f>
        <v>AIR FRESHENERS</v>
      </c>
      <c r="G74" s="10" t="str">
        <f>VLOOKUP(C74,Setup!A:F,6,)</f>
        <v xml:space="preserve">Air fresheners refill </v>
      </c>
      <c r="H74" s="11" t="s">
        <v>176</v>
      </c>
      <c r="I74" s="24">
        <v>8000</v>
      </c>
      <c r="J74" s="12">
        <v>8040</v>
      </c>
      <c r="K74" s="13">
        <v>84</v>
      </c>
      <c r="L74" s="13">
        <v>15</v>
      </c>
      <c r="M74" s="13">
        <v>30</v>
      </c>
      <c r="N74" s="1"/>
      <c r="O74" s="1"/>
      <c r="P74" s="14">
        <v>148</v>
      </c>
      <c r="Q74" s="1">
        <v>1</v>
      </c>
      <c r="R74" s="1"/>
      <c r="S74" s="1"/>
      <c r="T74" s="1"/>
      <c r="U74" s="1">
        <f>6</f>
        <v>6</v>
      </c>
      <c r="V74" s="40">
        <f t="shared" si="10"/>
        <v>1.2436264146250465E-4</v>
      </c>
      <c r="W74" s="40">
        <f t="shared" si="11"/>
        <v>0</v>
      </c>
      <c r="X74" s="40">
        <f t="shared" si="12"/>
        <v>7.4571215510812821E-4</v>
      </c>
      <c r="Y74" s="2">
        <f t="shared" si="8"/>
        <v>0.81113801452784506</v>
      </c>
      <c r="Z74" s="2">
        <f t="shared" si="9"/>
        <v>1</v>
      </c>
      <c r="AA74" s="2">
        <f t="shared" si="13"/>
        <v>0.81113801452784506</v>
      </c>
      <c r="AB74" s="1"/>
    </row>
    <row r="75" spans="1:28" x14ac:dyDescent="0.25">
      <c r="A75" s="9" t="s">
        <v>24</v>
      </c>
      <c r="B75" s="10" t="s">
        <v>177</v>
      </c>
      <c r="C75" s="10" t="s">
        <v>178</v>
      </c>
      <c r="D75" s="10" t="str">
        <f>VLOOKUP(C75,Setup!A:F,3,)</f>
        <v>Air freshener AIR PURE ALPEN FRESH Aromatic vernissage, 250 ml</v>
      </c>
      <c r="E75" s="10" t="str">
        <f>VLOOKUP(C75,Setup!A:F,4,)</f>
        <v>ALPEN</v>
      </c>
      <c r="F75" s="10" t="str">
        <f>VLOOKUP(C75,Setup!A:F,5,)</f>
        <v>AIR FRESHENERS</v>
      </c>
      <c r="G75" s="10" t="str">
        <f>VLOOKUP(C75,Setup!A:F,6,)</f>
        <v xml:space="preserve">Air fresheners refill </v>
      </c>
      <c r="H75" s="11" t="s">
        <v>179</v>
      </c>
      <c r="I75" s="24">
        <v>9300</v>
      </c>
      <c r="J75" s="12">
        <v>9408</v>
      </c>
      <c r="K75" s="13">
        <v>84</v>
      </c>
      <c r="L75" s="13">
        <v>15</v>
      </c>
      <c r="M75" s="13">
        <v>15</v>
      </c>
      <c r="N75" s="1"/>
      <c r="O75" s="1"/>
      <c r="P75" s="14">
        <v>149</v>
      </c>
      <c r="Q75" s="1"/>
      <c r="R75" s="1"/>
      <c r="S75" s="1"/>
      <c r="T75" s="1"/>
      <c r="U75" s="1">
        <v>6</v>
      </c>
      <c r="V75" s="40">
        <f t="shared" si="10"/>
        <v>0</v>
      </c>
      <c r="W75" s="40">
        <f t="shared" si="11"/>
        <v>0</v>
      </c>
      <c r="X75" s="40">
        <f t="shared" si="12"/>
        <v>6.3734862970044612E-4</v>
      </c>
      <c r="Y75" s="2">
        <f t="shared" si="8"/>
        <v>0.83582089552238803</v>
      </c>
      <c r="Z75" s="2">
        <f t="shared" si="9"/>
        <v>1</v>
      </c>
      <c r="AA75" s="2">
        <f t="shared" si="13"/>
        <v>0.83582089552238803</v>
      </c>
      <c r="AB75" s="1"/>
    </row>
    <row r="76" spans="1:28" x14ac:dyDescent="0.25">
      <c r="A76" s="9" t="s">
        <v>24</v>
      </c>
      <c r="B76" s="10" t="s">
        <v>180</v>
      </c>
      <c r="C76" s="10" t="s">
        <v>181</v>
      </c>
      <c r="D76" s="10" t="str">
        <f>VLOOKUP(C76,Setup!A:F,3,)</f>
        <v>Air freshener AIR PURE NATURE Tropical explosion, 250 ml</v>
      </c>
      <c r="E76" s="10" t="str">
        <f>VLOOKUP(C76,Setup!A:F,4,)</f>
        <v>AIR PURE</v>
      </c>
      <c r="F76" s="10" t="str">
        <f>VLOOKUP(C76,Setup!A:F,5,)</f>
        <v>AIR FRESHENERS</v>
      </c>
      <c r="G76" s="10" t="str">
        <f>VLOOKUP(C76,Setup!A:F,6,)</f>
        <v xml:space="preserve">Air fresheners refill </v>
      </c>
      <c r="H76" s="11" t="s">
        <v>182</v>
      </c>
      <c r="I76" s="24">
        <v>44000</v>
      </c>
      <c r="J76" s="12">
        <f>1728+6336+420+37140</f>
        <v>45624</v>
      </c>
      <c r="K76" s="13">
        <v>84</v>
      </c>
      <c r="L76" s="13">
        <v>15</v>
      </c>
      <c r="M76" s="13">
        <f>15+30</f>
        <v>45</v>
      </c>
      <c r="N76" s="1">
        <v>54</v>
      </c>
      <c r="O76" s="1" t="s">
        <v>4843</v>
      </c>
      <c r="P76" s="14">
        <f>184-10+535</f>
        <v>709</v>
      </c>
      <c r="Q76" s="1">
        <f>22</f>
        <v>22</v>
      </c>
      <c r="R76" s="1">
        <f>4+4</f>
        <v>8</v>
      </c>
      <c r="S76" s="1"/>
      <c r="T76" s="1"/>
      <c r="U76" s="1">
        <v>6</v>
      </c>
      <c r="V76" s="40">
        <f t="shared" si="10"/>
        <v>4.8196994260176141E-4</v>
      </c>
      <c r="W76" s="40">
        <f t="shared" si="11"/>
        <v>1.7531556802244039E-4</v>
      </c>
      <c r="X76" s="40">
        <f t="shared" si="12"/>
        <v>1.3149243918474687E-4</v>
      </c>
      <c r="Y76" s="2">
        <f t="shared" si="8"/>
        <v>0.8903981264637002</v>
      </c>
      <c r="Z76" s="2">
        <f t="shared" si="9"/>
        <v>0.99982468443197758</v>
      </c>
      <c r="AA76" s="2">
        <f t="shared" si="13"/>
        <v>0.89024202581039313</v>
      </c>
      <c r="AB76" s="1"/>
    </row>
    <row r="77" spans="1:28" x14ac:dyDescent="0.25">
      <c r="I77" s="22">
        <f>SUM(I2:I76)</f>
        <v>1397029</v>
      </c>
      <c r="J77" s="22">
        <f t="shared" ref="J77:M77" si="14">SUM(J2:J76)</f>
        <v>1409966</v>
      </c>
      <c r="K77" s="22"/>
      <c r="L77" s="22">
        <f t="shared" si="14"/>
        <v>2265</v>
      </c>
      <c r="M77" s="22">
        <f t="shared" si="14"/>
        <v>840</v>
      </c>
      <c r="N77" s="22">
        <f>SUM(N2:N76)</f>
        <v>218</v>
      </c>
      <c r="O77" s="4"/>
      <c r="P77" s="22">
        <f>SUM(P2:P76)</f>
        <v>20205</v>
      </c>
      <c r="Q77" s="22">
        <f>SUM(Q2:Q76)</f>
        <v>941</v>
      </c>
      <c r="R77" s="22">
        <f t="shared" ref="R77:U77" si="15">SUM(R2:R76)</f>
        <v>438</v>
      </c>
      <c r="S77" s="22">
        <f t="shared" si="15"/>
        <v>0</v>
      </c>
      <c r="T77" s="22">
        <f t="shared" si="15"/>
        <v>0</v>
      </c>
      <c r="U77" s="22">
        <f t="shared" si="15"/>
        <v>749</v>
      </c>
      <c r="V77" s="41">
        <f t="shared" ref="V77" si="16">Q77/(Q77+J77)</f>
        <v>6.669468646764103E-4</v>
      </c>
      <c r="W77" s="41">
        <f t="shared" ref="W77" si="17">R77/(R77+J77)</f>
        <v>3.1054931778412429E-4</v>
      </c>
      <c r="X77" s="41">
        <f t="shared" ref="X77" si="18">U77/(U77+J77)</f>
        <v>5.3093644003218221E-4</v>
      </c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78A3-CE23-4A89-BFBD-826C94708A35}">
  <sheetPr>
    <pageSetUpPr fitToPage="1"/>
  </sheetPr>
  <dimension ref="A1:AB111"/>
  <sheetViews>
    <sheetView topLeftCell="C1" zoomScale="54" zoomScaleNormal="54" workbookViewId="0">
      <pane ySplit="1" topLeftCell="A2" activePane="bottomLeft" state="frozen"/>
      <selection pane="bottomLeft" activeCell="K1" sqref="K1"/>
    </sheetView>
  </sheetViews>
  <sheetFormatPr defaultColWidth="9" defaultRowHeight="15.75" x14ac:dyDescent="0.25"/>
  <cols>
    <col min="1" max="1" width="4.42578125" style="3" customWidth="1"/>
    <col min="2" max="2" width="81.140625" style="3" customWidth="1"/>
    <col min="3" max="3" width="16.42578125" style="3" customWidth="1"/>
    <col min="4" max="4" width="74.28515625" style="3" customWidth="1"/>
    <col min="5" max="5" width="31.5703125" style="3" customWidth="1"/>
    <col min="6" max="6" width="13.140625" style="3" customWidth="1"/>
    <col min="7" max="7" width="28.5703125" style="3" customWidth="1"/>
    <col min="8" max="8" width="9" style="3"/>
    <col min="9" max="9" width="13.140625" style="3" customWidth="1"/>
    <col min="10" max="10" width="14.140625" style="3" customWidth="1"/>
    <col min="11" max="11" width="15.85546875" style="3" customWidth="1"/>
    <col min="12" max="12" width="14.42578125" style="3" customWidth="1"/>
    <col min="13" max="13" width="11.5703125" style="3" customWidth="1"/>
    <col min="14" max="14" width="16" style="3" customWidth="1"/>
    <col min="15" max="15" width="61.85546875" style="3" customWidth="1"/>
    <col min="16" max="16" width="13.42578125" style="3" customWidth="1"/>
    <col min="17" max="17" width="11.7109375" style="3" customWidth="1"/>
    <col min="18" max="18" width="15.140625" style="3" customWidth="1"/>
    <col min="19" max="19" width="10.28515625" style="3" hidden="1" customWidth="1"/>
    <col min="20" max="20" width="2.5703125" style="3" hidden="1" customWidth="1"/>
    <col min="21" max="24" width="14.5703125" style="3" customWidth="1"/>
    <col min="25" max="25" width="9.140625" style="3" customWidth="1"/>
    <col min="26" max="27" width="9" style="3" customWidth="1"/>
    <col min="28" max="28" width="12.7109375" style="3" customWidth="1"/>
    <col min="29" max="16384" width="9" style="3"/>
  </cols>
  <sheetData>
    <row r="1" spans="1:28" ht="115.5" customHeight="1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1" t="s">
        <v>8</v>
      </c>
      <c r="J1" s="21" t="s">
        <v>9</v>
      </c>
      <c r="K1" s="21" t="s">
        <v>4861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4856</v>
      </c>
      <c r="W1" s="21" t="s">
        <v>4857</v>
      </c>
      <c r="X1" s="21" t="s">
        <v>4858</v>
      </c>
      <c r="Y1" s="21" t="s">
        <v>20</v>
      </c>
      <c r="Z1" s="21" t="s">
        <v>21</v>
      </c>
      <c r="AA1" s="21" t="s">
        <v>22</v>
      </c>
      <c r="AB1" s="21" t="s">
        <v>23</v>
      </c>
    </row>
    <row r="2" spans="1:28" x14ac:dyDescent="0.25">
      <c r="A2" s="9" t="s">
        <v>183</v>
      </c>
      <c r="B2" s="10" t="s">
        <v>184</v>
      </c>
      <c r="C2" s="8" t="s">
        <v>185</v>
      </c>
      <c r="D2" s="10" t="str">
        <f>VLOOKUP(C2,Setup!A:F,3,)</f>
        <v>Air freshener FLOWER SHOP Delicate freesia and peach, 300 ml</v>
      </c>
      <c r="E2" s="10" t="str">
        <f>VLOOKUP(C2,Setup!A:F,4,)</f>
        <v>FLOWER SHOP</v>
      </c>
      <c r="F2" s="10" t="str">
        <f>VLOOKUP(C2,Setup!A:F,5,)</f>
        <v>AIR FRESHENERS</v>
      </c>
      <c r="G2" s="10" t="str">
        <f>VLOOKUP(C2,Setup!A:F,6,)</f>
        <v>Air fresheners waterbase</v>
      </c>
      <c r="H2" s="11" t="s">
        <v>186</v>
      </c>
      <c r="I2" s="25">
        <v>11550</v>
      </c>
      <c r="J2" s="12">
        <v>11784</v>
      </c>
      <c r="K2" s="13">
        <v>150</v>
      </c>
      <c r="L2" s="13">
        <v>120</v>
      </c>
      <c r="M2" s="13">
        <v>0</v>
      </c>
      <c r="N2" s="1"/>
      <c r="O2" s="1"/>
      <c r="P2" s="13">
        <v>182</v>
      </c>
      <c r="Q2" s="1">
        <v>8</v>
      </c>
      <c r="R2" s="1">
        <v>4</v>
      </c>
      <c r="S2" s="1"/>
      <c r="T2" s="1"/>
      <c r="U2" s="1">
        <v>6</v>
      </c>
      <c r="V2" s="40">
        <f>Q2/(Q2+J2)</f>
        <v>6.7842605156037987E-4</v>
      </c>
      <c r="W2" s="40">
        <f>R2/(R2+J2)</f>
        <v>3.3932813030200206E-4</v>
      </c>
      <c r="X2" s="40">
        <f>U2/(U2+J2)</f>
        <v>5.0890585241730279E-4</v>
      </c>
      <c r="Y2" s="2">
        <f>(J2/(K2*(P2-M2-N2)))</f>
        <v>0.43164835164835164</v>
      </c>
      <c r="Z2" s="2">
        <f>(J2/(J2+R2+S2-T2))</f>
        <v>0.99966067186969798</v>
      </c>
      <c r="AA2" s="2">
        <f>Y2*Z2</f>
        <v>0.43150188122023886</v>
      </c>
      <c r="AB2" s="23"/>
    </row>
    <row r="3" spans="1:28" x14ac:dyDescent="0.25">
      <c r="A3" s="9" t="s">
        <v>183</v>
      </c>
      <c r="B3" s="10" t="s">
        <v>187</v>
      </c>
      <c r="C3" s="8" t="s">
        <v>188</v>
      </c>
      <c r="D3" s="10" t="str">
        <f>VLOOKUP(C3,Setup!A:F,3,)</f>
        <v>Air freshener ALPEN Spring forest, 300 ml</v>
      </c>
      <c r="E3" s="10" t="str">
        <f>VLOOKUP(C3,Setup!A:F,4,)</f>
        <v>ALPEN</v>
      </c>
      <c r="F3" s="10" t="str">
        <f>VLOOKUP(C3,Setup!A:F,5,)</f>
        <v>AIR FRESHENERS</v>
      </c>
      <c r="G3" s="10" t="str">
        <f>VLOOKUP(C3,Setup!A:F,6,)</f>
        <v>Air fresheners waterbase</v>
      </c>
      <c r="H3" s="11" t="s">
        <v>189</v>
      </c>
      <c r="I3" s="28">
        <v>8784</v>
      </c>
      <c r="J3" s="12">
        <v>8772</v>
      </c>
      <c r="K3" s="13">
        <v>150</v>
      </c>
      <c r="L3" s="13">
        <v>15</v>
      </c>
      <c r="M3" s="13">
        <v>0</v>
      </c>
      <c r="N3" s="5"/>
      <c r="O3" s="1"/>
      <c r="P3" s="13">
        <v>78</v>
      </c>
      <c r="Q3" s="5">
        <v>2</v>
      </c>
      <c r="R3" s="5"/>
      <c r="S3" s="5"/>
      <c r="T3" s="5"/>
      <c r="U3" s="5">
        <v>6</v>
      </c>
      <c r="V3" s="40">
        <f t="shared" ref="V3:V66" si="0">Q3/(Q3+J3)</f>
        <v>2.2794620469569182E-4</v>
      </c>
      <c r="W3" s="40">
        <f t="shared" ref="W3:W66" si="1">R3/(R3+J3)</f>
        <v>0</v>
      </c>
      <c r="X3" s="40">
        <f t="shared" ref="X3:X66" si="2">U3/(U3+J3)</f>
        <v>6.8352699931647305E-4</v>
      </c>
      <c r="Y3" s="2">
        <f t="shared" ref="Y3:Y66" si="3">(J3/(K3*(P3-M3-N3)))</f>
        <v>0.74974358974358979</v>
      </c>
      <c r="Z3" s="2">
        <f t="shared" ref="Z3:Z66" si="4">(J3/(J3+R3+S3-T3))</f>
        <v>1</v>
      </c>
      <c r="AA3" s="2">
        <f t="shared" ref="AA3:AA66" si="5">Y3*Z3</f>
        <v>0.74974358974358979</v>
      </c>
      <c r="AB3" s="23"/>
    </row>
    <row r="4" spans="1:28" x14ac:dyDescent="0.25">
      <c r="A4" s="9" t="s">
        <v>183</v>
      </c>
      <c r="B4" s="10" t="s">
        <v>190</v>
      </c>
      <c r="C4" s="8" t="s">
        <v>191</v>
      </c>
      <c r="D4" s="10" t="str">
        <f>VLOOKUP(C4,Setup!A:F,3,)</f>
        <v>Air freshener AIR PURE BY ALPEN Cotton softness, 300 ml</v>
      </c>
      <c r="E4" s="10" t="str">
        <f>VLOOKUP(C4,Setup!A:F,4,)</f>
        <v>ALPEN</v>
      </c>
      <c r="F4" s="10" t="str">
        <f>VLOOKUP(C4,Setup!A:F,5,)</f>
        <v>AIR FRESHENERS</v>
      </c>
      <c r="G4" s="10" t="str">
        <f>VLOOKUP(C4,Setup!A:F,6,)</f>
        <v>Air fresheners waterbase</v>
      </c>
      <c r="H4" s="11" t="s">
        <v>192</v>
      </c>
      <c r="I4" s="28">
        <v>10980</v>
      </c>
      <c r="J4" s="12">
        <v>10968</v>
      </c>
      <c r="K4" s="13">
        <v>150</v>
      </c>
      <c r="L4" s="13">
        <v>15</v>
      </c>
      <c r="M4" s="13">
        <v>0</v>
      </c>
      <c r="N4" s="5"/>
      <c r="O4" s="1"/>
      <c r="P4" s="13">
        <v>105</v>
      </c>
      <c r="Q4" s="5">
        <v>2</v>
      </c>
      <c r="R4" s="5"/>
      <c r="S4" s="5"/>
      <c r="T4" s="5"/>
      <c r="U4" s="5">
        <v>6</v>
      </c>
      <c r="V4" s="40">
        <f t="shared" si="0"/>
        <v>1.8231540565177758E-4</v>
      </c>
      <c r="W4" s="40">
        <f t="shared" si="1"/>
        <v>0</v>
      </c>
      <c r="X4" s="40">
        <f t="shared" si="2"/>
        <v>5.4674685620557679E-4</v>
      </c>
      <c r="Y4" s="2">
        <f t="shared" si="3"/>
        <v>0.69638095238095243</v>
      </c>
      <c r="Z4" s="2">
        <f t="shared" si="4"/>
        <v>1</v>
      </c>
      <c r="AA4" s="2">
        <f t="shared" si="5"/>
        <v>0.69638095238095243</v>
      </c>
      <c r="AB4" s="23"/>
    </row>
    <row r="5" spans="1:28" x14ac:dyDescent="0.25">
      <c r="A5" s="9" t="s">
        <v>183</v>
      </c>
      <c r="B5" s="10" t="s">
        <v>193</v>
      </c>
      <c r="C5" s="8" t="s">
        <v>194</v>
      </c>
      <c r="D5" s="10" t="str">
        <f>VLOOKUP(C5,Setup!A:F,3,)</f>
        <v>Air freshener AIR PURE BY ALPEN Lily of the valley and jasmine, 300 ml</v>
      </c>
      <c r="E5" s="10" t="str">
        <f>VLOOKUP(C5,Setup!A:F,4,)</f>
        <v>ALPEN</v>
      </c>
      <c r="F5" s="10" t="str">
        <f>VLOOKUP(C5,Setup!A:F,5,)</f>
        <v>AIR FRESHENERS</v>
      </c>
      <c r="G5" s="10" t="str">
        <f>VLOOKUP(C5,Setup!A:F,6,)</f>
        <v>Air fresheners waterbase</v>
      </c>
      <c r="H5" s="11" t="s">
        <v>195</v>
      </c>
      <c r="I5" s="28">
        <v>10614</v>
      </c>
      <c r="J5" s="12">
        <v>10608</v>
      </c>
      <c r="K5" s="13">
        <v>150</v>
      </c>
      <c r="L5" s="13">
        <v>15</v>
      </c>
      <c r="M5" s="13">
        <v>0</v>
      </c>
      <c r="N5" s="5"/>
      <c r="O5" s="1"/>
      <c r="P5" s="13">
        <f>25-10+76</f>
        <v>91</v>
      </c>
      <c r="Q5" s="5">
        <v>1</v>
      </c>
      <c r="R5" s="5">
        <v>2</v>
      </c>
      <c r="S5" s="5"/>
      <c r="T5" s="5"/>
      <c r="U5" s="5">
        <v>6</v>
      </c>
      <c r="V5" s="40">
        <f t="shared" si="0"/>
        <v>9.4259590913375435E-5</v>
      </c>
      <c r="W5" s="40">
        <f t="shared" si="1"/>
        <v>1.8850141376060322E-4</v>
      </c>
      <c r="X5" s="40">
        <f t="shared" si="2"/>
        <v>5.6529112492933857E-4</v>
      </c>
      <c r="Y5" s="2">
        <f t="shared" si="3"/>
        <v>0.77714285714285714</v>
      </c>
      <c r="Z5" s="2">
        <f t="shared" si="4"/>
        <v>0.99981149858623941</v>
      </c>
      <c r="AA5" s="2">
        <f t="shared" si="5"/>
        <v>0.77699636461559174</v>
      </c>
      <c r="AB5" s="23"/>
    </row>
    <row r="6" spans="1:28" x14ac:dyDescent="0.25">
      <c r="A6" s="9" t="s">
        <v>183</v>
      </c>
      <c r="B6" s="10" t="s">
        <v>196</v>
      </c>
      <c r="C6" s="8" t="s">
        <v>197</v>
      </c>
      <c r="D6" s="10" t="str">
        <f>VLOOKUP(C6,Setup!A:F,3,)</f>
        <v>Air freshener ALPEN Antitabacco, 300 ml</v>
      </c>
      <c r="E6" s="10" t="str">
        <f>VLOOKUP(C6,Setup!A:F,4,)</f>
        <v>ALPEN</v>
      </c>
      <c r="F6" s="10" t="str">
        <f>VLOOKUP(C6,Setup!A:F,5,)</f>
        <v>AIR FRESHENERS</v>
      </c>
      <c r="G6" s="10" t="str">
        <f>VLOOKUP(C6,Setup!A:F,6,)</f>
        <v>Air fresheners waterbase</v>
      </c>
      <c r="H6" s="11" t="s">
        <v>198</v>
      </c>
      <c r="I6" s="28">
        <v>17202</v>
      </c>
      <c r="J6" s="12">
        <v>17364</v>
      </c>
      <c r="K6" s="13">
        <v>150</v>
      </c>
      <c r="L6" s="13">
        <v>15</v>
      </c>
      <c r="M6" s="13">
        <v>0</v>
      </c>
      <c r="N6" s="5"/>
      <c r="O6" s="1"/>
      <c r="P6" s="13">
        <v>152</v>
      </c>
      <c r="Q6" s="5">
        <v>2</v>
      </c>
      <c r="R6" s="5">
        <v>3</v>
      </c>
      <c r="S6" s="5"/>
      <c r="T6" s="5"/>
      <c r="U6" s="5">
        <v>6</v>
      </c>
      <c r="V6" s="40">
        <f t="shared" si="0"/>
        <v>1.1516756881262236E-4</v>
      </c>
      <c r="W6" s="40">
        <f t="shared" si="1"/>
        <v>1.7274140611504577E-4</v>
      </c>
      <c r="X6" s="40">
        <f t="shared" si="2"/>
        <v>3.4542314335060447E-4</v>
      </c>
      <c r="Y6" s="2">
        <f t="shared" si="3"/>
        <v>0.76157894736842102</v>
      </c>
      <c r="Z6" s="2">
        <f t="shared" si="4"/>
        <v>0.99982725859388499</v>
      </c>
      <c r="AA6" s="2">
        <f t="shared" si="5"/>
        <v>0.761447391150185</v>
      </c>
      <c r="AB6" s="23"/>
    </row>
    <row r="7" spans="1:28" x14ac:dyDescent="0.25">
      <c r="A7" s="9" t="s">
        <v>183</v>
      </c>
      <c r="B7" s="10" t="s">
        <v>199</v>
      </c>
      <c r="C7" s="10" t="s">
        <v>200</v>
      </c>
      <c r="D7" s="10" t="str">
        <f>VLOOKUP(C7,Setup!A:F,3,)</f>
        <v>Air freshener ALPEN Magnolia flower, 300 ml</v>
      </c>
      <c r="E7" s="10" t="str">
        <f>VLOOKUP(C7,Setup!A:F,4,)</f>
        <v>ALPEN</v>
      </c>
      <c r="F7" s="10" t="str">
        <f>VLOOKUP(C7,Setup!A:F,5,)</f>
        <v>AIR FRESHENERS</v>
      </c>
      <c r="G7" s="10" t="str">
        <f>VLOOKUP(C7,Setup!A:F,6,)</f>
        <v>Air fresheners waterbase</v>
      </c>
      <c r="H7" s="11" t="s">
        <v>201</v>
      </c>
      <c r="I7" s="28">
        <v>19764</v>
      </c>
      <c r="J7" s="12">
        <v>19764</v>
      </c>
      <c r="K7" s="13">
        <v>150</v>
      </c>
      <c r="L7" s="13">
        <v>15</v>
      </c>
      <c r="M7" s="13">
        <v>0</v>
      </c>
      <c r="N7" s="5"/>
      <c r="O7" s="1"/>
      <c r="P7" s="13">
        <v>159</v>
      </c>
      <c r="Q7" s="5">
        <v>2</v>
      </c>
      <c r="R7" s="5">
        <v>3</v>
      </c>
      <c r="S7" s="5"/>
      <c r="T7" s="5"/>
      <c r="U7" s="5">
        <v>6</v>
      </c>
      <c r="V7" s="40">
        <f t="shared" si="0"/>
        <v>1.0118385105737125E-4</v>
      </c>
      <c r="W7" s="40">
        <f t="shared" si="1"/>
        <v>1.5176809834572774E-4</v>
      </c>
      <c r="X7" s="40">
        <f t="shared" si="2"/>
        <v>3.0349013657056146E-4</v>
      </c>
      <c r="Y7" s="2">
        <f t="shared" si="3"/>
        <v>0.82867924528301884</v>
      </c>
      <c r="Z7" s="2">
        <f t="shared" si="4"/>
        <v>0.99984823190165428</v>
      </c>
      <c r="AA7" s="2">
        <f t="shared" si="5"/>
        <v>0.82855347820982372</v>
      </c>
      <c r="AB7" s="23"/>
    </row>
    <row r="8" spans="1:28" x14ac:dyDescent="0.25">
      <c r="A8" s="9" t="s">
        <v>183</v>
      </c>
      <c r="B8" s="10" t="s">
        <v>202</v>
      </c>
      <c r="C8" s="10" t="s">
        <v>203</v>
      </c>
      <c r="D8" s="10" t="str">
        <f>VLOOKUP(C8,Setup!A:F,3,)</f>
        <v>Air freshener ALPEN Morning dew, 300 ml</v>
      </c>
      <c r="E8" s="10" t="str">
        <f>VLOOKUP(C8,Setup!A:F,4,)</f>
        <v>ALPEN</v>
      </c>
      <c r="F8" s="10" t="str">
        <f>VLOOKUP(C8,Setup!A:F,5,)</f>
        <v>AIR FRESHENERS</v>
      </c>
      <c r="G8" s="10" t="str">
        <f>VLOOKUP(C8,Setup!A:F,6,)</f>
        <v>Air fresheners waterbase</v>
      </c>
      <c r="H8" s="11" t="s">
        <v>204</v>
      </c>
      <c r="I8" s="28">
        <v>17568</v>
      </c>
      <c r="J8" s="12">
        <v>17568</v>
      </c>
      <c r="K8" s="13">
        <v>150</v>
      </c>
      <c r="L8" s="13">
        <v>15</v>
      </c>
      <c r="M8" s="13">
        <v>0</v>
      </c>
      <c r="N8" s="5"/>
      <c r="O8" s="1"/>
      <c r="P8" s="13">
        <v>157</v>
      </c>
      <c r="Q8" s="5">
        <v>3</v>
      </c>
      <c r="R8" s="5">
        <v>2</v>
      </c>
      <c r="S8" s="5"/>
      <c r="T8" s="5"/>
      <c r="U8" s="5">
        <v>6</v>
      </c>
      <c r="V8" s="40">
        <f t="shared" si="0"/>
        <v>1.7073587160662456E-4</v>
      </c>
      <c r="W8" s="40">
        <f t="shared" si="1"/>
        <v>1.1383039271485487E-4</v>
      </c>
      <c r="X8" s="40">
        <f t="shared" si="2"/>
        <v>3.414134516899966E-4</v>
      </c>
      <c r="Y8" s="2">
        <f t="shared" si="3"/>
        <v>0.74598726114649683</v>
      </c>
      <c r="Z8" s="2">
        <f t="shared" si="4"/>
        <v>0.99988616960728516</v>
      </c>
      <c r="AA8" s="2">
        <f t="shared" si="5"/>
        <v>0.74590234512360021</v>
      </c>
      <c r="AB8" s="23"/>
    </row>
    <row r="9" spans="1:28" x14ac:dyDescent="0.25">
      <c r="A9" s="9" t="s">
        <v>183</v>
      </c>
      <c r="B9" s="10" t="s">
        <v>205</v>
      </c>
      <c r="C9" s="10" t="s">
        <v>206</v>
      </c>
      <c r="D9" s="10" t="str">
        <f>VLOOKUP(C9,Setup!A:F,3,)</f>
        <v xml:space="preserve">Air freshener GREEN COLLECTION BY PROVENCE Sunny Orange, 300 ml, N, Gatter group </v>
      </c>
      <c r="E9" s="10" t="str">
        <f>VLOOKUP(C9,Setup!A:F,4,)</f>
        <v>GREEN COLLECTION BY PROVENCE</v>
      </c>
      <c r="F9" s="10" t="str">
        <f>VLOOKUP(C9,Setup!A:F,5,)</f>
        <v>AIR FRESHENERS</v>
      </c>
      <c r="G9" s="10" t="str">
        <f>VLOOKUP(C9,Setup!A:F,6,)</f>
        <v>Air fresheners waterbase</v>
      </c>
      <c r="H9" s="11" t="s">
        <v>207</v>
      </c>
      <c r="I9" s="25">
        <v>2000</v>
      </c>
      <c r="J9" s="12">
        <v>1585</v>
      </c>
      <c r="K9" s="13">
        <v>150</v>
      </c>
      <c r="L9" s="13">
        <v>15</v>
      </c>
      <c r="M9" s="13">
        <v>0</v>
      </c>
      <c r="N9" s="5"/>
      <c r="O9" s="1"/>
      <c r="P9" s="13">
        <v>20</v>
      </c>
      <c r="Q9" s="5">
        <v>1</v>
      </c>
      <c r="R9" s="5">
        <v>1</v>
      </c>
      <c r="S9" s="5"/>
      <c r="T9" s="5"/>
      <c r="U9" s="5">
        <v>6</v>
      </c>
      <c r="V9" s="40">
        <f t="shared" si="0"/>
        <v>6.3051702395964691E-4</v>
      </c>
      <c r="W9" s="40">
        <f t="shared" si="1"/>
        <v>6.3051702395964691E-4</v>
      </c>
      <c r="X9" s="40">
        <f t="shared" si="2"/>
        <v>3.771213073538655E-3</v>
      </c>
      <c r="Y9" s="2">
        <f t="shared" si="3"/>
        <v>0.52833333333333332</v>
      </c>
      <c r="Z9" s="2">
        <f t="shared" si="4"/>
        <v>0.99936948297604034</v>
      </c>
      <c r="AA9" s="2">
        <f t="shared" si="5"/>
        <v>0.52800021017234133</v>
      </c>
      <c r="AB9" s="23"/>
    </row>
    <row r="10" spans="1:28" x14ac:dyDescent="0.25">
      <c r="A10" s="9" t="s">
        <v>183</v>
      </c>
      <c r="B10" s="10" t="s">
        <v>208</v>
      </c>
      <c r="C10" s="10" t="s">
        <v>209</v>
      </c>
      <c r="D10" s="10" t="str">
        <f>VLOOKUP(C10,Setup!A:F,3,)</f>
        <v>Air freshener GREEN COLLECTION BY PROVENCE Sunny Orange, 300 ml</v>
      </c>
      <c r="E10" s="10" t="str">
        <f>VLOOKUP(C10,Setup!A:F,4,)</f>
        <v>GREEN COLLECTION BY PROVENCE</v>
      </c>
      <c r="F10" s="10" t="str">
        <f>VLOOKUP(C10,Setup!A:F,5,)</f>
        <v>AIR FRESHENERS</v>
      </c>
      <c r="G10" s="10" t="str">
        <f>VLOOKUP(C10,Setup!A:F,6,)</f>
        <v>Air fresheners waterbase</v>
      </c>
      <c r="H10" s="11" t="s">
        <v>207</v>
      </c>
      <c r="I10" s="25">
        <v>4000</v>
      </c>
      <c r="J10" s="12">
        <v>4512</v>
      </c>
      <c r="K10" s="13">
        <v>150</v>
      </c>
      <c r="L10" s="13">
        <v>0</v>
      </c>
      <c r="M10" s="13">
        <v>0</v>
      </c>
      <c r="N10" s="5"/>
      <c r="O10" s="1"/>
      <c r="P10" s="13">
        <v>61</v>
      </c>
      <c r="Q10" s="5"/>
      <c r="R10" s="5"/>
      <c r="S10" s="5"/>
      <c r="T10" s="5"/>
      <c r="U10" s="5"/>
      <c r="V10" s="40">
        <f t="shared" si="0"/>
        <v>0</v>
      </c>
      <c r="W10" s="40">
        <f t="shared" si="1"/>
        <v>0</v>
      </c>
      <c r="X10" s="40">
        <f t="shared" si="2"/>
        <v>0</v>
      </c>
      <c r="Y10" s="2">
        <f t="shared" si="3"/>
        <v>0.49311475409836064</v>
      </c>
      <c r="Z10" s="2">
        <f t="shared" si="4"/>
        <v>1</v>
      </c>
      <c r="AA10" s="2">
        <f t="shared" si="5"/>
        <v>0.49311475409836064</v>
      </c>
      <c r="AB10" s="23"/>
    </row>
    <row r="11" spans="1:28" x14ac:dyDescent="0.25">
      <c r="A11" s="9" t="s">
        <v>183</v>
      </c>
      <c r="B11" s="10" t="s">
        <v>210</v>
      </c>
      <c r="C11" s="10" t="s">
        <v>211</v>
      </c>
      <c r="D11" s="10" t="str">
        <f>VLOOKUP(C11,Setup!A:F,3,)</f>
        <v xml:space="preserve">Air freshener GREEN COLLECTION BY PROVENCE Lilac and lavender, 300 ml, Gatter group </v>
      </c>
      <c r="E11" s="10" t="str">
        <f>VLOOKUP(C11,Setup!A:F,4,)</f>
        <v>GREEN COLLECTION BY PROVENCE</v>
      </c>
      <c r="F11" s="10" t="str">
        <f>VLOOKUP(C11,Setup!A:F,5,)</f>
        <v>AIR FRESHENERS</v>
      </c>
      <c r="G11" s="10" t="str">
        <f>VLOOKUP(C11,Setup!A:F,6,)</f>
        <v>Air fresheners waterbase</v>
      </c>
      <c r="H11" s="11" t="s">
        <v>212</v>
      </c>
      <c r="I11" s="25">
        <v>12400</v>
      </c>
      <c r="J11" s="12">
        <f>6804+1944+3660</f>
        <v>12408</v>
      </c>
      <c r="K11" s="13">
        <v>150</v>
      </c>
      <c r="L11" s="13">
        <v>15</v>
      </c>
      <c r="M11" s="13">
        <v>0</v>
      </c>
      <c r="N11" s="5"/>
      <c r="O11" s="1"/>
      <c r="P11" s="13">
        <v>120</v>
      </c>
      <c r="Q11" s="5">
        <f>1+2</f>
        <v>3</v>
      </c>
      <c r="R11" s="5">
        <f>1+1</f>
        <v>2</v>
      </c>
      <c r="S11" s="5"/>
      <c r="T11" s="5"/>
      <c r="U11" s="5">
        <v>6</v>
      </c>
      <c r="V11" s="40">
        <f t="shared" si="0"/>
        <v>2.4172105390379503E-4</v>
      </c>
      <c r="W11" s="40">
        <f t="shared" si="1"/>
        <v>1.6116035455278002E-4</v>
      </c>
      <c r="X11" s="40">
        <f t="shared" si="2"/>
        <v>4.833252779120348E-4</v>
      </c>
      <c r="Y11" s="2">
        <f t="shared" si="3"/>
        <v>0.68933333333333335</v>
      </c>
      <c r="Z11" s="2">
        <f t="shared" si="4"/>
        <v>0.99983883964544717</v>
      </c>
      <c r="AA11" s="2">
        <f t="shared" si="5"/>
        <v>0.6892222401289283</v>
      </c>
      <c r="AB11" s="23"/>
    </row>
    <row r="12" spans="1:28" x14ac:dyDescent="0.25">
      <c r="A12" s="9" t="s">
        <v>183</v>
      </c>
      <c r="B12" s="10" t="s">
        <v>213</v>
      </c>
      <c r="C12" s="10" t="s">
        <v>214</v>
      </c>
      <c r="D12" s="10" t="str">
        <f>VLOOKUP(C12,Setup!A:F,3,)</f>
        <v>Air freshener GREEN COLLECTION BY PROVENCE Lilac and lavender, 300 ml</v>
      </c>
      <c r="E12" s="10" t="str">
        <f>VLOOKUP(C12,Setup!A:F,4,)</f>
        <v>GREEN COLLECTION BY PROVENCE</v>
      </c>
      <c r="F12" s="10" t="str">
        <f>VLOOKUP(C12,Setup!A:F,5,)</f>
        <v>AIR FRESHENERS</v>
      </c>
      <c r="G12" s="10" t="str">
        <f>VLOOKUP(C12,Setup!A:F,6,)</f>
        <v>Air fresheners waterbase</v>
      </c>
      <c r="H12" s="11" t="s">
        <v>212</v>
      </c>
      <c r="I12" s="25">
        <v>2700</v>
      </c>
      <c r="J12" s="12">
        <v>3168</v>
      </c>
      <c r="K12" s="13">
        <v>150</v>
      </c>
      <c r="L12" s="13">
        <v>0</v>
      </c>
      <c r="M12" s="13">
        <v>0</v>
      </c>
      <c r="N12" s="5"/>
      <c r="O12" s="1"/>
      <c r="P12" s="13">
        <v>32</v>
      </c>
      <c r="Q12" s="5"/>
      <c r="R12" s="5"/>
      <c r="S12" s="5"/>
      <c r="T12" s="5"/>
      <c r="U12" s="5"/>
      <c r="V12" s="40">
        <f t="shared" si="0"/>
        <v>0</v>
      </c>
      <c r="W12" s="40">
        <f t="shared" si="1"/>
        <v>0</v>
      </c>
      <c r="X12" s="40">
        <f t="shared" si="2"/>
        <v>0</v>
      </c>
      <c r="Y12" s="2">
        <f t="shared" si="3"/>
        <v>0.66</v>
      </c>
      <c r="Z12" s="2">
        <f t="shared" si="4"/>
        <v>1</v>
      </c>
      <c r="AA12" s="2">
        <f t="shared" si="5"/>
        <v>0.66</v>
      </c>
      <c r="AB12" s="23"/>
    </row>
    <row r="13" spans="1:28" x14ac:dyDescent="0.25">
      <c r="A13" s="9" t="s">
        <v>183</v>
      </c>
      <c r="B13" s="10" t="s">
        <v>215</v>
      </c>
      <c r="C13" s="10" t="s">
        <v>216</v>
      </c>
      <c r="D13" s="10" t="str">
        <f>VLOOKUP(C13,Setup!A:F,3,)</f>
        <v>Deodorant SPORT STAR Ice blue man, 175 ml</v>
      </c>
      <c r="E13" s="10" t="str">
        <f>VLOOKUP(C13,Setup!A:F,4,)</f>
        <v>SPORT STAR</v>
      </c>
      <c r="F13" s="10" t="str">
        <f>VLOOKUP(C13,Setup!A:F,5,)</f>
        <v>BODY CARE</v>
      </c>
      <c r="G13" s="10" t="str">
        <f>VLOOKUP(C13,Setup!A:F,6,)</f>
        <v>Deodorant</v>
      </c>
      <c r="H13" s="11" t="s">
        <v>217</v>
      </c>
      <c r="I13" s="30">
        <v>16000</v>
      </c>
      <c r="J13" s="12">
        <v>16308</v>
      </c>
      <c r="K13" s="13">
        <v>150</v>
      </c>
      <c r="L13" s="13">
        <v>60</v>
      </c>
      <c r="M13" s="13">
        <v>0</v>
      </c>
      <c r="N13" s="5"/>
      <c r="O13" s="1"/>
      <c r="P13" s="13">
        <v>196</v>
      </c>
      <c r="Q13" s="5">
        <v>6</v>
      </c>
      <c r="R13" s="5">
        <f>6+2</f>
        <v>8</v>
      </c>
      <c r="S13" s="5"/>
      <c r="T13" s="5"/>
      <c r="U13" s="5">
        <v>6</v>
      </c>
      <c r="V13" s="40">
        <f t="shared" si="0"/>
        <v>3.677822728944465E-4</v>
      </c>
      <c r="W13" s="40">
        <f t="shared" si="1"/>
        <v>4.9031625398381952E-4</v>
      </c>
      <c r="X13" s="40">
        <f t="shared" si="2"/>
        <v>3.677822728944465E-4</v>
      </c>
      <c r="Y13" s="2">
        <f t="shared" si="3"/>
        <v>0.5546938775510204</v>
      </c>
      <c r="Z13" s="2">
        <f t="shared" si="4"/>
        <v>0.99950968374601623</v>
      </c>
      <c r="AA13" s="2">
        <f t="shared" si="5"/>
        <v>0.55442190212687181</v>
      </c>
      <c r="AB13" s="23"/>
    </row>
    <row r="14" spans="1:28" x14ac:dyDescent="0.25">
      <c r="A14" s="9" t="s">
        <v>183</v>
      </c>
      <c r="B14" s="10" t="s">
        <v>218</v>
      </c>
      <c r="C14" s="10" t="s">
        <v>219</v>
      </c>
      <c r="D14" s="10" t="str">
        <f>VLOOKUP(C14,Setup!A:F,3,)</f>
        <v>Deodorant EDISON Golden Amber for men, 150 ml</v>
      </c>
      <c r="E14" s="10" t="str">
        <f>VLOOKUP(C14,Setup!A:F,4,)</f>
        <v>EDISON</v>
      </c>
      <c r="F14" s="10" t="str">
        <f>VLOOKUP(C14,Setup!A:F,5,)</f>
        <v>BODY CARE</v>
      </c>
      <c r="G14" s="10" t="str">
        <f>VLOOKUP(C14,Setup!A:F,6,)</f>
        <v>Deodorant</v>
      </c>
      <c r="H14" s="11" t="s">
        <v>220</v>
      </c>
      <c r="I14" s="30">
        <v>12078</v>
      </c>
      <c r="J14" s="12">
        <v>12132</v>
      </c>
      <c r="K14" s="13">
        <v>150</v>
      </c>
      <c r="L14" s="13">
        <v>15</v>
      </c>
      <c r="M14" s="13">
        <v>0</v>
      </c>
      <c r="N14" s="5">
        <v>29</v>
      </c>
      <c r="O14" s="1" t="s">
        <v>4848</v>
      </c>
      <c r="P14" s="13">
        <v>132</v>
      </c>
      <c r="Q14" s="5">
        <v>6</v>
      </c>
      <c r="R14" s="5">
        <v>2</v>
      </c>
      <c r="S14" s="5"/>
      <c r="T14" s="5"/>
      <c r="U14" s="5">
        <v>6</v>
      </c>
      <c r="V14" s="40">
        <f t="shared" si="0"/>
        <v>4.9431537320810673E-4</v>
      </c>
      <c r="W14" s="40">
        <f t="shared" si="1"/>
        <v>1.6482610845557937E-4</v>
      </c>
      <c r="X14" s="40">
        <f t="shared" si="2"/>
        <v>4.9431537320810673E-4</v>
      </c>
      <c r="Y14" s="2">
        <f t="shared" si="3"/>
        <v>0.78524271844660198</v>
      </c>
      <c r="Z14" s="2">
        <f t="shared" si="4"/>
        <v>0.99983517389154442</v>
      </c>
      <c r="AA14" s="2">
        <f t="shared" si="5"/>
        <v>0.7851132899451273</v>
      </c>
      <c r="AB14" s="23"/>
    </row>
    <row r="15" spans="1:28" x14ac:dyDescent="0.25">
      <c r="A15" s="9" t="s">
        <v>183</v>
      </c>
      <c r="B15" s="10" t="s">
        <v>221</v>
      </c>
      <c r="C15" s="10" t="s">
        <v>222</v>
      </c>
      <c r="D15" s="10" t="str">
        <f>VLOOKUP(C15,Setup!A:F,3,)</f>
        <v>Deodorant EDISON Green Vetiver for men, 150 ml</v>
      </c>
      <c r="E15" s="10" t="str">
        <f>VLOOKUP(C15,Setup!A:F,4,)</f>
        <v>EDISON</v>
      </c>
      <c r="F15" s="10" t="str">
        <f>VLOOKUP(C15,Setup!A:F,5,)</f>
        <v>BODY CARE</v>
      </c>
      <c r="G15" s="10" t="str">
        <f>VLOOKUP(C15,Setup!A:F,6,)</f>
        <v>Deodorant</v>
      </c>
      <c r="H15" s="11" t="s">
        <v>223</v>
      </c>
      <c r="I15" s="30">
        <v>12078</v>
      </c>
      <c r="J15" s="12">
        <v>12444</v>
      </c>
      <c r="K15" s="13">
        <v>150</v>
      </c>
      <c r="L15" s="13">
        <v>15</v>
      </c>
      <c r="M15" s="13">
        <v>0</v>
      </c>
      <c r="N15" s="5"/>
      <c r="O15" s="1"/>
      <c r="P15" s="13">
        <v>114</v>
      </c>
      <c r="Q15" s="5">
        <v>3</v>
      </c>
      <c r="R15" s="5">
        <v>3</v>
      </c>
      <c r="S15" s="5"/>
      <c r="T15" s="5"/>
      <c r="U15" s="5">
        <v>6</v>
      </c>
      <c r="V15" s="40">
        <f t="shared" si="0"/>
        <v>2.4102193299590263E-4</v>
      </c>
      <c r="W15" s="40">
        <f t="shared" si="1"/>
        <v>2.4102193299590263E-4</v>
      </c>
      <c r="X15" s="40">
        <f t="shared" si="2"/>
        <v>4.8192771084337347E-4</v>
      </c>
      <c r="Y15" s="2">
        <f t="shared" si="3"/>
        <v>0.72771929824561399</v>
      </c>
      <c r="Z15" s="2">
        <f t="shared" si="4"/>
        <v>0.99975897806700409</v>
      </c>
      <c r="AA15" s="2">
        <f t="shared" si="5"/>
        <v>0.72754390193367235</v>
      </c>
      <c r="AB15" s="23"/>
    </row>
    <row r="16" spans="1:28" x14ac:dyDescent="0.25">
      <c r="A16" s="9" t="s">
        <v>183</v>
      </c>
      <c r="B16" s="10" t="s">
        <v>224</v>
      </c>
      <c r="C16" s="10" t="s">
        <v>225</v>
      </c>
      <c r="D16" s="10" t="str">
        <f>VLOOKUP(C16,Setup!A:F,3,)</f>
        <v>Deodorant EDISON Orange Bergamot for men, 150 ml</v>
      </c>
      <c r="E16" s="10" t="str">
        <f>VLOOKUP(C16,Setup!A:F,4,)</f>
        <v>EDISON</v>
      </c>
      <c r="F16" s="10" t="str">
        <f>VLOOKUP(C16,Setup!A:F,5,)</f>
        <v>BODY CARE</v>
      </c>
      <c r="G16" s="10" t="str">
        <f>VLOOKUP(C16,Setup!A:F,6,)</f>
        <v>Deodorant</v>
      </c>
      <c r="H16" s="11" t="s">
        <v>226</v>
      </c>
      <c r="I16" s="30">
        <v>12078</v>
      </c>
      <c r="J16" s="12">
        <v>12708</v>
      </c>
      <c r="K16" s="13">
        <v>150</v>
      </c>
      <c r="L16" s="13">
        <v>15</v>
      </c>
      <c r="M16" s="13">
        <v>15</v>
      </c>
      <c r="N16" s="5"/>
      <c r="O16" s="1"/>
      <c r="P16" s="13">
        <v>127</v>
      </c>
      <c r="Q16" s="5">
        <v>11</v>
      </c>
      <c r="R16" s="5">
        <v>3</v>
      </c>
      <c r="S16" s="5"/>
      <c r="T16" s="5"/>
      <c r="U16" s="5">
        <v>6</v>
      </c>
      <c r="V16" s="40">
        <f t="shared" si="0"/>
        <v>8.648478653982231E-4</v>
      </c>
      <c r="W16" s="40">
        <f t="shared" si="1"/>
        <v>2.360160490913382E-4</v>
      </c>
      <c r="X16" s="40">
        <f t="shared" si="2"/>
        <v>4.7192071731949034E-4</v>
      </c>
      <c r="Y16" s="2">
        <f t="shared" si="3"/>
        <v>0.75642857142857145</v>
      </c>
      <c r="Z16" s="2">
        <f t="shared" si="4"/>
        <v>0.99976398395090871</v>
      </c>
      <c r="AA16" s="2">
        <f t="shared" si="5"/>
        <v>0.75625004214572311</v>
      </c>
      <c r="AB16" s="23"/>
    </row>
    <row r="17" spans="1:28" x14ac:dyDescent="0.25">
      <c r="A17" s="9" t="s">
        <v>183</v>
      </c>
      <c r="B17" s="10" t="s">
        <v>227</v>
      </c>
      <c r="C17" s="10" t="s">
        <v>228</v>
      </c>
      <c r="D17" s="10" t="str">
        <f>VLOOKUP(C17,Setup!A:F,3,)</f>
        <v>Deodorant EDISON Blue Aqua for men, 150 ml</v>
      </c>
      <c r="E17" s="10" t="str">
        <f>VLOOKUP(C17,Setup!A:F,4,)</f>
        <v>EDISON</v>
      </c>
      <c r="F17" s="10" t="str">
        <f>VLOOKUP(C17,Setup!A:F,5,)</f>
        <v>BODY CARE</v>
      </c>
      <c r="G17" s="10" t="str">
        <f>VLOOKUP(C17,Setup!A:F,6,)</f>
        <v>Deodorant</v>
      </c>
      <c r="H17" s="11" t="s">
        <v>229</v>
      </c>
      <c r="I17" s="30">
        <v>12078</v>
      </c>
      <c r="J17" s="12">
        <f>9720+276+2376</f>
        <v>12372</v>
      </c>
      <c r="K17" s="13">
        <v>150</v>
      </c>
      <c r="L17" s="13">
        <v>15</v>
      </c>
      <c r="M17" s="13">
        <v>0</v>
      </c>
      <c r="N17" s="5"/>
      <c r="O17" s="1"/>
      <c r="P17" s="13">
        <f>115-10+21</f>
        <v>126</v>
      </c>
      <c r="Q17" s="5">
        <v>5</v>
      </c>
      <c r="R17" s="5">
        <f>1+17</f>
        <v>18</v>
      </c>
      <c r="S17" s="5"/>
      <c r="T17" s="5"/>
      <c r="U17" s="5">
        <v>6</v>
      </c>
      <c r="V17" s="40">
        <f t="shared" si="0"/>
        <v>4.0397511513290781E-4</v>
      </c>
      <c r="W17" s="40">
        <f t="shared" si="1"/>
        <v>1.4527845036319612E-3</v>
      </c>
      <c r="X17" s="40">
        <f t="shared" si="2"/>
        <v>4.8473097430925838E-4</v>
      </c>
      <c r="Y17" s="2">
        <f t="shared" si="3"/>
        <v>0.65460317460317463</v>
      </c>
      <c r="Z17" s="2">
        <f t="shared" si="4"/>
        <v>0.99854721549636805</v>
      </c>
      <c r="AA17" s="2">
        <f t="shared" si="5"/>
        <v>0.65365217725508284</v>
      </c>
      <c r="AB17" s="23"/>
    </row>
    <row r="18" spans="1:28" x14ac:dyDescent="0.25">
      <c r="A18" s="9" t="s">
        <v>183</v>
      </c>
      <c r="B18" s="10" t="s">
        <v>230</v>
      </c>
      <c r="C18" s="10" t="s">
        <v>231</v>
      </c>
      <c r="D18" s="10" t="str">
        <f>VLOOKUP(C18,Setup!A:F,3,)</f>
        <v>Hairspray PROFESSIONAL LOOK FANFARE exstrastrong hold, 300 ml</v>
      </c>
      <c r="E18" s="10" t="str">
        <f>VLOOKUP(C18,Setup!A:F,4,)</f>
        <v>PROFESSIONAL LOOK FANFARE</v>
      </c>
      <c r="F18" s="10" t="str">
        <f>VLOOKUP(C18,Setup!A:F,5,)</f>
        <v>HAIR CARE</v>
      </c>
      <c r="G18" s="10" t="str">
        <f>VLOOKUP(C18,Setup!A:F,6,)</f>
        <v>Hairspray</v>
      </c>
      <c r="H18" s="11" t="s">
        <v>232</v>
      </c>
      <c r="I18" s="30">
        <v>21960</v>
      </c>
      <c r="J18" s="12">
        <v>21936</v>
      </c>
      <c r="K18" s="13">
        <v>150</v>
      </c>
      <c r="L18" s="13">
        <v>30</v>
      </c>
      <c r="M18" s="13">
        <v>0</v>
      </c>
      <c r="N18" s="5">
        <v>119</v>
      </c>
      <c r="O18" s="1" t="s">
        <v>4855</v>
      </c>
      <c r="P18" s="13">
        <v>284</v>
      </c>
      <c r="Q18" s="5">
        <v>6</v>
      </c>
      <c r="R18" s="5">
        <v>2</v>
      </c>
      <c r="S18" s="5"/>
      <c r="T18" s="5"/>
      <c r="U18" s="5">
        <v>6</v>
      </c>
      <c r="V18" s="40">
        <f t="shared" si="0"/>
        <v>2.7344818156959256E-4</v>
      </c>
      <c r="W18" s="40">
        <f t="shared" si="1"/>
        <v>9.116601331023795E-5</v>
      </c>
      <c r="X18" s="40">
        <f t="shared" si="2"/>
        <v>2.7344818156959256E-4</v>
      </c>
      <c r="Y18" s="2">
        <f t="shared" si="3"/>
        <v>0.88630303030303026</v>
      </c>
      <c r="Z18" s="2">
        <f t="shared" si="4"/>
        <v>0.99990883398668973</v>
      </c>
      <c r="AA18" s="2">
        <f t="shared" si="5"/>
        <v>0.88622222958917274</v>
      </c>
      <c r="AB18" s="23"/>
    </row>
    <row r="19" spans="1:28" x14ac:dyDescent="0.25">
      <c r="A19" s="9" t="s">
        <v>183</v>
      </c>
      <c r="B19" s="10" t="s">
        <v>233</v>
      </c>
      <c r="C19" s="10" t="s">
        <v>234</v>
      </c>
      <c r="D19" s="10" t="str">
        <f>VLOOKUP(C19,Setup!A:F,3,)</f>
        <v>Hairspray PROFESSIONAL LOOK FANFARE Stroke and fixation, 300 ml</v>
      </c>
      <c r="E19" s="10" t="str">
        <f>VLOOKUP(C19,Setup!A:F,4,)</f>
        <v>PROFESSIONAL LOOK FANFARE</v>
      </c>
      <c r="F19" s="10" t="str">
        <f>VLOOKUP(C19,Setup!A:F,5,)</f>
        <v>HAIR CARE</v>
      </c>
      <c r="G19" s="10" t="str">
        <f>VLOOKUP(C19,Setup!A:F,6,)</f>
        <v>Hairspray</v>
      </c>
      <c r="H19" s="11" t="s">
        <v>235</v>
      </c>
      <c r="I19" s="30">
        <v>21960</v>
      </c>
      <c r="J19" s="12">
        <v>21564</v>
      </c>
      <c r="K19" s="13">
        <v>150</v>
      </c>
      <c r="L19" s="13">
        <v>15</v>
      </c>
      <c r="M19" s="13">
        <v>0</v>
      </c>
      <c r="N19" s="5"/>
      <c r="O19" s="1"/>
      <c r="P19" s="13">
        <v>180</v>
      </c>
      <c r="Q19" s="5">
        <v>26</v>
      </c>
      <c r="R19" s="5">
        <v>2</v>
      </c>
      <c r="S19" s="5"/>
      <c r="T19" s="5"/>
      <c r="U19" s="5">
        <v>6</v>
      </c>
      <c r="V19" s="40">
        <f t="shared" si="0"/>
        <v>1.2042612320518759E-3</v>
      </c>
      <c r="W19" s="40">
        <f t="shared" si="1"/>
        <v>9.2738569971251042E-5</v>
      </c>
      <c r="X19" s="40">
        <f t="shared" si="2"/>
        <v>2.7816411682892909E-4</v>
      </c>
      <c r="Y19" s="2">
        <f t="shared" si="3"/>
        <v>0.79866666666666664</v>
      </c>
      <c r="Z19" s="2">
        <f t="shared" si="4"/>
        <v>0.99990726143002873</v>
      </c>
      <c r="AA19" s="2">
        <f t="shared" si="5"/>
        <v>0.79859259946211625</v>
      </c>
      <c r="AB19" s="23"/>
    </row>
    <row r="20" spans="1:28" x14ac:dyDescent="0.25">
      <c r="A20" s="9" t="s">
        <v>183</v>
      </c>
      <c r="B20" s="10" t="s">
        <v>236</v>
      </c>
      <c r="C20" s="10" t="s">
        <v>237</v>
      </c>
      <c r="D20" s="10" t="str">
        <f>VLOOKUP(C20,Setup!A:F,3,)</f>
        <v>Hairspray DELIVEA superstrong hold, 300 ml</v>
      </c>
      <c r="E20" s="10" t="str">
        <f>VLOOKUP(C20,Setup!A:F,4,)</f>
        <v>DELIVEA</v>
      </c>
      <c r="F20" s="10" t="str">
        <f>VLOOKUP(C20,Setup!A:F,5,)</f>
        <v>HAIR CARE</v>
      </c>
      <c r="G20" s="10" t="str">
        <f>VLOOKUP(C20,Setup!A:F,6,)</f>
        <v>Hairspray</v>
      </c>
      <c r="H20" s="11" t="s">
        <v>238</v>
      </c>
      <c r="I20" s="25">
        <v>87840</v>
      </c>
      <c r="J20" s="12">
        <f>25641+61026</f>
        <v>86667</v>
      </c>
      <c r="K20" s="13">
        <v>150</v>
      </c>
      <c r="L20" s="13">
        <v>15</v>
      </c>
      <c r="M20" s="13">
        <f>15+45</f>
        <v>60</v>
      </c>
      <c r="N20" s="5"/>
      <c r="O20" s="1"/>
      <c r="P20" s="13">
        <f>240-10+505</f>
        <v>735</v>
      </c>
      <c r="Q20" s="5">
        <f>2+39</f>
        <v>41</v>
      </c>
      <c r="R20" s="5">
        <f>8+12</f>
        <v>20</v>
      </c>
      <c r="S20" s="5"/>
      <c r="T20" s="5"/>
      <c r="U20" s="5">
        <v>6</v>
      </c>
      <c r="V20" s="40">
        <f t="shared" si="0"/>
        <v>4.7285140932785903E-4</v>
      </c>
      <c r="W20" s="40">
        <f t="shared" si="1"/>
        <v>2.3071510145696586E-4</v>
      </c>
      <c r="X20" s="40">
        <f t="shared" si="2"/>
        <v>6.922571042885328E-5</v>
      </c>
      <c r="Y20" s="2">
        <f t="shared" si="3"/>
        <v>0.85597037037037038</v>
      </c>
      <c r="Z20" s="2">
        <f t="shared" si="4"/>
        <v>0.999769284898543</v>
      </c>
      <c r="AA20" s="2">
        <f t="shared" si="5"/>
        <v>0.8557728850795262</v>
      </c>
      <c r="AB20" s="23"/>
    </row>
    <row r="21" spans="1:28" x14ac:dyDescent="0.25">
      <c r="A21" s="9" t="s">
        <v>183</v>
      </c>
      <c r="B21" s="10" t="s">
        <v>239</v>
      </c>
      <c r="C21" s="10" t="s">
        <v>240</v>
      </c>
      <c r="D21" s="10" t="str">
        <f>VLOOKUP(C21,Setup!A:F,3,)</f>
        <v>Shaving foam EDISON all skin types with aloe vera, 300 ml</v>
      </c>
      <c r="E21" s="10" t="str">
        <f>VLOOKUP(C21,Setup!A:F,4,)</f>
        <v>EDISON</v>
      </c>
      <c r="F21" s="10" t="str">
        <f>VLOOKUP(C21,Setup!A:F,5,)</f>
        <v>BODY CARE</v>
      </c>
      <c r="G21" s="10" t="str">
        <f>VLOOKUP(C21,Setup!A:F,6,)</f>
        <v>Shaving foam</v>
      </c>
      <c r="H21" s="11" t="s">
        <v>241</v>
      </c>
      <c r="I21" s="25">
        <v>23690</v>
      </c>
      <c r="J21" s="12">
        <f>13608+1068+9720</f>
        <v>24396</v>
      </c>
      <c r="K21" s="13">
        <v>140</v>
      </c>
      <c r="L21" s="13">
        <v>60</v>
      </c>
      <c r="M21" s="13">
        <f>15+15+30</f>
        <v>60</v>
      </c>
      <c r="N21" s="5"/>
      <c r="O21" s="1"/>
      <c r="P21" s="13">
        <f>230-10+80</f>
        <v>300</v>
      </c>
      <c r="Q21" s="5">
        <f>24+9</f>
        <v>33</v>
      </c>
      <c r="R21" s="5">
        <f>3+2</f>
        <v>5</v>
      </c>
      <c r="S21" s="5"/>
      <c r="T21" s="5"/>
      <c r="U21" s="5">
        <v>6</v>
      </c>
      <c r="V21" s="40">
        <f t="shared" si="0"/>
        <v>1.3508534937983544E-3</v>
      </c>
      <c r="W21" s="40">
        <f t="shared" si="1"/>
        <v>2.0490963485103069E-4</v>
      </c>
      <c r="X21" s="40">
        <f t="shared" si="2"/>
        <v>2.4588148512417015E-4</v>
      </c>
      <c r="Y21" s="2">
        <f t="shared" si="3"/>
        <v>0.72607142857142859</v>
      </c>
      <c r="Z21" s="2">
        <f t="shared" si="4"/>
        <v>0.99979509036514902</v>
      </c>
      <c r="AA21" s="2">
        <f t="shared" si="5"/>
        <v>0.72592264954012431</v>
      </c>
      <c r="AB21" s="23"/>
    </row>
    <row r="22" spans="1:28" x14ac:dyDescent="0.25">
      <c r="A22" s="9" t="s">
        <v>183</v>
      </c>
      <c r="B22" s="10" t="s">
        <v>242</v>
      </c>
      <c r="C22" s="10" t="s">
        <v>243</v>
      </c>
      <c r="D22" s="10" t="str">
        <f>VLOOKUP(C22,Setup!A:F,3,)</f>
        <v>Shaving foam EDISON for sensitive skin with vitamins, 300 ml</v>
      </c>
      <c r="E22" s="10" t="str">
        <f>VLOOKUP(C22,Setup!A:F,4,)</f>
        <v>EDISON</v>
      </c>
      <c r="F22" s="10" t="str">
        <f>VLOOKUP(C22,Setup!A:F,5,)</f>
        <v>BODY CARE</v>
      </c>
      <c r="G22" s="10" t="str">
        <f>VLOOKUP(C22,Setup!A:F,6,)</f>
        <v>Shaving foam</v>
      </c>
      <c r="H22" s="11" t="s">
        <v>244</v>
      </c>
      <c r="I22" s="25">
        <v>24541</v>
      </c>
      <c r="J22" s="12">
        <v>23616</v>
      </c>
      <c r="K22" s="13">
        <v>140</v>
      </c>
      <c r="L22" s="13">
        <v>15</v>
      </c>
      <c r="M22" s="13">
        <v>0</v>
      </c>
      <c r="N22" s="5"/>
      <c r="O22" s="1"/>
      <c r="P22" s="13">
        <v>183</v>
      </c>
      <c r="Q22" s="5">
        <v>6</v>
      </c>
      <c r="R22" s="5">
        <v>2</v>
      </c>
      <c r="S22" s="5"/>
      <c r="T22" s="5"/>
      <c r="U22" s="5">
        <v>6</v>
      </c>
      <c r="V22" s="40">
        <f t="shared" si="0"/>
        <v>2.5400050800101598E-4</v>
      </c>
      <c r="W22" s="40">
        <f t="shared" si="1"/>
        <v>8.4681175374714206E-5</v>
      </c>
      <c r="X22" s="40">
        <f t="shared" si="2"/>
        <v>2.5400050800101598E-4</v>
      </c>
      <c r="Y22" s="2">
        <f t="shared" si="3"/>
        <v>0.92177985948477748</v>
      </c>
      <c r="Z22" s="2">
        <f t="shared" si="4"/>
        <v>0.99991531882462525</v>
      </c>
      <c r="AA22" s="2">
        <f t="shared" si="5"/>
        <v>0.92170180208283958</v>
      </c>
      <c r="AB22" s="23"/>
    </row>
    <row r="23" spans="1:28" x14ac:dyDescent="0.25">
      <c r="A23" s="9" t="s">
        <v>183</v>
      </c>
      <c r="B23" s="10" t="s">
        <v>245</v>
      </c>
      <c r="C23" s="10" t="s">
        <v>246</v>
      </c>
      <c r="D23" s="10" t="str">
        <f>VLOOKUP(C23,Setup!A:F,3,)</f>
        <v>Shaving foam DELIVEA for sensitive skin man, 300 ml</v>
      </c>
      <c r="E23" s="10" t="str">
        <f>VLOOKUP(C23,Setup!A:F,4,)</f>
        <v>DELIVEA</v>
      </c>
      <c r="F23" s="10" t="str">
        <f>VLOOKUP(C23,Setup!A:F,5,)</f>
        <v>BODY CARE</v>
      </c>
      <c r="G23" s="10" t="str">
        <f>VLOOKUP(C23,Setup!A:F,6,)</f>
        <v>Shaving foam</v>
      </c>
      <c r="H23" s="11" t="s">
        <v>247</v>
      </c>
      <c r="I23" s="25">
        <v>24782</v>
      </c>
      <c r="J23" s="12">
        <f>20433+5082</f>
        <v>25515</v>
      </c>
      <c r="K23" s="13">
        <v>140</v>
      </c>
      <c r="L23" s="13">
        <v>15</v>
      </c>
      <c r="M23" s="13">
        <v>0</v>
      </c>
      <c r="N23" s="5"/>
      <c r="O23" s="1"/>
      <c r="P23" s="13">
        <f>215-10+38</f>
        <v>243</v>
      </c>
      <c r="Q23" s="5">
        <f>11+3</f>
        <v>14</v>
      </c>
      <c r="R23" s="5">
        <f>3+1</f>
        <v>4</v>
      </c>
      <c r="S23" s="5"/>
      <c r="T23" s="5"/>
      <c r="U23" s="5">
        <v>6</v>
      </c>
      <c r="V23" s="40">
        <f t="shared" si="0"/>
        <v>5.4839594187003013E-4</v>
      </c>
      <c r="W23" s="40">
        <f t="shared" si="1"/>
        <v>1.5674595399506249E-4</v>
      </c>
      <c r="X23" s="40">
        <f t="shared" si="2"/>
        <v>2.3510050546608676E-4</v>
      </c>
      <c r="Y23" s="2">
        <f t="shared" si="3"/>
        <v>0.75</v>
      </c>
      <c r="Z23" s="2">
        <f t="shared" si="4"/>
        <v>0.99984325404600494</v>
      </c>
      <c r="AA23" s="2">
        <f t="shared" si="5"/>
        <v>0.7498824405345037</v>
      </c>
      <c r="AB23" s="23"/>
    </row>
    <row r="24" spans="1:28" x14ac:dyDescent="0.25">
      <c r="A24" s="9" t="s">
        <v>183</v>
      </c>
      <c r="B24" s="10" t="s">
        <v>248</v>
      </c>
      <c r="C24" s="10" t="s">
        <v>249</v>
      </c>
      <c r="D24" s="10" t="str">
        <f>VLOOKUP(C24,Setup!A:F,3,)</f>
        <v>Shaving foam ENDEAVOR Sensitive for sensitive skin, 200 ml, Sl</v>
      </c>
      <c r="E24" s="10" t="str">
        <f>VLOOKUP(C24,Setup!A:F,4,)</f>
        <v>ENDEAVOR</v>
      </c>
      <c r="F24" s="10" t="str">
        <f>VLOOKUP(C24,Setup!A:F,5,)</f>
        <v>BODY CARE</v>
      </c>
      <c r="G24" s="10" t="str">
        <f>VLOOKUP(C24,Setup!A:F,6,)</f>
        <v>Shaving foam</v>
      </c>
      <c r="H24" s="11" t="s">
        <v>250</v>
      </c>
      <c r="I24" s="25">
        <v>15000</v>
      </c>
      <c r="J24" s="12">
        <v>15084</v>
      </c>
      <c r="K24" s="13">
        <v>140</v>
      </c>
      <c r="L24" s="13">
        <v>15</v>
      </c>
      <c r="M24" s="13">
        <v>0</v>
      </c>
      <c r="N24" s="5"/>
      <c r="O24" s="1"/>
      <c r="P24" s="13">
        <v>167</v>
      </c>
      <c r="Q24" s="5">
        <v>20</v>
      </c>
      <c r="R24" s="5">
        <v>2</v>
      </c>
      <c r="S24" s="5"/>
      <c r="T24" s="5"/>
      <c r="U24" s="5">
        <v>6</v>
      </c>
      <c r="V24" s="40">
        <f t="shared" si="0"/>
        <v>1.3241525423728813E-3</v>
      </c>
      <c r="W24" s="40">
        <f t="shared" si="1"/>
        <v>1.3257324671881213E-4</v>
      </c>
      <c r="X24" s="40">
        <f t="shared" si="2"/>
        <v>3.9761431411530816E-4</v>
      </c>
      <c r="Y24" s="2">
        <f t="shared" si="3"/>
        <v>0.64516680923866554</v>
      </c>
      <c r="Z24" s="2">
        <f t="shared" si="4"/>
        <v>0.99986742675328122</v>
      </c>
      <c r="AA24" s="2">
        <f t="shared" si="5"/>
        <v>0.64508127738008958</v>
      </c>
      <c r="AB24" s="23"/>
    </row>
    <row r="25" spans="1:28" x14ac:dyDescent="0.25">
      <c r="A25" s="9" t="s">
        <v>183</v>
      </c>
      <c r="B25" s="10" t="s">
        <v>251</v>
      </c>
      <c r="C25" s="10" t="s">
        <v>252</v>
      </c>
      <c r="D25" s="10" t="str">
        <f>VLOOKUP(C25,Setup!A:F,3,)</f>
        <v>Shaving foam LA FRESH for sensitive skin, 200 ml</v>
      </c>
      <c r="E25" s="10" t="str">
        <f>VLOOKUP(C25,Setup!A:F,4,)</f>
        <v>LA FRESH</v>
      </c>
      <c r="F25" s="10" t="str">
        <f>VLOOKUP(C25,Setup!A:F,5,)</f>
        <v>BODY CARE</v>
      </c>
      <c r="G25" s="10" t="str">
        <f>VLOOKUP(C25,Setup!A:F,6,)</f>
        <v>Shaving foam</v>
      </c>
      <c r="H25" s="11" t="s">
        <v>253</v>
      </c>
      <c r="I25" s="25">
        <v>8574</v>
      </c>
      <c r="J25" s="12">
        <v>8772</v>
      </c>
      <c r="K25" s="13">
        <v>140</v>
      </c>
      <c r="L25" s="13">
        <v>15</v>
      </c>
      <c r="M25" s="13">
        <v>0</v>
      </c>
      <c r="N25" s="5"/>
      <c r="O25" s="1"/>
      <c r="P25" s="13">
        <v>90</v>
      </c>
      <c r="Q25" s="5">
        <v>3</v>
      </c>
      <c r="R25" s="5">
        <v>4</v>
      </c>
      <c r="S25" s="5"/>
      <c r="T25" s="5"/>
      <c r="U25" s="5">
        <v>6</v>
      </c>
      <c r="V25" s="40">
        <f t="shared" si="0"/>
        <v>3.4188034188034188E-4</v>
      </c>
      <c r="W25" s="40">
        <f t="shared" si="1"/>
        <v>4.5578851412944393E-4</v>
      </c>
      <c r="X25" s="40">
        <f t="shared" si="2"/>
        <v>6.8352699931647305E-4</v>
      </c>
      <c r="Y25" s="2">
        <f t="shared" si="3"/>
        <v>0.69619047619047614</v>
      </c>
      <c r="Z25" s="2">
        <f t="shared" si="4"/>
        <v>0.99954421148587058</v>
      </c>
      <c r="AA25" s="2">
        <f t="shared" si="5"/>
        <v>0.69587316056778226</v>
      </c>
      <c r="AB25" s="23"/>
    </row>
    <row r="26" spans="1:28" x14ac:dyDescent="0.25">
      <c r="A26" s="9" t="s">
        <v>183</v>
      </c>
      <c r="B26" s="10" t="s">
        <v>254</v>
      </c>
      <c r="C26" s="10" t="s">
        <v>255</v>
      </c>
      <c r="D26" s="10" t="str">
        <f>VLOOKUP(C26,Setup!A:F,3,)</f>
        <v>Antistatic Verti VELON, 200 ml</v>
      </c>
      <c r="E26" s="10" t="str">
        <f>VLOOKUP(C26,Setup!A:F,4,)</f>
        <v>VELON</v>
      </c>
      <c r="F26" s="10" t="str">
        <f>VLOOKUP(C26,Setup!A:F,5,)</f>
        <v>ANISTATIC</v>
      </c>
      <c r="G26" s="10" t="str">
        <f>VLOOKUP(C26,Setup!A:F,6,)</f>
        <v>Antistatic</v>
      </c>
      <c r="H26" s="11" t="s">
        <v>256</v>
      </c>
      <c r="I26" s="25">
        <v>55000</v>
      </c>
      <c r="J26" s="12">
        <v>56220</v>
      </c>
      <c r="K26" s="13">
        <v>150</v>
      </c>
      <c r="L26" s="13">
        <v>120</v>
      </c>
      <c r="M26" s="13">
        <v>15</v>
      </c>
      <c r="N26" s="5"/>
      <c r="O26" s="1"/>
      <c r="P26" s="13">
        <f>567</f>
        <v>567</v>
      </c>
      <c r="Q26" s="5">
        <v>40</v>
      </c>
      <c r="R26" s="5">
        <v>60</v>
      </c>
      <c r="S26" s="5"/>
      <c r="T26" s="5"/>
      <c r="U26" s="5">
        <v>6</v>
      </c>
      <c r="V26" s="40">
        <f t="shared" si="0"/>
        <v>7.1098471382865266E-4</v>
      </c>
      <c r="W26" s="40">
        <f t="shared" si="1"/>
        <v>1.0660980810234541E-3</v>
      </c>
      <c r="X26" s="40">
        <f t="shared" si="2"/>
        <v>1.0671219720414043E-4</v>
      </c>
      <c r="Y26" s="2">
        <f t="shared" si="3"/>
        <v>0.67898550724637685</v>
      </c>
      <c r="Z26" s="2">
        <f t="shared" si="4"/>
        <v>0.99893390191897657</v>
      </c>
      <c r="AA26" s="2">
        <f t="shared" si="5"/>
        <v>0.67826164210005879</v>
      </c>
      <c r="AB26" s="23"/>
    </row>
    <row r="27" spans="1:28" x14ac:dyDescent="0.25">
      <c r="A27" s="9" t="s">
        <v>183</v>
      </c>
      <c r="B27" s="10" t="s">
        <v>257</v>
      </c>
      <c r="C27" s="10" t="s">
        <v>258</v>
      </c>
      <c r="D27" s="10" t="str">
        <f>VLOOKUP(C27,Setup!A:F,3,)</f>
        <v>Deodorant-antiperspirant for feet LA FRESH, 150 ml</v>
      </c>
      <c r="E27" s="10" t="str">
        <f>VLOOKUP(C27,Setup!A:F,4,)</f>
        <v>LA FRESH</v>
      </c>
      <c r="F27" s="10" t="str">
        <f>VLOOKUP(C27,Setup!A:F,5,)</f>
        <v>SHOE AND CLOTHING CARE</v>
      </c>
      <c r="G27" s="10" t="str">
        <f>VLOOKUP(C27,Setup!A:F,6,)</f>
        <v>Shoe deodorant</v>
      </c>
      <c r="H27" s="11" t="s">
        <v>259</v>
      </c>
      <c r="I27" s="25">
        <v>10000</v>
      </c>
      <c r="J27" s="12">
        <f>9816</f>
        <v>9816</v>
      </c>
      <c r="K27" s="13">
        <v>150</v>
      </c>
      <c r="L27" s="13">
        <v>15</v>
      </c>
      <c r="M27" s="13">
        <v>0</v>
      </c>
      <c r="N27" s="5">
        <v>385</v>
      </c>
      <c r="O27" s="1" t="s">
        <v>4855</v>
      </c>
      <c r="P27" s="13">
        <f>345+120</f>
        <v>465</v>
      </c>
      <c r="Q27" s="5">
        <v>10</v>
      </c>
      <c r="R27" s="5">
        <v>8</v>
      </c>
      <c r="S27" s="5"/>
      <c r="T27" s="5"/>
      <c r="U27" s="5">
        <v>6</v>
      </c>
      <c r="V27" s="40">
        <f t="shared" si="0"/>
        <v>1.0177081213108082E-3</v>
      </c>
      <c r="W27" s="40">
        <f t="shared" si="1"/>
        <v>8.1433224755700329E-4</v>
      </c>
      <c r="X27" s="40">
        <f t="shared" si="2"/>
        <v>6.1087354917532073E-4</v>
      </c>
      <c r="Y27" s="2">
        <f t="shared" si="3"/>
        <v>0.81799999999999995</v>
      </c>
      <c r="Z27" s="2">
        <f t="shared" si="4"/>
        <v>0.999185667752443</v>
      </c>
      <c r="AA27" s="2">
        <f t="shared" si="5"/>
        <v>0.81733387622149833</v>
      </c>
      <c r="AB27" s="23"/>
    </row>
    <row r="28" spans="1:28" x14ac:dyDescent="0.25">
      <c r="A28" s="9" t="s">
        <v>183</v>
      </c>
      <c r="B28" s="10" t="s">
        <v>260</v>
      </c>
      <c r="C28" s="10" t="s">
        <v>261</v>
      </c>
      <c r="D28" s="10" t="str">
        <f>VLOOKUP(C28,Setup!A:F,3,)</f>
        <v>Hair mousse PROFESSIONAL TOUCH Pro-vitamin B5 Silk Protein extra strong hold, 150 ml</v>
      </c>
      <c r="E28" s="10" t="str">
        <f>VLOOKUP(C28,Setup!A:F,4,)</f>
        <v>PROFESSIONAL TOUCH</v>
      </c>
      <c r="F28" s="10" t="str">
        <f>VLOOKUP(C28,Setup!A:F,5,)</f>
        <v>HAIR CARE</v>
      </c>
      <c r="G28" s="10" t="str">
        <f>VLOOKUP(C28,Setup!A:F,6,)</f>
        <v>Hair mousse</v>
      </c>
      <c r="H28" s="11" t="s">
        <v>262</v>
      </c>
      <c r="I28" s="25">
        <v>30000</v>
      </c>
      <c r="J28" s="12">
        <f>13440+1008+15696</f>
        <v>30144</v>
      </c>
      <c r="K28" s="13">
        <v>140</v>
      </c>
      <c r="L28" s="13">
        <v>30</v>
      </c>
      <c r="M28" s="13">
        <v>45</v>
      </c>
      <c r="N28" s="5">
        <v>120</v>
      </c>
      <c r="O28" s="1" t="s">
        <v>4855</v>
      </c>
      <c r="P28" s="13">
        <f>390-15+160</f>
        <v>535</v>
      </c>
      <c r="Q28" s="5">
        <f>21+4</f>
        <v>25</v>
      </c>
      <c r="R28" s="5">
        <f>7+52</f>
        <v>59</v>
      </c>
      <c r="S28" s="5"/>
      <c r="T28" s="5"/>
      <c r="U28" s="5">
        <f>6+6</f>
        <v>12</v>
      </c>
      <c r="V28" s="40">
        <f t="shared" si="0"/>
        <v>8.2866518611820084E-4</v>
      </c>
      <c r="W28" s="40">
        <f t="shared" si="1"/>
        <v>1.9534483329470584E-3</v>
      </c>
      <c r="X28" s="40">
        <f t="shared" si="2"/>
        <v>3.9793076004775168E-4</v>
      </c>
      <c r="Y28" s="2">
        <f t="shared" si="3"/>
        <v>0.58193050193050189</v>
      </c>
      <c r="Z28" s="2">
        <f t="shared" si="4"/>
        <v>0.99804655166705292</v>
      </c>
      <c r="AA28" s="2">
        <f t="shared" si="5"/>
        <v>0.58079373076161467</v>
      </c>
      <c r="AB28" s="23"/>
    </row>
    <row r="29" spans="1:28" x14ac:dyDescent="0.25">
      <c r="A29" s="9" t="s">
        <v>183</v>
      </c>
      <c r="B29" s="10" t="s">
        <v>263</v>
      </c>
      <c r="C29" s="10" t="s">
        <v>264</v>
      </c>
      <c r="D29" s="10" t="str">
        <f>VLOOKUP(C29,Setup!A:F,3,)</f>
        <v>Hair mousse PROFESSIONAL TOUCH Pro vitamin B5B5&amp;Collagen strong hold, 150 ml</v>
      </c>
      <c r="E29" s="10" t="str">
        <f>VLOOKUP(C29,Setup!A:F,4,)</f>
        <v>PROFESSIONAL TOUCH</v>
      </c>
      <c r="F29" s="10" t="str">
        <f>VLOOKUP(C29,Setup!A:F,5,)</f>
        <v>HAIR CARE</v>
      </c>
      <c r="G29" s="10" t="str">
        <f>VLOOKUP(C29,Setup!A:F,6,)</f>
        <v>Hair mousse</v>
      </c>
      <c r="H29" s="11" t="s">
        <v>265</v>
      </c>
      <c r="I29" s="25">
        <v>6500</v>
      </c>
      <c r="J29" s="12">
        <v>6888</v>
      </c>
      <c r="K29" s="13">
        <v>140</v>
      </c>
      <c r="L29" s="13">
        <v>15</v>
      </c>
      <c r="M29" s="13">
        <f>15+15</f>
        <v>30</v>
      </c>
      <c r="N29" s="5"/>
      <c r="O29" s="1"/>
      <c r="P29" s="13">
        <v>104</v>
      </c>
      <c r="Q29" s="5">
        <v>1</v>
      </c>
      <c r="R29" s="5">
        <v>4</v>
      </c>
      <c r="S29" s="5"/>
      <c r="T29" s="5"/>
      <c r="U29" s="5">
        <v>6</v>
      </c>
      <c r="V29" s="40">
        <f t="shared" si="0"/>
        <v>1.4515894904920887E-4</v>
      </c>
      <c r="W29" s="40">
        <f t="shared" si="1"/>
        <v>5.8038305281485781E-4</v>
      </c>
      <c r="X29" s="40">
        <f t="shared" si="2"/>
        <v>8.703220191470844E-4</v>
      </c>
      <c r="Y29" s="2">
        <f t="shared" si="3"/>
        <v>0.66486486486486485</v>
      </c>
      <c r="Z29" s="2">
        <f t="shared" si="4"/>
        <v>0.99941961694718517</v>
      </c>
      <c r="AA29" s="2">
        <f t="shared" si="5"/>
        <v>0.6644789885648853</v>
      </c>
      <c r="AB29" s="23"/>
    </row>
    <row r="30" spans="1:28" x14ac:dyDescent="0.25">
      <c r="A30" s="9" t="s">
        <v>183</v>
      </c>
      <c r="B30" s="10" t="s">
        <v>266</v>
      </c>
      <c r="C30" s="10" t="s">
        <v>267</v>
      </c>
      <c r="D30" s="10" t="str">
        <f>VLOOKUP(C30,Setup!A:F,3,)</f>
        <v>Hair mousse OLIVIA Lush mane Lush mane trends line, 150 ml</v>
      </c>
      <c r="E30" s="10" t="str">
        <f>VLOOKUP(C30,Setup!A:F,4,)</f>
        <v>OLIVIA</v>
      </c>
      <c r="F30" s="10" t="str">
        <f>VLOOKUP(C30,Setup!A:F,5,)</f>
        <v>HAIR CARE</v>
      </c>
      <c r="G30" s="10" t="str">
        <f>VLOOKUP(C30,Setup!A:F,6,)</f>
        <v>Hair mousse</v>
      </c>
      <c r="H30" s="11" t="s">
        <v>268</v>
      </c>
      <c r="I30" s="25">
        <v>6500</v>
      </c>
      <c r="J30" s="12">
        <v>6678</v>
      </c>
      <c r="K30" s="13">
        <v>140</v>
      </c>
      <c r="L30" s="13">
        <v>15</v>
      </c>
      <c r="M30" s="13">
        <f>30+30+40</f>
        <v>100</v>
      </c>
      <c r="N30" s="5"/>
      <c r="O30" s="1"/>
      <c r="P30" s="13">
        <v>156</v>
      </c>
      <c r="Q30" s="5">
        <v>5</v>
      </c>
      <c r="R30" s="5">
        <v>12</v>
      </c>
      <c r="S30" s="5"/>
      <c r="T30" s="5"/>
      <c r="U30" s="5">
        <v>12</v>
      </c>
      <c r="V30" s="40">
        <f t="shared" si="0"/>
        <v>7.4816699087236276E-4</v>
      </c>
      <c r="W30" s="40">
        <f t="shared" si="1"/>
        <v>1.7937219730941704E-3</v>
      </c>
      <c r="X30" s="40">
        <f t="shared" si="2"/>
        <v>1.7937219730941704E-3</v>
      </c>
      <c r="Y30" s="2">
        <f t="shared" si="3"/>
        <v>0.85178571428571426</v>
      </c>
      <c r="Z30" s="2">
        <f t="shared" si="4"/>
        <v>0.99820627802690587</v>
      </c>
      <c r="AA30" s="2">
        <f t="shared" si="5"/>
        <v>0.85025784753363232</v>
      </c>
      <c r="AB30" s="23"/>
    </row>
    <row r="31" spans="1:28" x14ac:dyDescent="0.25">
      <c r="A31" s="9" t="s">
        <v>183</v>
      </c>
      <c r="B31" s="10" t="s">
        <v>269</v>
      </c>
      <c r="C31" s="10" t="s">
        <v>270</v>
      </c>
      <c r="D31" s="10" t="str">
        <f>VLOOKUP(C31,Setup!A:F,3,)</f>
        <v>Hair mousse OLIVIA Mega durability and thermal protection, super strong hold 6, 150 ml, fitocare line</v>
      </c>
      <c r="E31" s="10" t="str">
        <f>VLOOKUP(C31,Setup!A:F,4,)</f>
        <v>OLIVIA</v>
      </c>
      <c r="F31" s="10" t="str">
        <f>VLOOKUP(C31,Setup!A:F,5,)</f>
        <v>HAIR CARE</v>
      </c>
      <c r="G31" s="10" t="str">
        <f>VLOOKUP(C31,Setup!A:F,6,)</f>
        <v>Hair mousse</v>
      </c>
      <c r="H31" s="11" t="s">
        <v>271</v>
      </c>
      <c r="I31" s="25">
        <v>6500</v>
      </c>
      <c r="J31" s="12">
        <v>6491</v>
      </c>
      <c r="K31" s="13">
        <v>140</v>
      </c>
      <c r="L31" s="13">
        <v>15</v>
      </c>
      <c r="M31" s="13">
        <v>0</v>
      </c>
      <c r="N31" s="5"/>
      <c r="O31" s="1"/>
      <c r="P31" s="13">
        <v>84</v>
      </c>
      <c r="Q31" s="5"/>
      <c r="R31" s="5">
        <v>9</v>
      </c>
      <c r="S31" s="5"/>
      <c r="T31" s="5"/>
      <c r="U31" s="5">
        <v>6</v>
      </c>
      <c r="V31" s="40">
        <f t="shared" si="0"/>
        <v>0</v>
      </c>
      <c r="W31" s="40">
        <f t="shared" si="1"/>
        <v>1.3846153846153845E-3</v>
      </c>
      <c r="X31" s="40">
        <f t="shared" si="2"/>
        <v>9.2350315530244733E-4</v>
      </c>
      <c r="Y31" s="2">
        <f t="shared" si="3"/>
        <v>0.55195578231292519</v>
      </c>
      <c r="Z31" s="2">
        <f t="shared" si="4"/>
        <v>0.99861538461538457</v>
      </c>
      <c r="AA31" s="2">
        <f t="shared" si="5"/>
        <v>0.55119153584510727</v>
      </c>
      <c r="AB31" s="23"/>
    </row>
    <row r="32" spans="1:28" x14ac:dyDescent="0.25">
      <c r="A32" s="9" t="s">
        <v>183</v>
      </c>
      <c r="B32" s="10" t="s">
        <v>272</v>
      </c>
      <c r="C32" s="10" t="s">
        <v>273</v>
      </c>
      <c r="D32" s="10" t="str">
        <f>VLOOKUP(C32,Setup!A:F,3,)</f>
        <v>Hair mousse OLIVIA Super volume from roots mega fixation 5, 150 ml, fitocare line</v>
      </c>
      <c r="E32" s="10" t="str">
        <f>VLOOKUP(C32,Setup!A:F,4,)</f>
        <v>OLIVIA</v>
      </c>
      <c r="F32" s="10" t="str">
        <f>VLOOKUP(C32,Setup!A:F,5,)</f>
        <v>HAIR CARE</v>
      </c>
      <c r="G32" s="10" t="str">
        <f>VLOOKUP(C32,Setup!A:F,6,)</f>
        <v>Hair mousse</v>
      </c>
      <c r="H32" s="11" t="s">
        <v>274</v>
      </c>
      <c r="I32" s="25">
        <v>6500</v>
      </c>
      <c r="J32" s="12">
        <v>6751</v>
      </c>
      <c r="K32" s="13">
        <v>140</v>
      </c>
      <c r="L32" s="13">
        <v>15</v>
      </c>
      <c r="M32" s="13">
        <v>15</v>
      </c>
      <c r="N32" s="5"/>
      <c r="O32" s="1"/>
      <c r="P32" s="13">
        <v>96</v>
      </c>
      <c r="Q32" s="5">
        <v>5</v>
      </c>
      <c r="R32" s="5">
        <v>14</v>
      </c>
      <c r="S32" s="5"/>
      <c r="T32" s="5"/>
      <c r="U32" s="5">
        <v>6</v>
      </c>
      <c r="V32" s="40">
        <f t="shared" si="0"/>
        <v>7.4008288928359975E-4</v>
      </c>
      <c r="W32" s="40">
        <f t="shared" si="1"/>
        <v>2.0694752402069475E-3</v>
      </c>
      <c r="X32" s="40">
        <f t="shared" si="2"/>
        <v>8.8796803315080658E-4</v>
      </c>
      <c r="Y32" s="2">
        <f t="shared" si="3"/>
        <v>0.59532627865961196</v>
      </c>
      <c r="Z32" s="2">
        <f t="shared" si="4"/>
        <v>0.99793052475979305</v>
      </c>
      <c r="AA32" s="2">
        <f t="shared" si="5"/>
        <v>0.59409426566608137</v>
      </c>
      <c r="AB32" s="23"/>
    </row>
    <row r="33" spans="1:28" x14ac:dyDescent="0.25">
      <c r="A33" s="9" t="s">
        <v>183</v>
      </c>
      <c r="B33" s="10" t="s">
        <v>275</v>
      </c>
      <c r="C33" s="10" t="s">
        <v>276</v>
      </c>
      <c r="D33" s="10" t="str">
        <f>VLOOKUP(C33,Setup!A:F,3,)</f>
        <v>Hair mousse OLIVIA Expert Pro Flex and Control, 150 ml</v>
      </c>
      <c r="E33" s="10" t="str">
        <f>VLOOKUP(C33,Setup!A:F,4,)</f>
        <v>OLIVIA</v>
      </c>
      <c r="F33" s="10" t="str">
        <f>VLOOKUP(C33,Setup!A:F,5,)</f>
        <v>HAIR CARE</v>
      </c>
      <c r="G33" s="10" t="str">
        <f>VLOOKUP(C33,Setup!A:F,6,)</f>
        <v>Hair mousse</v>
      </c>
      <c r="H33" s="11" t="s">
        <v>277</v>
      </c>
      <c r="I33" s="25">
        <v>6500</v>
      </c>
      <c r="J33" s="12">
        <f>3663+3363</f>
        <v>7026</v>
      </c>
      <c r="K33" s="13">
        <v>140</v>
      </c>
      <c r="L33" s="13">
        <v>15</v>
      </c>
      <c r="M33" s="13">
        <v>0</v>
      </c>
      <c r="N33" s="5">
        <f>45+48</f>
        <v>93</v>
      </c>
      <c r="O33" s="1" t="s">
        <v>4855</v>
      </c>
      <c r="P33" s="13">
        <f>135-10+85</f>
        <v>210</v>
      </c>
      <c r="Q33" s="5">
        <f>2+3</f>
        <v>5</v>
      </c>
      <c r="R33" s="5">
        <f>6+32</f>
        <v>38</v>
      </c>
      <c r="S33" s="5"/>
      <c r="T33" s="5"/>
      <c r="U33" s="5">
        <v>12</v>
      </c>
      <c r="V33" s="40">
        <f t="shared" si="0"/>
        <v>7.1113639596074522E-4</v>
      </c>
      <c r="W33" s="40">
        <f t="shared" si="1"/>
        <v>5.3793884484711211E-3</v>
      </c>
      <c r="X33" s="40">
        <f t="shared" si="2"/>
        <v>1.7050298380221654E-3</v>
      </c>
      <c r="Y33" s="2">
        <f t="shared" si="3"/>
        <v>0.42893772893772891</v>
      </c>
      <c r="Z33" s="2">
        <f t="shared" si="4"/>
        <v>0.99462061155152892</v>
      </c>
      <c r="AA33" s="2">
        <f t="shared" si="5"/>
        <v>0.42663030627356785</v>
      </c>
      <c r="AB33" s="23"/>
    </row>
    <row r="34" spans="1:28" x14ac:dyDescent="0.25">
      <c r="A34" s="9" t="s">
        <v>183</v>
      </c>
      <c r="B34" s="10" t="s">
        <v>278</v>
      </c>
      <c r="C34" s="10" t="s">
        <v>279</v>
      </c>
      <c r="D34" s="10" t="str">
        <f>VLOOKUP(C34,Setup!A:F,3,)</f>
        <v>Hair mousse OLIVIA Expert Pro Volume and power, 150 ml</v>
      </c>
      <c r="E34" s="10" t="str">
        <f>VLOOKUP(C34,Setup!A:F,4,)</f>
        <v>OLIVIA</v>
      </c>
      <c r="F34" s="10" t="str">
        <f>VLOOKUP(C34,Setup!A:F,5,)</f>
        <v>HAIR CARE</v>
      </c>
      <c r="G34" s="10" t="str">
        <f>VLOOKUP(C34,Setup!A:F,6,)</f>
        <v>Hair mousse</v>
      </c>
      <c r="H34" s="11" t="s">
        <v>280</v>
      </c>
      <c r="I34" s="25">
        <v>6500</v>
      </c>
      <c r="J34" s="12">
        <v>6310</v>
      </c>
      <c r="K34" s="13">
        <v>140</v>
      </c>
      <c r="L34" s="13">
        <v>15</v>
      </c>
      <c r="M34" s="13">
        <v>0</v>
      </c>
      <c r="N34" s="5"/>
      <c r="O34" s="1"/>
      <c r="P34" s="13">
        <v>120</v>
      </c>
      <c r="Q34" s="5">
        <v>4</v>
      </c>
      <c r="R34" s="5">
        <v>16</v>
      </c>
      <c r="S34" s="5"/>
      <c r="T34" s="5"/>
      <c r="U34" s="5">
        <v>6</v>
      </c>
      <c r="V34" s="40">
        <f t="shared" si="0"/>
        <v>6.3351282863477985E-4</v>
      </c>
      <c r="W34" s="40">
        <f t="shared" si="1"/>
        <v>2.5292443882390138E-3</v>
      </c>
      <c r="X34" s="40">
        <f t="shared" si="2"/>
        <v>9.4996833438885367E-4</v>
      </c>
      <c r="Y34" s="2">
        <f t="shared" si="3"/>
        <v>0.37559523809523809</v>
      </c>
      <c r="Z34" s="2">
        <f t="shared" si="4"/>
        <v>0.99747075561176102</v>
      </c>
      <c r="AA34" s="2">
        <f t="shared" si="5"/>
        <v>0.37464526594703645</v>
      </c>
      <c r="AB34" s="23"/>
    </row>
    <row r="35" spans="1:28" x14ac:dyDescent="0.25">
      <c r="A35" s="9" t="s">
        <v>183</v>
      </c>
      <c r="B35" s="10" t="s">
        <v>281</v>
      </c>
      <c r="C35" s="10" t="s">
        <v>282</v>
      </c>
      <c r="D35" s="10" t="str">
        <f>VLOOKUP(C35,Setup!A:F,3,)</f>
        <v>Deodorant SPORT STAR Ice blue for men, 175 ml, F</v>
      </c>
      <c r="E35" s="10" t="str">
        <f>VLOOKUP(C35,Setup!A:F,4,)</f>
        <v>SPORT STAR</v>
      </c>
      <c r="F35" s="10" t="str">
        <f>VLOOKUP(C35,Setup!A:F,5,)</f>
        <v>BODY CARE</v>
      </c>
      <c r="G35" s="10" t="str">
        <f>VLOOKUP(C35,Setup!A:F,6,)</f>
        <v>Deodorant</v>
      </c>
      <c r="H35" s="11" t="s">
        <v>283</v>
      </c>
      <c r="I35" s="30">
        <v>12000</v>
      </c>
      <c r="J35" s="12">
        <v>11976</v>
      </c>
      <c r="K35" s="13">
        <v>150</v>
      </c>
      <c r="L35" s="13">
        <v>120</v>
      </c>
      <c r="M35" s="13">
        <v>0</v>
      </c>
      <c r="N35" s="5"/>
      <c r="O35" s="1"/>
      <c r="P35" s="13">
        <v>342</v>
      </c>
      <c r="Q35" s="5">
        <v>12</v>
      </c>
      <c r="R35" s="5">
        <f>12+12+14</f>
        <v>38</v>
      </c>
      <c r="S35" s="5"/>
      <c r="T35" s="5"/>
      <c r="U35" s="5">
        <v>6</v>
      </c>
      <c r="V35" s="40">
        <f t="shared" si="0"/>
        <v>1.001001001001001E-3</v>
      </c>
      <c r="W35" s="40">
        <f t="shared" si="1"/>
        <v>3.162976527384718E-3</v>
      </c>
      <c r="X35" s="40">
        <f t="shared" si="2"/>
        <v>5.00751126690035E-4</v>
      </c>
      <c r="Y35" s="2">
        <f t="shared" si="3"/>
        <v>0.23345029239766082</v>
      </c>
      <c r="Z35" s="2">
        <f t="shared" si="4"/>
        <v>0.99683702347261527</v>
      </c>
      <c r="AA35" s="2">
        <f t="shared" si="5"/>
        <v>0.23271189460249592</v>
      </c>
      <c r="AB35" s="23"/>
    </row>
    <row r="36" spans="1:28" x14ac:dyDescent="0.25">
      <c r="A36" s="9" t="s">
        <v>183</v>
      </c>
      <c r="B36" s="10" t="s">
        <v>215</v>
      </c>
      <c r="C36" s="10" t="s">
        <v>216</v>
      </c>
      <c r="D36" s="10" t="str">
        <f>VLOOKUP(C36,Setup!A:F,3,)</f>
        <v>Deodorant SPORT STAR Ice blue man, 175 ml</v>
      </c>
      <c r="E36" s="10" t="str">
        <f>VLOOKUP(C36,Setup!A:F,4,)</f>
        <v>SPORT STAR</v>
      </c>
      <c r="F36" s="10" t="str">
        <f>VLOOKUP(C36,Setup!A:F,5,)</f>
        <v>BODY CARE</v>
      </c>
      <c r="G36" s="10" t="str">
        <f>VLOOKUP(C36,Setup!A:F,6,)</f>
        <v>Deodorant</v>
      </c>
      <c r="H36" s="11" t="s">
        <v>284</v>
      </c>
      <c r="I36" s="30">
        <v>16305</v>
      </c>
      <c r="J36" s="12">
        <v>16296</v>
      </c>
      <c r="K36" s="13">
        <v>150</v>
      </c>
      <c r="L36" s="13">
        <v>30</v>
      </c>
      <c r="M36" s="13">
        <v>15</v>
      </c>
      <c r="N36" s="5"/>
      <c r="O36" s="1"/>
      <c r="P36" s="13">
        <v>167</v>
      </c>
      <c r="Q36" s="5">
        <v>3</v>
      </c>
      <c r="R36" s="5">
        <v>1</v>
      </c>
      <c r="S36" s="5"/>
      <c r="T36" s="5"/>
      <c r="U36" s="5">
        <v>6</v>
      </c>
      <c r="V36" s="40">
        <f t="shared" si="0"/>
        <v>1.8406037180195104E-4</v>
      </c>
      <c r="W36" s="40">
        <f t="shared" si="1"/>
        <v>6.1360986684665892E-5</v>
      </c>
      <c r="X36" s="40">
        <f t="shared" si="2"/>
        <v>3.6805299963194699E-4</v>
      </c>
      <c r="Y36" s="2">
        <f t="shared" si="3"/>
        <v>0.71473684210526311</v>
      </c>
      <c r="Z36" s="2">
        <f t="shared" si="4"/>
        <v>0.99993863901331537</v>
      </c>
      <c r="AA36" s="2">
        <f t="shared" si="5"/>
        <v>0.71469298514741164</v>
      </c>
      <c r="AB36" s="23"/>
    </row>
    <row r="37" spans="1:28" x14ac:dyDescent="0.25">
      <c r="A37" s="9" t="s">
        <v>183</v>
      </c>
      <c r="B37" s="10" t="s">
        <v>218</v>
      </c>
      <c r="C37" s="10" t="s">
        <v>219</v>
      </c>
      <c r="D37" s="10" t="str">
        <f>VLOOKUP(C37,Setup!A:F,3,)</f>
        <v>Deodorant EDISON Golden Amber for men, 150 ml</v>
      </c>
      <c r="E37" s="10" t="str">
        <f>VLOOKUP(C37,Setup!A:F,4,)</f>
        <v>EDISON</v>
      </c>
      <c r="F37" s="10" t="str">
        <f>VLOOKUP(C37,Setup!A:F,5,)</f>
        <v>BODY CARE</v>
      </c>
      <c r="G37" s="10" t="str">
        <f>VLOOKUP(C37,Setup!A:F,6,)</f>
        <v>Deodorant</v>
      </c>
      <c r="H37" s="11" t="s">
        <v>285</v>
      </c>
      <c r="I37" s="30">
        <v>12078</v>
      </c>
      <c r="J37" s="12">
        <f>12000</f>
        <v>12000</v>
      </c>
      <c r="K37" s="13">
        <v>150</v>
      </c>
      <c r="L37" s="13">
        <v>15</v>
      </c>
      <c r="M37" s="13">
        <v>0</v>
      </c>
      <c r="N37" s="5"/>
      <c r="O37" s="1"/>
      <c r="P37" s="13">
        <f>21-10+149</f>
        <v>160</v>
      </c>
      <c r="Q37" s="5">
        <v>2</v>
      </c>
      <c r="R37" s="5">
        <v>2</v>
      </c>
      <c r="S37" s="5"/>
      <c r="T37" s="5"/>
      <c r="U37" s="5">
        <v>6</v>
      </c>
      <c r="V37" s="40">
        <f t="shared" si="0"/>
        <v>1.6663889351774705E-4</v>
      </c>
      <c r="W37" s="40">
        <f t="shared" si="1"/>
        <v>1.6663889351774705E-4</v>
      </c>
      <c r="X37" s="40">
        <f t="shared" si="2"/>
        <v>4.9975012493753122E-4</v>
      </c>
      <c r="Y37" s="2">
        <f t="shared" si="3"/>
        <v>0.5</v>
      </c>
      <c r="Z37" s="2">
        <f t="shared" si="4"/>
        <v>0.99983336110648224</v>
      </c>
      <c r="AA37" s="2">
        <f t="shared" si="5"/>
        <v>0.49991668055324112</v>
      </c>
      <c r="AB37" s="23"/>
    </row>
    <row r="38" spans="1:28" x14ac:dyDescent="0.25">
      <c r="A38" s="9" t="s">
        <v>183</v>
      </c>
      <c r="B38" s="10" t="s">
        <v>224</v>
      </c>
      <c r="C38" s="10" t="s">
        <v>225</v>
      </c>
      <c r="D38" s="10" t="str">
        <f>VLOOKUP(C38,Setup!A:F,3,)</f>
        <v>Deodorant EDISON Orange Bergamot for men, 150 ml</v>
      </c>
      <c r="E38" s="10" t="str">
        <f>VLOOKUP(C38,Setup!A:F,4,)</f>
        <v>EDISON</v>
      </c>
      <c r="F38" s="10" t="str">
        <f>VLOOKUP(C38,Setup!A:F,5,)</f>
        <v>BODY CARE</v>
      </c>
      <c r="G38" s="10" t="str">
        <f>VLOOKUP(C38,Setup!A:F,6,)</f>
        <v>Deodorant</v>
      </c>
      <c r="H38" s="11" t="s">
        <v>286</v>
      </c>
      <c r="I38" s="30">
        <v>12078</v>
      </c>
      <c r="J38" s="12">
        <v>12120</v>
      </c>
      <c r="K38" s="13">
        <v>150</v>
      </c>
      <c r="L38" s="13">
        <v>15</v>
      </c>
      <c r="M38" s="13">
        <v>15</v>
      </c>
      <c r="N38" s="5"/>
      <c r="O38" s="1"/>
      <c r="P38" s="13">
        <v>121</v>
      </c>
      <c r="Q38" s="5">
        <v>1</v>
      </c>
      <c r="R38" s="5">
        <v>2</v>
      </c>
      <c r="S38" s="5"/>
      <c r="T38" s="5"/>
      <c r="U38" s="5">
        <v>6</v>
      </c>
      <c r="V38" s="40">
        <f t="shared" si="0"/>
        <v>8.2501443775266062E-5</v>
      </c>
      <c r="W38" s="40">
        <f t="shared" si="1"/>
        <v>1.6498927569707968E-4</v>
      </c>
      <c r="X38" s="40">
        <f t="shared" si="2"/>
        <v>4.9480455220188031E-4</v>
      </c>
      <c r="Y38" s="2">
        <f t="shared" si="3"/>
        <v>0.76226415094339628</v>
      </c>
      <c r="Z38" s="2">
        <f t="shared" si="4"/>
        <v>0.99983501072430292</v>
      </c>
      <c r="AA38" s="2">
        <f t="shared" si="5"/>
        <v>0.76213838553324231</v>
      </c>
      <c r="AB38" s="23"/>
    </row>
    <row r="39" spans="1:28" x14ac:dyDescent="0.25">
      <c r="A39" s="9" t="s">
        <v>183</v>
      </c>
      <c r="B39" s="10" t="s">
        <v>221</v>
      </c>
      <c r="C39" s="10" t="s">
        <v>222</v>
      </c>
      <c r="D39" s="10" t="str">
        <f>VLOOKUP(C39,Setup!A:F,3,)</f>
        <v>Deodorant EDISON Green Vetiver for men, 150 ml</v>
      </c>
      <c r="E39" s="10" t="str">
        <f>VLOOKUP(C39,Setup!A:F,4,)</f>
        <v>EDISON</v>
      </c>
      <c r="F39" s="10" t="str">
        <f>VLOOKUP(C39,Setup!A:F,5,)</f>
        <v>BODY CARE</v>
      </c>
      <c r="G39" s="10" t="str">
        <f>VLOOKUP(C39,Setup!A:F,6,)</f>
        <v>Deodorant</v>
      </c>
      <c r="H39" s="11" t="s">
        <v>287</v>
      </c>
      <c r="I39" s="30">
        <v>12078</v>
      </c>
      <c r="J39" s="12">
        <v>11988</v>
      </c>
      <c r="K39" s="13">
        <v>150</v>
      </c>
      <c r="L39" s="13">
        <v>15</v>
      </c>
      <c r="M39" s="13">
        <v>0</v>
      </c>
      <c r="N39" s="5"/>
      <c r="O39" s="1"/>
      <c r="P39" s="13">
        <v>94</v>
      </c>
      <c r="Q39" s="5">
        <v>2</v>
      </c>
      <c r="R39" s="5">
        <v>5</v>
      </c>
      <c r="S39" s="5"/>
      <c r="T39" s="5"/>
      <c r="U39" s="5">
        <v>6</v>
      </c>
      <c r="V39" s="40">
        <f t="shared" si="0"/>
        <v>1.6680567139282736E-4</v>
      </c>
      <c r="W39" s="40">
        <f t="shared" si="1"/>
        <v>4.169098640873843E-4</v>
      </c>
      <c r="X39" s="40">
        <f t="shared" si="2"/>
        <v>5.0025012506253123E-4</v>
      </c>
      <c r="Y39" s="2">
        <f t="shared" si="3"/>
        <v>0.85021276595744677</v>
      </c>
      <c r="Z39" s="2">
        <f t="shared" si="4"/>
        <v>0.99958309013591262</v>
      </c>
      <c r="AA39" s="2">
        <f t="shared" si="5"/>
        <v>0.84985830386874606</v>
      </c>
      <c r="AB39" s="23"/>
    </row>
    <row r="40" spans="1:28" x14ac:dyDescent="0.25">
      <c r="A40" s="9" t="s">
        <v>183</v>
      </c>
      <c r="B40" s="10" t="s">
        <v>227</v>
      </c>
      <c r="C40" s="10" t="s">
        <v>228</v>
      </c>
      <c r="D40" s="10" t="str">
        <f>VLOOKUP(C40,Setup!A:F,3,)</f>
        <v>Deodorant EDISON Blue Aqua for men, 150 ml</v>
      </c>
      <c r="E40" s="10" t="str">
        <f>VLOOKUP(C40,Setup!A:F,4,)</f>
        <v>EDISON</v>
      </c>
      <c r="F40" s="10" t="str">
        <f>VLOOKUP(C40,Setup!A:F,5,)</f>
        <v>BODY CARE</v>
      </c>
      <c r="G40" s="10" t="str">
        <f>VLOOKUP(C40,Setup!A:F,6,)</f>
        <v>Deodorant</v>
      </c>
      <c r="H40" s="11" t="s">
        <v>288</v>
      </c>
      <c r="I40" s="30">
        <v>12078</v>
      </c>
      <c r="J40" s="12">
        <v>12024</v>
      </c>
      <c r="K40" s="13">
        <v>150</v>
      </c>
      <c r="L40" s="13">
        <v>15</v>
      </c>
      <c r="M40" s="13">
        <v>0</v>
      </c>
      <c r="N40" s="5"/>
      <c r="O40" s="1"/>
      <c r="P40" s="13">
        <v>104</v>
      </c>
      <c r="Q40" s="5">
        <v>2</v>
      </c>
      <c r="R40" s="5">
        <v>2</v>
      </c>
      <c r="S40" s="5"/>
      <c r="T40" s="5"/>
      <c r="U40" s="5">
        <v>6</v>
      </c>
      <c r="V40" s="40">
        <f t="shared" si="0"/>
        <v>1.6630633627141194E-4</v>
      </c>
      <c r="W40" s="40">
        <f t="shared" si="1"/>
        <v>1.6630633627141194E-4</v>
      </c>
      <c r="X40" s="40">
        <f t="shared" si="2"/>
        <v>4.9875311720698251E-4</v>
      </c>
      <c r="Y40" s="2">
        <f t="shared" si="3"/>
        <v>0.77076923076923076</v>
      </c>
      <c r="Z40" s="2">
        <f t="shared" si="4"/>
        <v>0.99983369366372854</v>
      </c>
      <c r="AA40" s="2">
        <f t="shared" si="5"/>
        <v>0.77064104696235081</v>
      </c>
      <c r="AB40" s="23"/>
    </row>
    <row r="41" spans="1:28" x14ac:dyDescent="0.25">
      <c r="A41" s="9" t="s">
        <v>183</v>
      </c>
      <c r="B41" s="10" t="s">
        <v>289</v>
      </c>
      <c r="C41" s="10" t="s">
        <v>290</v>
      </c>
      <c r="D41" s="10" t="str">
        <f>VLOOKUP(C41,Setup!A:F,3,)</f>
        <v>Hairspray OLIVIA Restoration and Volume strong hold 4, 250 ml, fitocare</v>
      </c>
      <c r="E41" s="10" t="str">
        <f>VLOOKUP(C41,Setup!A:F,4,)</f>
        <v>OLIVIA</v>
      </c>
      <c r="F41" s="10" t="str">
        <f>VLOOKUP(C41,Setup!A:F,5,)</f>
        <v>HAIR CARE</v>
      </c>
      <c r="G41" s="10" t="str">
        <f>VLOOKUP(C41,Setup!A:F,6,)</f>
        <v>Hairspray</v>
      </c>
      <c r="H41" s="11" t="s">
        <v>291</v>
      </c>
      <c r="I41" s="25">
        <v>10504</v>
      </c>
      <c r="J41" s="12">
        <v>10476</v>
      </c>
      <c r="K41" s="13">
        <v>150</v>
      </c>
      <c r="L41" s="13">
        <v>30</v>
      </c>
      <c r="M41" s="13">
        <v>15</v>
      </c>
      <c r="N41" s="5"/>
      <c r="O41" s="1"/>
      <c r="P41" s="13">
        <v>117</v>
      </c>
      <c r="Q41" s="5">
        <v>15</v>
      </c>
      <c r="R41" s="5">
        <v>6</v>
      </c>
      <c r="S41" s="5"/>
      <c r="T41" s="5"/>
      <c r="U41" s="5">
        <v>6</v>
      </c>
      <c r="V41" s="40">
        <f t="shared" si="0"/>
        <v>1.4297969688304261E-3</v>
      </c>
      <c r="W41" s="40">
        <f t="shared" si="1"/>
        <v>5.7240984544934168E-4</v>
      </c>
      <c r="X41" s="40">
        <f t="shared" si="2"/>
        <v>5.7240984544934168E-4</v>
      </c>
      <c r="Y41" s="2">
        <f t="shared" si="3"/>
        <v>0.68470588235294116</v>
      </c>
      <c r="Z41" s="2">
        <f t="shared" si="4"/>
        <v>0.99942759015455063</v>
      </c>
      <c r="AA41" s="2">
        <f t="shared" si="5"/>
        <v>0.68431394996464523</v>
      </c>
      <c r="AB41" s="23"/>
    </row>
    <row r="42" spans="1:28" x14ac:dyDescent="0.25">
      <c r="A42" s="9" t="s">
        <v>183</v>
      </c>
      <c r="B42" s="10" t="s">
        <v>292</v>
      </c>
      <c r="C42" s="10" t="s">
        <v>293</v>
      </c>
      <c r="D42" s="10" t="str">
        <f>VLOOKUP(C42,Setup!A:F,3,)</f>
        <v>Hairspray OLIVIA Super volume from roots mega fixation 5, 250 ml, fitocare</v>
      </c>
      <c r="E42" s="10" t="str">
        <f>VLOOKUP(C42,Setup!A:F,4,)</f>
        <v>OLIVIA</v>
      </c>
      <c r="F42" s="10" t="str">
        <f>VLOOKUP(C42,Setup!A:F,5,)</f>
        <v>HAIR CARE</v>
      </c>
      <c r="G42" s="10" t="str">
        <f>VLOOKUP(C42,Setup!A:F,6,)</f>
        <v>Hairspray</v>
      </c>
      <c r="H42" s="11" t="s">
        <v>294</v>
      </c>
      <c r="I42" s="25">
        <v>13165</v>
      </c>
      <c r="J42" s="12">
        <v>13140</v>
      </c>
      <c r="K42" s="13">
        <v>150</v>
      </c>
      <c r="L42" s="13">
        <v>15</v>
      </c>
      <c r="M42" s="13">
        <v>0</v>
      </c>
      <c r="N42" s="5"/>
      <c r="O42" s="1"/>
      <c r="P42" s="13">
        <v>120</v>
      </c>
      <c r="Q42" s="5">
        <v>14</v>
      </c>
      <c r="R42" s="5">
        <v>3</v>
      </c>
      <c r="S42" s="5"/>
      <c r="T42" s="5"/>
      <c r="U42" s="5">
        <v>6</v>
      </c>
      <c r="V42" s="40">
        <f t="shared" si="0"/>
        <v>1.0643150372510264E-3</v>
      </c>
      <c r="W42" s="40">
        <f t="shared" si="1"/>
        <v>2.2825838849577722E-4</v>
      </c>
      <c r="X42" s="40">
        <f t="shared" si="2"/>
        <v>4.5641259698767686E-4</v>
      </c>
      <c r="Y42" s="2">
        <f t="shared" si="3"/>
        <v>0.73</v>
      </c>
      <c r="Z42" s="2">
        <f t="shared" si="4"/>
        <v>0.99977174161150417</v>
      </c>
      <c r="AA42" s="2">
        <f t="shared" si="5"/>
        <v>0.72983337137639803</v>
      </c>
      <c r="AB42" s="23"/>
    </row>
    <row r="43" spans="1:28" x14ac:dyDescent="0.25">
      <c r="A43" s="9" t="s">
        <v>183</v>
      </c>
      <c r="B43" s="10" t="s">
        <v>295</v>
      </c>
      <c r="C43" s="10" t="s">
        <v>296</v>
      </c>
      <c r="D43" s="10" t="str">
        <f>VLOOKUP(C43,Setup!A:F,3,)</f>
        <v>Hairspray OLIVIA Extra shine and longevity megafix 5, 250 ml, fitocare</v>
      </c>
      <c r="E43" s="10" t="str">
        <f>VLOOKUP(C43,Setup!A:F,4,)</f>
        <v>OLIVIA</v>
      </c>
      <c r="F43" s="10" t="str">
        <f>VLOOKUP(C43,Setup!A:F,5,)</f>
        <v>HAIR CARE</v>
      </c>
      <c r="G43" s="10" t="str">
        <f>VLOOKUP(C43,Setup!A:F,6,)</f>
        <v>Hairspray</v>
      </c>
      <c r="H43" s="11" t="s">
        <v>297</v>
      </c>
      <c r="I43" s="25">
        <v>8895</v>
      </c>
      <c r="J43" s="12">
        <f>384+8412</f>
        <v>8796</v>
      </c>
      <c r="K43" s="13">
        <v>150</v>
      </c>
      <c r="L43" s="13">
        <v>15</v>
      </c>
      <c r="M43" s="13">
        <v>0</v>
      </c>
      <c r="N43" s="5"/>
      <c r="O43" s="1"/>
      <c r="P43" s="13">
        <f>30-10+60</f>
        <v>80</v>
      </c>
      <c r="Q43" s="5">
        <f>15+72</f>
        <v>87</v>
      </c>
      <c r="R43" s="5">
        <v>2</v>
      </c>
      <c r="S43" s="5"/>
      <c r="T43" s="5"/>
      <c r="U43" s="5">
        <v>6</v>
      </c>
      <c r="V43" s="40">
        <f t="shared" si="0"/>
        <v>9.7939885173927727E-3</v>
      </c>
      <c r="W43" s="40">
        <f t="shared" si="1"/>
        <v>2.2732439190725165E-4</v>
      </c>
      <c r="X43" s="40">
        <f t="shared" si="2"/>
        <v>6.8166325835037494E-4</v>
      </c>
      <c r="Y43" s="2">
        <f t="shared" si="3"/>
        <v>0.73299999999999998</v>
      </c>
      <c r="Z43" s="2">
        <f t="shared" si="4"/>
        <v>0.9997726756080928</v>
      </c>
      <c r="AA43" s="2">
        <f t="shared" si="5"/>
        <v>0.732833371220732</v>
      </c>
      <c r="AB43" s="23"/>
    </row>
    <row r="44" spans="1:28" x14ac:dyDescent="0.25">
      <c r="A44" s="9" t="s">
        <v>183</v>
      </c>
      <c r="B44" s="10" t="s">
        <v>298</v>
      </c>
      <c r="C44" s="10" t="s">
        <v>299</v>
      </c>
      <c r="D44" s="10" t="str">
        <f>VLOOKUP(C44,Setup!A:F,3,)</f>
        <v>Shaving foam LENTA for sensitive skin, 200 ml, Sl</v>
      </c>
      <c r="E44" s="10" t="str">
        <f>VLOOKUP(C44,Setup!A:F,4,)</f>
        <v>365 DNEY</v>
      </c>
      <c r="F44" s="10" t="str">
        <f>VLOOKUP(C44,Setup!A:F,5,)</f>
        <v>BODY CARE</v>
      </c>
      <c r="G44" s="10" t="str">
        <f>VLOOKUP(C44,Setup!A:F,6,)</f>
        <v>Shaving foam</v>
      </c>
      <c r="H44" s="11" t="s">
        <v>300</v>
      </c>
      <c r="I44" s="25">
        <v>2400</v>
      </c>
      <c r="J44" s="12">
        <v>2472</v>
      </c>
      <c r="K44" s="13">
        <v>140</v>
      </c>
      <c r="L44" s="13">
        <v>60</v>
      </c>
      <c r="M44" s="13">
        <v>0</v>
      </c>
      <c r="N44" s="5"/>
      <c r="O44" s="1"/>
      <c r="P44" s="13">
        <v>70</v>
      </c>
      <c r="Q44" s="5"/>
      <c r="R44" s="5"/>
      <c r="S44" s="5"/>
      <c r="T44" s="5"/>
      <c r="U44" s="5">
        <v>6</v>
      </c>
      <c r="V44" s="40">
        <f t="shared" si="0"/>
        <v>0</v>
      </c>
      <c r="W44" s="40">
        <f t="shared" si="1"/>
        <v>0</v>
      </c>
      <c r="X44" s="40">
        <f t="shared" si="2"/>
        <v>2.4213075060532689E-3</v>
      </c>
      <c r="Y44" s="2">
        <f t="shared" si="3"/>
        <v>0.2522448979591837</v>
      </c>
      <c r="Z44" s="2">
        <f t="shared" si="4"/>
        <v>1</v>
      </c>
      <c r="AA44" s="2">
        <f t="shared" si="5"/>
        <v>0.2522448979591837</v>
      </c>
      <c r="AB44" s="23"/>
    </row>
    <row r="45" spans="1:28" x14ac:dyDescent="0.25">
      <c r="A45" s="9" t="s">
        <v>183</v>
      </c>
      <c r="B45" s="10" t="s">
        <v>301</v>
      </c>
      <c r="C45" s="10" t="s">
        <v>302</v>
      </c>
      <c r="D45" s="10" t="str">
        <f>VLOOKUP(C45,Setup!A:F,3,)</f>
        <v>Shaving foam SPORT STAR Sensеtive for sensitive skin with menthol, 200 ml</v>
      </c>
      <c r="E45" s="10" t="str">
        <f>VLOOKUP(C45,Setup!A:F,4,)</f>
        <v>SPORT STAR</v>
      </c>
      <c r="F45" s="10" t="str">
        <f>VLOOKUP(C45,Setup!A:F,5,)</f>
        <v>BODY CARE</v>
      </c>
      <c r="G45" s="10" t="str">
        <f>VLOOKUP(C45,Setup!A:F,6,)</f>
        <v>Shaving foam</v>
      </c>
      <c r="H45" s="11" t="s">
        <v>303</v>
      </c>
      <c r="I45" s="25">
        <v>8600</v>
      </c>
      <c r="J45" s="12">
        <v>9564</v>
      </c>
      <c r="K45" s="13">
        <v>140</v>
      </c>
      <c r="L45" s="13">
        <v>15</v>
      </c>
      <c r="M45" s="13">
        <v>15</v>
      </c>
      <c r="N45" s="5"/>
      <c r="O45" s="1"/>
      <c r="P45" s="13">
        <v>100</v>
      </c>
      <c r="Q45" s="5">
        <f>6+3</f>
        <v>9</v>
      </c>
      <c r="R45" s="5">
        <v>3</v>
      </c>
      <c r="S45" s="5"/>
      <c r="T45" s="5"/>
      <c r="U45" s="5">
        <v>6</v>
      </c>
      <c r="V45" s="40">
        <f t="shared" si="0"/>
        <v>9.4014415543716701E-4</v>
      </c>
      <c r="W45" s="40">
        <f t="shared" si="1"/>
        <v>3.1357792411414236E-4</v>
      </c>
      <c r="X45" s="40">
        <f t="shared" si="2"/>
        <v>6.2695924764890286E-4</v>
      </c>
      <c r="Y45" s="2">
        <f t="shared" si="3"/>
        <v>0.8036974789915966</v>
      </c>
      <c r="Z45" s="2">
        <f t="shared" si="4"/>
        <v>0.99968642207588587</v>
      </c>
      <c r="AA45" s="2">
        <f t="shared" si="5"/>
        <v>0.80344545720451865</v>
      </c>
      <c r="AB45" s="23"/>
    </row>
    <row r="46" spans="1:28" x14ac:dyDescent="0.25">
      <c r="A46" s="9" t="s">
        <v>183</v>
      </c>
      <c r="B46" s="10" t="s">
        <v>304</v>
      </c>
      <c r="C46" s="10" t="s">
        <v>305</v>
      </c>
      <c r="D46" s="10" t="str">
        <f>VLOOKUP(C46,Setup!A:F,3,)</f>
        <v xml:space="preserve">Shaving foam SPORT STAR Sensеtive for sensitive skin with menthol, 200 ml, Gatter group </v>
      </c>
      <c r="E46" s="10" t="str">
        <f>VLOOKUP(C46,Setup!A:F,4,)</f>
        <v>SPORT STAR</v>
      </c>
      <c r="F46" s="10" t="str">
        <f>VLOOKUP(C46,Setup!A:F,5,)</f>
        <v>BODY CARE</v>
      </c>
      <c r="G46" s="10" t="str">
        <f>VLOOKUP(C46,Setup!A:F,6,)</f>
        <v>Shaving foam</v>
      </c>
      <c r="H46" s="11" t="s">
        <v>303</v>
      </c>
      <c r="I46" s="25">
        <v>2900</v>
      </c>
      <c r="J46" s="12">
        <v>2884</v>
      </c>
      <c r="K46" s="13">
        <v>140</v>
      </c>
      <c r="L46" s="13">
        <v>0</v>
      </c>
      <c r="M46" s="13">
        <v>0</v>
      </c>
      <c r="N46" s="5"/>
      <c r="O46" s="1"/>
      <c r="P46" s="13">
        <v>25</v>
      </c>
      <c r="Q46" s="5"/>
      <c r="R46" s="5"/>
      <c r="S46" s="5"/>
      <c r="T46" s="5"/>
      <c r="U46" s="5"/>
      <c r="V46" s="40">
        <f t="shared" si="0"/>
        <v>0</v>
      </c>
      <c r="W46" s="40">
        <f t="shared" si="1"/>
        <v>0</v>
      </c>
      <c r="X46" s="40">
        <f t="shared" si="2"/>
        <v>0</v>
      </c>
      <c r="Y46" s="2">
        <f t="shared" si="3"/>
        <v>0.82399999999999995</v>
      </c>
      <c r="Z46" s="2">
        <f t="shared" si="4"/>
        <v>1</v>
      </c>
      <c r="AA46" s="2">
        <f t="shared" si="5"/>
        <v>0.82399999999999995</v>
      </c>
      <c r="AB46" s="23"/>
    </row>
    <row r="47" spans="1:28" x14ac:dyDescent="0.25">
      <c r="A47" s="9" t="s">
        <v>183</v>
      </c>
      <c r="B47" s="10" t="s">
        <v>306</v>
      </c>
      <c r="C47" s="10" t="s">
        <v>307</v>
      </c>
      <c r="D47" s="10" t="str">
        <f>VLOOKUP(C47,Setup!A:F,3,)</f>
        <v xml:space="preserve">Shaving foam SPORT STAR Regular for all types of skin, 200 ml, Gatter group </v>
      </c>
      <c r="E47" s="10" t="str">
        <f>VLOOKUP(C47,Setup!A:F,4,)</f>
        <v>SPORT STAR</v>
      </c>
      <c r="F47" s="10" t="str">
        <f>VLOOKUP(C47,Setup!A:F,5,)</f>
        <v>BODY CARE</v>
      </c>
      <c r="G47" s="10" t="str">
        <f>VLOOKUP(C47,Setup!A:F,6,)</f>
        <v>Shaving foam</v>
      </c>
      <c r="H47" s="11" t="s">
        <v>308</v>
      </c>
      <c r="I47" s="25">
        <v>1250</v>
      </c>
      <c r="J47" s="12">
        <v>1452</v>
      </c>
      <c r="K47" s="13">
        <v>140</v>
      </c>
      <c r="L47" s="13">
        <v>15</v>
      </c>
      <c r="M47" s="13">
        <v>0</v>
      </c>
      <c r="N47" s="5"/>
      <c r="O47" s="1"/>
      <c r="P47" s="13">
        <v>25</v>
      </c>
      <c r="Q47" s="5">
        <v>6</v>
      </c>
      <c r="R47" s="5">
        <v>2</v>
      </c>
      <c r="S47" s="5"/>
      <c r="T47" s="5"/>
      <c r="U47" s="5">
        <v>4</v>
      </c>
      <c r="V47" s="40">
        <f t="shared" si="0"/>
        <v>4.11522633744856E-3</v>
      </c>
      <c r="W47" s="40">
        <f t="shared" si="1"/>
        <v>1.375515818431912E-3</v>
      </c>
      <c r="X47" s="40">
        <f t="shared" si="2"/>
        <v>2.7472527472527475E-3</v>
      </c>
      <c r="Y47" s="2">
        <f t="shared" si="3"/>
        <v>0.41485714285714287</v>
      </c>
      <c r="Z47" s="2">
        <f t="shared" si="4"/>
        <v>0.99862448418156813</v>
      </c>
      <c r="AA47" s="2">
        <f t="shared" si="5"/>
        <v>0.41428650029475339</v>
      </c>
      <c r="AB47" s="23"/>
    </row>
    <row r="48" spans="1:28" x14ac:dyDescent="0.25">
      <c r="A48" s="9" t="s">
        <v>183</v>
      </c>
      <c r="B48" s="10" t="s">
        <v>309</v>
      </c>
      <c r="C48" s="10" t="s">
        <v>310</v>
      </c>
      <c r="D48" s="10" t="str">
        <f>VLOOKUP(C48,Setup!A:F,3,)</f>
        <v>Shaving foam BRAVE DAVE for sensitive skin man, 200 ml</v>
      </c>
      <c r="E48" s="10" t="str">
        <f>VLOOKUP(C48,Setup!A:F,4,)</f>
        <v>BRAVE DAVE</v>
      </c>
      <c r="F48" s="10" t="str">
        <f>VLOOKUP(C48,Setup!A:F,5,)</f>
        <v>BODY CARE</v>
      </c>
      <c r="G48" s="10" t="str">
        <f>VLOOKUP(C48,Setup!A:F,6,)</f>
        <v>Shaving foam</v>
      </c>
      <c r="H48" s="11" t="s">
        <v>311</v>
      </c>
      <c r="I48" s="25">
        <v>500</v>
      </c>
      <c r="J48" s="12">
        <v>576</v>
      </c>
      <c r="K48" s="13">
        <v>140</v>
      </c>
      <c r="L48" s="13">
        <v>15</v>
      </c>
      <c r="M48" s="13">
        <v>0</v>
      </c>
      <c r="N48" s="5"/>
      <c r="O48" s="1"/>
      <c r="P48" s="13">
        <v>20</v>
      </c>
      <c r="Q48" s="5">
        <v>2</v>
      </c>
      <c r="R48" s="5">
        <v>2</v>
      </c>
      <c r="S48" s="5"/>
      <c r="T48" s="5"/>
      <c r="U48" s="5">
        <v>4</v>
      </c>
      <c r="V48" s="40">
        <f t="shared" si="0"/>
        <v>3.4602076124567475E-3</v>
      </c>
      <c r="W48" s="40">
        <f t="shared" si="1"/>
        <v>3.4602076124567475E-3</v>
      </c>
      <c r="X48" s="40">
        <f t="shared" si="2"/>
        <v>6.8965517241379309E-3</v>
      </c>
      <c r="Y48" s="2">
        <f t="shared" si="3"/>
        <v>0.20571428571428571</v>
      </c>
      <c r="Z48" s="2">
        <f t="shared" si="4"/>
        <v>0.9965397923875432</v>
      </c>
      <c r="AA48" s="2">
        <f t="shared" si="5"/>
        <v>0.20500247157686602</v>
      </c>
      <c r="AB48" s="23"/>
    </row>
    <row r="49" spans="1:28" x14ac:dyDescent="0.25">
      <c r="A49" s="9" t="s">
        <v>183</v>
      </c>
      <c r="B49" s="10" t="s">
        <v>312</v>
      </c>
      <c r="C49" s="10" t="s">
        <v>313</v>
      </c>
      <c r="D49" s="10" t="str">
        <f>VLOOKUP(C49,Setup!A:F,3,)</f>
        <v>Shaving foam BRAVE DAVE moisturizing effect for all skin types man, 200 ml</v>
      </c>
      <c r="E49" s="10" t="str">
        <f>VLOOKUP(C49,Setup!A:F,4,)</f>
        <v>BRAVE DAVE</v>
      </c>
      <c r="F49" s="10" t="str">
        <f>VLOOKUP(C49,Setup!A:F,5,)</f>
        <v>BODY CARE</v>
      </c>
      <c r="G49" s="10" t="str">
        <f>VLOOKUP(C49,Setup!A:F,6,)</f>
        <v>Shaving foam</v>
      </c>
      <c r="H49" s="11" t="s">
        <v>314</v>
      </c>
      <c r="I49" s="25">
        <v>450</v>
      </c>
      <c r="J49" s="12">
        <v>516</v>
      </c>
      <c r="K49" s="13">
        <v>140</v>
      </c>
      <c r="L49" s="13">
        <v>15</v>
      </c>
      <c r="M49" s="13">
        <v>0</v>
      </c>
      <c r="N49" s="5"/>
      <c r="O49" s="1"/>
      <c r="P49" s="13">
        <v>18</v>
      </c>
      <c r="Q49" s="5"/>
      <c r="R49" s="5"/>
      <c r="S49" s="5"/>
      <c r="T49" s="5"/>
      <c r="U49" s="5">
        <v>4</v>
      </c>
      <c r="V49" s="40">
        <f t="shared" si="0"/>
        <v>0</v>
      </c>
      <c r="W49" s="40">
        <f t="shared" si="1"/>
        <v>0</v>
      </c>
      <c r="X49" s="40">
        <f t="shared" si="2"/>
        <v>7.6923076923076927E-3</v>
      </c>
      <c r="Y49" s="2">
        <f t="shared" si="3"/>
        <v>0.20476190476190476</v>
      </c>
      <c r="Z49" s="2">
        <f t="shared" si="4"/>
        <v>1</v>
      </c>
      <c r="AA49" s="2">
        <f t="shared" si="5"/>
        <v>0.20476190476190476</v>
      </c>
      <c r="AB49" s="23"/>
    </row>
    <row r="50" spans="1:28" x14ac:dyDescent="0.25">
      <c r="A50" s="9" t="s">
        <v>183</v>
      </c>
      <c r="B50" s="10" t="s">
        <v>315</v>
      </c>
      <c r="C50" s="10" t="s">
        <v>240</v>
      </c>
      <c r="D50" s="10" t="str">
        <f>VLOOKUP(C50,Setup!A:F,3,)</f>
        <v>Shaving foam EDISON all skin types with aloe vera, 300 ml</v>
      </c>
      <c r="E50" s="10" t="str">
        <f>VLOOKUP(C50,Setup!A:F,4,)</f>
        <v>EDISON</v>
      </c>
      <c r="F50" s="10" t="str">
        <f>VLOOKUP(C50,Setup!A:F,5,)</f>
        <v>BODY CARE</v>
      </c>
      <c r="G50" s="10" t="str">
        <f>VLOOKUP(C50,Setup!A:F,6,)</f>
        <v>Shaving foam</v>
      </c>
      <c r="H50" s="11" t="s">
        <v>316</v>
      </c>
      <c r="I50" s="25">
        <v>20815.5</v>
      </c>
      <c r="J50" s="12">
        <f>3888+204+16752</f>
        <v>20844</v>
      </c>
      <c r="K50" s="13">
        <v>140</v>
      </c>
      <c r="L50" s="13">
        <v>15</v>
      </c>
      <c r="M50" s="13">
        <f>30</f>
        <v>30</v>
      </c>
      <c r="N50" s="5">
        <f>318+40</f>
        <v>358</v>
      </c>
      <c r="O50" s="1" t="s">
        <v>4849</v>
      </c>
      <c r="P50" s="13">
        <f>417-10+206</f>
        <v>613</v>
      </c>
      <c r="Q50" s="5">
        <v>6</v>
      </c>
      <c r="R50" s="5">
        <v>8</v>
      </c>
      <c r="S50" s="5"/>
      <c r="T50" s="5"/>
      <c r="U50" s="5">
        <v>12</v>
      </c>
      <c r="V50" s="40">
        <f t="shared" si="0"/>
        <v>2.8776978417266187E-4</v>
      </c>
      <c r="W50" s="40">
        <f t="shared" si="1"/>
        <v>3.8365624400537121E-4</v>
      </c>
      <c r="X50" s="40">
        <f t="shared" si="2"/>
        <v>5.7537399309551208E-4</v>
      </c>
      <c r="Y50" s="2">
        <f t="shared" si="3"/>
        <v>0.6617142857142857</v>
      </c>
      <c r="Z50" s="2">
        <f t="shared" si="4"/>
        <v>0.99961634375599462</v>
      </c>
      <c r="AA50" s="2">
        <f t="shared" si="5"/>
        <v>0.66146041489682383</v>
      </c>
      <c r="AB50" s="23"/>
    </row>
    <row r="51" spans="1:28" x14ac:dyDescent="0.25">
      <c r="A51" s="9" t="s">
        <v>183</v>
      </c>
      <c r="B51" s="10" t="s">
        <v>317</v>
      </c>
      <c r="C51" s="10" t="s">
        <v>243</v>
      </c>
      <c r="D51" s="10" t="str">
        <f>VLOOKUP(C51,Setup!A:F,3,)</f>
        <v>Shaving foam EDISON for sensitive skin with vitamins, 300 ml</v>
      </c>
      <c r="E51" s="10" t="str">
        <f>VLOOKUP(C51,Setup!A:F,4,)</f>
        <v>EDISON</v>
      </c>
      <c r="F51" s="10" t="str">
        <f>VLOOKUP(C51,Setup!A:F,5,)</f>
        <v>BODY CARE</v>
      </c>
      <c r="G51" s="10" t="str">
        <f>VLOOKUP(C51,Setup!A:F,6,)</f>
        <v>Shaving foam</v>
      </c>
      <c r="H51" s="11" t="s">
        <v>318</v>
      </c>
      <c r="I51" s="25">
        <v>20815.5</v>
      </c>
      <c r="J51" s="12">
        <v>22032</v>
      </c>
      <c r="K51" s="13">
        <v>140</v>
      </c>
      <c r="L51" s="13">
        <v>15</v>
      </c>
      <c r="M51" s="13">
        <v>0</v>
      </c>
      <c r="N51" s="5"/>
      <c r="O51" s="1"/>
      <c r="P51" s="13">
        <v>207</v>
      </c>
      <c r="Q51" s="5">
        <v>4</v>
      </c>
      <c r="R51" s="5">
        <v>16</v>
      </c>
      <c r="S51" s="5"/>
      <c r="T51" s="5"/>
      <c r="U51" s="5">
        <v>6</v>
      </c>
      <c r="V51" s="40">
        <f t="shared" si="0"/>
        <v>1.8152114721365039E-4</v>
      </c>
      <c r="W51" s="40">
        <f t="shared" si="1"/>
        <v>7.2568940493468795E-4</v>
      </c>
      <c r="X51" s="40">
        <f t="shared" si="2"/>
        <v>2.7225701061802342E-4</v>
      </c>
      <c r="Y51" s="2">
        <f t="shared" si="3"/>
        <v>0.76024844720496898</v>
      </c>
      <c r="Z51" s="2">
        <f t="shared" si="4"/>
        <v>0.99927431059506533</v>
      </c>
      <c r="AA51" s="2">
        <f t="shared" si="5"/>
        <v>0.7596967429617143</v>
      </c>
      <c r="AB51" s="23"/>
    </row>
    <row r="52" spans="1:28" x14ac:dyDescent="0.25">
      <c r="A52" s="9" t="s">
        <v>183</v>
      </c>
      <c r="B52" s="10" t="s">
        <v>230</v>
      </c>
      <c r="C52" s="10" t="s">
        <v>231</v>
      </c>
      <c r="D52" s="10" t="str">
        <f>VLOOKUP(C52,Setup!A:F,3,)</f>
        <v>Hairspray PROFESSIONAL LOOK FANFARE exstrastrong hold, 300 ml</v>
      </c>
      <c r="E52" s="10" t="str">
        <f>VLOOKUP(C52,Setup!A:F,4,)</f>
        <v>PROFESSIONAL LOOK FANFARE</v>
      </c>
      <c r="F52" s="10" t="str">
        <f>VLOOKUP(C52,Setup!A:F,5,)</f>
        <v>HAIR CARE</v>
      </c>
      <c r="G52" s="10" t="str">
        <f>VLOOKUP(C52,Setup!A:F,6,)</f>
        <v>Hairspray</v>
      </c>
      <c r="H52" s="11" t="s">
        <v>319</v>
      </c>
      <c r="I52" s="30">
        <v>29536</v>
      </c>
      <c r="J52" s="12">
        <v>29568</v>
      </c>
      <c r="K52" s="13">
        <v>150</v>
      </c>
      <c r="L52" s="13">
        <v>120</v>
      </c>
      <c r="M52" s="13">
        <v>0</v>
      </c>
      <c r="N52" s="5"/>
      <c r="O52" s="1"/>
      <c r="P52" s="13">
        <v>292</v>
      </c>
      <c r="Q52" s="5">
        <v>8</v>
      </c>
      <c r="R52" s="5">
        <v>30</v>
      </c>
      <c r="S52" s="5"/>
      <c r="T52" s="5"/>
      <c r="U52" s="5">
        <v>6</v>
      </c>
      <c r="V52" s="40">
        <f t="shared" si="0"/>
        <v>2.7048958615093319E-4</v>
      </c>
      <c r="W52" s="40">
        <f t="shared" si="1"/>
        <v>1.0135819987837015E-3</v>
      </c>
      <c r="X52" s="40">
        <f t="shared" si="2"/>
        <v>2.028809089064719E-4</v>
      </c>
      <c r="Y52" s="2">
        <f t="shared" si="3"/>
        <v>0.67506849315068496</v>
      </c>
      <c r="Z52" s="2">
        <f t="shared" si="4"/>
        <v>0.99898641800121635</v>
      </c>
      <c r="AA52" s="2">
        <f t="shared" si="5"/>
        <v>0.67438425587808137</v>
      </c>
      <c r="AB52" s="23"/>
    </row>
    <row r="53" spans="1:28" x14ac:dyDescent="0.25">
      <c r="A53" s="9" t="s">
        <v>183</v>
      </c>
      <c r="B53" s="10" t="s">
        <v>233</v>
      </c>
      <c r="C53" s="10" t="s">
        <v>234</v>
      </c>
      <c r="D53" s="10" t="str">
        <f>VLOOKUP(C53,Setup!A:F,3,)</f>
        <v>Hairspray PROFESSIONAL LOOK FANFARE Stroke and fixation, 300 ml</v>
      </c>
      <c r="E53" s="10" t="str">
        <f>VLOOKUP(C53,Setup!A:F,4,)</f>
        <v>PROFESSIONAL LOOK FANFARE</v>
      </c>
      <c r="F53" s="10" t="str">
        <f>VLOOKUP(C53,Setup!A:F,5,)</f>
        <v>HAIR CARE</v>
      </c>
      <c r="G53" s="10" t="str">
        <f>VLOOKUP(C53,Setup!A:F,6,)</f>
        <v>Hairspray</v>
      </c>
      <c r="H53" s="11" t="s">
        <v>320</v>
      </c>
      <c r="I53" s="30">
        <v>29536</v>
      </c>
      <c r="J53" s="12">
        <f>1068+28524</f>
        <v>29592</v>
      </c>
      <c r="K53" s="13">
        <v>150</v>
      </c>
      <c r="L53" s="13">
        <v>15</v>
      </c>
      <c r="M53" s="13">
        <v>0</v>
      </c>
      <c r="N53" s="5"/>
      <c r="O53" s="1"/>
      <c r="P53" s="13">
        <f>30-15+245</f>
        <v>260</v>
      </c>
      <c r="Q53" s="5">
        <v>16</v>
      </c>
      <c r="R53" s="5">
        <f>20+12</f>
        <v>32</v>
      </c>
      <c r="S53" s="5"/>
      <c r="T53" s="5"/>
      <c r="U53" s="5">
        <v>6</v>
      </c>
      <c r="V53" s="40">
        <f t="shared" si="0"/>
        <v>5.4039448797622261E-4</v>
      </c>
      <c r="W53" s="40">
        <f t="shared" si="1"/>
        <v>1.0802052389954091E-3</v>
      </c>
      <c r="X53" s="40">
        <f t="shared" si="2"/>
        <v>2.0271639975674033E-4</v>
      </c>
      <c r="Y53" s="2">
        <f t="shared" si="3"/>
        <v>0.75876923076923075</v>
      </c>
      <c r="Z53" s="2">
        <f t="shared" si="4"/>
        <v>0.99891979476100456</v>
      </c>
      <c r="AA53" s="2">
        <f t="shared" si="5"/>
        <v>0.75794960427096525</v>
      </c>
      <c r="AB53" s="23"/>
    </row>
    <row r="54" spans="1:28" x14ac:dyDescent="0.25">
      <c r="A54" s="9" t="s">
        <v>183</v>
      </c>
      <c r="B54" s="10" t="s">
        <v>321</v>
      </c>
      <c r="C54" s="10" t="s">
        <v>322</v>
      </c>
      <c r="D54" s="10" t="str">
        <f>VLOOKUP(C54,Setup!A:F,3,)</f>
        <v>Hairspray OLIVIA Mega durability and Thermo protection super strong hold 6, 250 ml, fitocare</v>
      </c>
      <c r="E54" s="10" t="str">
        <f>VLOOKUP(C54,Setup!A:F,4,)</f>
        <v>OLIVIA</v>
      </c>
      <c r="F54" s="10" t="str">
        <f>VLOOKUP(C54,Setup!A:F,5,)</f>
        <v>HAIR CARE</v>
      </c>
      <c r="G54" s="10" t="str">
        <f>VLOOKUP(C54,Setup!A:F,6,)</f>
        <v>Hairspray</v>
      </c>
      <c r="H54" s="11" t="s">
        <v>323</v>
      </c>
      <c r="I54" s="25">
        <v>8784</v>
      </c>
      <c r="J54" s="12">
        <v>8652</v>
      </c>
      <c r="K54" s="13">
        <v>150</v>
      </c>
      <c r="L54" s="13">
        <v>15</v>
      </c>
      <c r="M54" s="13">
        <v>0</v>
      </c>
      <c r="N54" s="5"/>
      <c r="O54" s="1"/>
      <c r="P54" s="13">
        <v>87</v>
      </c>
      <c r="Q54" s="5">
        <v>16</v>
      </c>
      <c r="R54" s="5">
        <v>3</v>
      </c>
      <c r="S54" s="5"/>
      <c r="T54" s="5"/>
      <c r="U54" s="5">
        <v>6</v>
      </c>
      <c r="V54" s="40">
        <f t="shared" si="0"/>
        <v>1.8458698661744347E-3</v>
      </c>
      <c r="W54" s="40">
        <f t="shared" si="1"/>
        <v>3.466204506065858E-4</v>
      </c>
      <c r="X54" s="40">
        <f t="shared" si="2"/>
        <v>6.93000693000693E-4</v>
      </c>
      <c r="Y54" s="2">
        <f t="shared" si="3"/>
        <v>0.66298850574712642</v>
      </c>
      <c r="Z54" s="2">
        <f t="shared" si="4"/>
        <v>0.99965337954939337</v>
      </c>
      <c r="AA54" s="2">
        <f t="shared" si="5"/>
        <v>0.66275870037251738</v>
      </c>
      <c r="AB54" s="23"/>
    </row>
    <row r="55" spans="1:28" x14ac:dyDescent="0.25">
      <c r="A55" s="9" t="s">
        <v>183</v>
      </c>
      <c r="B55" s="10" t="s">
        <v>324</v>
      </c>
      <c r="C55" s="10" t="s">
        <v>325</v>
      </c>
      <c r="D55" s="10" t="str">
        <f>VLOOKUP(C55,Setup!A:F,3,)</f>
        <v>Shaving foam SPORT STAR for sensitive skin women, 200 ml</v>
      </c>
      <c r="E55" s="10" t="str">
        <f>VLOOKUP(C55,Setup!A:F,4,)</f>
        <v>SPORT STAR</v>
      </c>
      <c r="F55" s="10" t="str">
        <f>VLOOKUP(C55,Setup!A:F,5,)</f>
        <v>BODY CARE</v>
      </c>
      <c r="G55" s="10" t="str">
        <f>VLOOKUP(C55,Setup!A:F,6,)</f>
        <v>Shaving foam</v>
      </c>
      <c r="H55" s="11" t="s">
        <v>326</v>
      </c>
      <c r="I55" s="25">
        <v>13300</v>
      </c>
      <c r="J55" s="12">
        <v>13656</v>
      </c>
      <c r="K55" s="13">
        <v>140</v>
      </c>
      <c r="L55" s="13">
        <v>60</v>
      </c>
      <c r="M55" s="13">
        <v>0</v>
      </c>
      <c r="N55" s="5"/>
      <c r="O55" s="1"/>
      <c r="P55" s="13">
        <v>174</v>
      </c>
      <c r="Q55" s="5">
        <v>3</v>
      </c>
      <c r="R55" s="5">
        <v>7</v>
      </c>
      <c r="S55" s="5"/>
      <c r="T55" s="5"/>
      <c r="U55" s="5">
        <v>6</v>
      </c>
      <c r="V55" s="40">
        <f t="shared" si="0"/>
        <v>2.1963540522732265E-4</v>
      </c>
      <c r="W55" s="40">
        <f t="shared" si="1"/>
        <v>5.1233257703286246E-4</v>
      </c>
      <c r="X55" s="40">
        <f t="shared" si="2"/>
        <v>4.391743522178305E-4</v>
      </c>
      <c r="Y55" s="2">
        <f t="shared" si="3"/>
        <v>0.56059113300492613</v>
      </c>
      <c r="Z55" s="2">
        <f t="shared" si="4"/>
        <v>0.99948766742296713</v>
      </c>
      <c r="AA55" s="2">
        <f t="shared" si="5"/>
        <v>0.56030392390509198</v>
      </c>
      <c r="AB55" s="23"/>
    </row>
    <row r="56" spans="1:28" x14ac:dyDescent="0.25">
      <c r="A56" s="9" t="s">
        <v>183</v>
      </c>
      <c r="B56" s="10" t="s">
        <v>327</v>
      </c>
      <c r="C56" s="10" t="s">
        <v>328</v>
      </c>
      <c r="D56" s="10" t="str">
        <f>VLOOKUP(C56,Setup!A:F,3,)</f>
        <v>Shaving foam DIVING CLUB all skin types,1, 300 ml</v>
      </c>
      <c r="E56" s="10" t="str">
        <f>VLOOKUP(C56,Setup!A:F,4,)</f>
        <v>DIVING CLUB</v>
      </c>
      <c r="F56" s="10" t="str">
        <f>VLOOKUP(C56,Setup!A:F,5,)</f>
        <v>BODY CARE</v>
      </c>
      <c r="G56" s="10" t="str">
        <f>VLOOKUP(C56,Setup!A:F,6,)</f>
        <v>Shaving foam</v>
      </c>
      <c r="H56" s="11" t="s">
        <v>329</v>
      </c>
      <c r="I56" s="25">
        <v>3600</v>
      </c>
      <c r="J56" s="12">
        <v>3636</v>
      </c>
      <c r="K56" s="13">
        <v>140</v>
      </c>
      <c r="L56" s="13">
        <v>15</v>
      </c>
      <c r="M56" s="13">
        <v>0</v>
      </c>
      <c r="N56" s="5"/>
      <c r="O56" s="1"/>
      <c r="P56" s="13">
        <v>65</v>
      </c>
      <c r="Q56" s="5">
        <v>5</v>
      </c>
      <c r="R56" s="5">
        <v>6</v>
      </c>
      <c r="S56" s="5"/>
      <c r="T56" s="5"/>
      <c r="U56" s="5">
        <v>6</v>
      </c>
      <c r="V56" s="40">
        <f t="shared" si="0"/>
        <v>1.3732491073880802E-3</v>
      </c>
      <c r="W56" s="40">
        <f t="shared" si="1"/>
        <v>1.6474464579901153E-3</v>
      </c>
      <c r="X56" s="40">
        <f t="shared" si="2"/>
        <v>1.6474464579901153E-3</v>
      </c>
      <c r="Y56" s="2">
        <f t="shared" si="3"/>
        <v>0.39956043956043957</v>
      </c>
      <c r="Z56" s="2">
        <f t="shared" si="4"/>
        <v>0.99835255354200991</v>
      </c>
      <c r="AA56" s="2">
        <f t="shared" si="5"/>
        <v>0.39890218512953274</v>
      </c>
      <c r="AB56" s="23"/>
    </row>
    <row r="57" spans="1:28" x14ac:dyDescent="0.25">
      <c r="A57" s="9" t="s">
        <v>183</v>
      </c>
      <c r="B57" s="10" t="s">
        <v>330</v>
      </c>
      <c r="C57" s="10" t="s">
        <v>246</v>
      </c>
      <c r="D57" s="10" t="str">
        <f>VLOOKUP(C57,Setup!A:F,3,)</f>
        <v>Shaving foam DELIVEA for sensitive skin man, 300 ml</v>
      </c>
      <c r="E57" s="10" t="str">
        <f>VLOOKUP(C57,Setup!A:F,4,)</f>
        <v>DELIVEA</v>
      </c>
      <c r="F57" s="10" t="str">
        <f>VLOOKUP(C57,Setup!A:F,5,)</f>
        <v>BODY CARE</v>
      </c>
      <c r="G57" s="10" t="str">
        <f>VLOOKUP(C57,Setup!A:F,6,)</f>
        <v>Shaving foam</v>
      </c>
      <c r="H57" s="11" t="s">
        <v>331</v>
      </c>
      <c r="I57" s="25">
        <v>12391</v>
      </c>
      <c r="J57" s="12">
        <v>12432</v>
      </c>
      <c r="K57" s="13">
        <v>140</v>
      </c>
      <c r="L57" s="13">
        <v>15</v>
      </c>
      <c r="M57" s="13">
        <v>0</v>
      </c>
      <c r="N57" s="5"/>
      <c r="O57" s="1"/>
      <c r="P57" s="13">
        <f>128-10</f>
        <v>118</v>
      </c>
      <c r="Q57" s="5">
        <v>3</v>
      </c>
      <c r="R57" s="5">
        <v>5</v>
      </c>
      <c r="S57" s="5"/>
      <c r="T57" s="5"/>
      <c r="U57" s="5">
        <v>6</v>
      </c>
      <c r="V57" s="40">
        <f t="shared" si="0"/>
        <v>2.4125452352231604E-4</v>
      </c>
      <c r="W57" s="40">
        <f t="shared" si="1"/>
        <v>4.0202621210902949E-4</v>
      </c>
      <c r="X57" s="40">
        <f t="shared" si="2"/>
        <v>4.8239266763145202E-4</v>
      </c>
      <c r="Y57" s="2">
        <f t="shared" si="3"/>
        <v>0.75254237288135595</v>
      </c>
      <c r="Z57" s="2">
        <f t="shared" si="4"/>
        <v>0.99959797378789095</v>
      </c>
      <c r="AA57" s="2">
        <f t="shared" si="5"/>
        <v>0.75223983112173487</v>
      </c>
      <c r="AB57" s="23"/>
    </row>
    <row r="58" spans="1:28" x14ac:dyDescent="0.25">
      <c r="A58" s="9" t="s">
        <v>183</v>
      </c>
      <c r="B58" s="10" t="s">
        <v>315</v>
      </c>
      <c r="C58" s="10" t="s">
        <v>240</v>
      </c>
      <c r="D58" s="10" t="str">
        <f>VLOOKUP(C58,Setup!A:F,3,)</f>
        <v>Shaving foam EDISON all skin types with aloe vera, 300 ml</v>
      </c>
      <c r="E58" s="10" t="str">
        <f>VLOOKUP(C58,Setup!A:F,4,)</f>
        <v>EDISON</v>
      </c>
      <c r="F58" s="10" t="str">
        <f>VLOOKUP(C58,Setup!A:F,5,)</f>
        <v>BODY CARE</v>
      </c>
      <c r="G58" s="10" t="str">
        <f>VLOOKUP(C58,Setup!A:F,6,)</f>
        <v>Shaving foam</v>
      </c>
      <c r="H58" s="11" t="s">
        <v>332</v>
      </c>
      <c r="I58" s="25">
        <v>27754</v>
      </c>
      <c r="J58" s="12">
        <v>27804</v>
      </c>
      <c r="K58" s="13">
        <v>140</v>
      </c>
      <c r="L58" s="13">
        <v>15</v>
      </c>
      <c r="M58" s="13">
        <v>0</v>
      </c>
      <c r="N58" s="5"/>
      <c r="O58" s="1"/>
      <c r="P58" s="13">
        <v>286</v>
      </c>
      <c r="Q58" s="5">
        <v>3</v>
      </c>
      <c r="R58" s="5">
        <v>3</v>
      </c>
      <c r="S58" s="5"/>
      <c r="T58" s="5"/>
      <c r="U58" s="5">
        <v>6</v>
      </c>
      <c r="V58" s="40">
        <f t="shared" si="0"/>
        <v>1.0788650339842486E-4</v>
      </c>
      <c r="W58" s="40">
        <f t="shared" si="1"/>
        <v>1.0788650339842486E-4</v>
      </c>
      <c r="X58" s="40">
        <f t="shared" si="2"/>
        <v>2.1574973031283711E-4</v>
      </c>
      <c r="Y58" s="2">
        <f t="shared" si="3"/>
        <v>0.69440559440559435</v>
      </c>
      <c r="Z58" s="2">
        <f t="shared" si="4"/>
        <v>0.99989211349660156</v>
      </c>
      <c r="AA58" s="2">
        <f t="shared" si="5"/>
        <v>0.69433067741407362</v>
      </c>
      <c r="AB58" s="23"/>
    </row>
    <row r="59" spans="1:28" x14ac:dyDescent="0.25">
      <c r="A59" s="9" t="s">
        <v>183</v>
      </c>
      <c r="B59" s="10" t="s">
        <v>317</v>
      </c>
      <c r="C59" s="10" t="s">
        <v>243</v>
      </c>
      <c r="D59" s="10" t="str">
        <f>VLOOKUP(C59,Setup!A:F,3,)</f>
        <v>Shaving foam EDISON for sensitive skin with vitamins, 300 ml</v>
      </c>
      <c r="E59" s="10" t="str">
        <f>VLOOKUP(C59,Setup!A:F,4,)</f>
        <v>EDISON</v>
      </c>
      <c r="F59" s="10" t="str">
        <f>VLOOKUP(C59,Setup!A:F,5,)</f>
        <v>BODY CARE</v>
      </c>
      <c r="G59" s="10" t="str">
        <f>VLOOKUP(C59,Setup!A:F,6,)</f>
        <v>Shaving foam</v>
      </c>
      <c r="H59" s="11" t="s">
        <v>333</v>
      </c>
      <c r="I59" s="25">
        <v>27754</v>
      </c>
      <c r="J59" s="12">
        <v>27012</v>
      </c>
      <c r="K59" s="13">
        <v>140</v>
      </c>
      <c r="L59" s="13">
        <v>15</v>
      </c>
      <c r="M59" s="13">
        <v>0</v>
      </c>
      <c r="N59" s="5"/>
      <c r="O59" s="1"/>
      <c r="P59" s="13">
        <v>260</v>
      </c>
      <c r="Q59" s="5">
        <v>6</v>
      </c>
      <c r="R59" s="5">
        <v>16</v>
      </c>
      <c r="S59" s="5"/>
      <c r="T59" s="5"/>
      <c r="U59" s="5">
        <v>6</v>
      </c>
      <c r="V59" s="40">
        <f t="shared" si="0"/>
        <v>2.2207417277370642E-4</v>
      </c>
      <c r="W59" s="40">
        <f t="shared" si="1"/>
        <v>5.9197868876720435E-4</v>
      </c>
      <c r="X59" s="40">
        <f t="shared" si="2"/>
        <v>2.2207417277370642E-4</v>
      </c>
      <c r="Y59" s="2">
        <f t="shared" si="3"/>
        <v>0.74208791208791214</v>
      </c>
      <c r="Z59" s="2">
        <f t="shared" si="4"/>
        <v>0.99940802131123274</v>
      </c>
      <c r="AA59" s="2">
        <f t="shared" si="5"/>
        <v>0.7416486118587643</v>
      </c>
      <c r="AB59" s="23"/>
    </row>
    <row r="60" spans="1:28" x14ac:dyDescent="0.25">
      <c r="A60" s="9" t="s">
        <v>183</v>
      </c>
      <c r="B60" s="10" t="s">
        <v>334</v>
      </c>
      <c r="C60" s="10" t="s">
        <v>335</v>
      </c>
      <c r="D60" s="10" t="str">
        <f>VLOOKUP(C60,Setup!A:F,3,)</f>
        <v>Body deodorant My price for women, 150 ml</v>
      </c>
      <c r="E60" s="10" t="str">
        <f>VLOOKUP(C60,Setup!A:F,4,)</f>
        <v>MOYA TSENA</v>
      </c>
      <c r="F60" s="10" t="str">
        <f>VLOOKUP(C60,Setup!A:F,5,)</f>
        <v>BODY CARE</v>
      </c>
      <c r="G60" s="10" t="str">
        <f>VLOOKUP(C60,Setup!A:F,6,)</f>
        <v>Deodorant</v>
      </c>
      <c r="H60" s="11" t="s">
        <v>336</v>
      </c>
      <c r="I60" s="25">
        <v>586</v>
      </c>
      <c r="J60" s="12">
        <v>622</v>
      </c>
      <c r="K60" s="13">
        <v>150</v>
      </c>
      <c r="L60" s="13">
        <v>0</v>
      </c>
      <c r="M60" s="13">
        <v>0</v>
      </c>
      <c r="N60" s="5"/>
      <c r="O60" s="1"/>
      <c r="P60" s="13">
        <v>19</v>
      </c>
      <c r="Q60" s="5"/>
      <c r="R60" s="5">
        <v>2</v>
      </c>
      <c r="S60" s="5"/>
      <c r="T60" s="5"/>
      <c r="U60" s="5"/>
      <c r="V60" s="40">
        <f t="shared" si="0"/>
        <v>0</v>
      </c>
      <c r="W60" s="40">
        <f t="shared" si="1"/>
        <v>3.205128205128205E-3</v>
      </c>
      <c r="X60" s="40">
        <f t="shared" si="2"/>
        <v>0</v>
      </c>
      <c r="Y60" s="2">
        <f t="shared" si="3"/>
        <v>0.21824561403508771</v>
      </c>
      <c r="Z60" s="2">
        <f t="shared" si="4"/>
        <v>0.99679487179487181</v>
      </c>
      <c r="AA60" s="2">
        <f t="shared" si="5"/>
        <v>0.21754610886189835</v>
      </c>
      <c r="AB60" s="23"/>
    </row>
    <row r="61" spans="1:28" x14ac:dyDescent="0.25">
      <c r="A61" s="9" t="s">
        <v>183</v>
      </c>
      <c r="B61" s="10" t="s">
        <v>337</v>
      </c>
      <c r="C61" s="10" t="s">
        <v>338</v>
      </c>
      <c r="D61" s="10" t="str">
        <f>VLOOKUP(C61,Setup!A:F,3,)</f>
        <v xml:space="preserve">Hairspray PROFESSIONAL TOUCH Pro vitamin B5 Silk Protein extra strong hold, 265 ml, Gatter group </v>
      </c>
      <c r="E61" s="10" t="str">
        <f>VLOOKUP(C61,Setup!A:F,4,)</f>
        <v>PROFESSIONAL TOUCH</v>
      </c>
      <c r="F61" s="10" t="str">
        <f>VLOOKUP(C61,Setup!A:F,5,)</f>
        <v>HAIR CARE</v>
      </c>
      <c r="G61" s="10" t="str">
        <f>VLOOKUP(C61,Setup!A:F,6,)</f>
        <v>Hairspray</v>
      </c>
      <c r="H61" s="11" t="s">
        <v>339</v>
      </c>
      <c r="I61" s="25">
        <v>1300</v>
      </c>
      <c r="J61" s="12">
        <v>1308</v>
      </c>
      <c r="K61" s="13">
        <v>150</v>
      </c>
      <c r="L61" s="13">
        <v>120</v>
      </c>
      <c r="M61" s="13">
        <v>0</v>
      </c>
      <c r="N61" s="5"/>
      <c r="O61" s="1"/>
      <c r="P61" s="13">
        <v>118</v>
      </c>
      <c r="Q61" s="5">
        <f>4</f>
        <v>4</v>
      </c>
      <c r="R61" s="5">
        <f>5</f>
        <v>5</v>
      </c>
      <c r="S61" s="5"/>
      <c r="T61" s="5"/>
      <c r="U61" s="5">
        <f>6</f>
        <v>6</v>
      </c>
      <c r="V61" s="40">
        <f t="shared" si="0"/>
        <v>3.0487804878048782E-3</v>
      </c>
      <c r="W61" s="40">
        <f t="shared" si="1"/>
        <v>3.8080731150038081E-3</v>
      </c>
      <c r="X61" s="40">
        <f t="shared" si="2"/>
        <v>4.5662100456621002E-3</v>
      </c>
      <c r="Y61" s="2">
        <f t="shared" si="3"/>
        <v>7.3898305084745763E-2</v>
      </c>
      <c r="Z61" s="2">
        <f t="shared" si="4"/>
        <v>0.99619192688499614</v>
      </c>
      <c r="AA61" s="2">
        <f t="shared" si="5"/>
        <v>7.3616894935908186E-2</v>
      </c>
      <c r="AB61" s="23"/>
    </row>
    <row r="62" spans="1:28" x14ac:dyDescent="0.25">
      <c r="A62" s="9" t="s">
        <v>183</v>
      </c>
      <c r="B62" s="10" t="s">
        <v>340</v>
      </c>
      <c r="C62" s="10" t="s">
        <v>341</v>
      </c>
      <c r="D62" s="10" t="str">
        <f>VLOOKUP(C62,Setup!A:F,3,)</f>
        <v>Hairspray PROFESSIONAL TOUCH Pro vitamin B5 Silk Protein extra strong hold, 265 ml</v>
      </c>
      <c r="E62" s="10" t="str">
        <f>VLOOKUP(C62,Setup!A:F,4,)</f>
        <v>PROFESSIONAL TOUCH</v>
      </c>
      <c r="F62" s="10" t="str">
        <f>VLOOKUP(C62,Setup!A:F,5,)</f>
        <v>HAIR CARE</v>
      </c>
      <c r="G62" s="10" t="str">
        <f>VLOOKUP(C62,Setup!A:F,6,)</f>
        <v>Hairspray</v>
      </c>
      <c r="H62" s="11" t="s">
        <v>339</v>
      </c>
      <c r="I62" s="25">
        <v>13340</v>
      </c>
      <c r="J62" s="12">
        <v>13320</v>
      </c>
      <c r="K62" s="13">
        <v>150</v>
      </c>
      <c r="L62" s="13">
        <v>0</v>
      </c>
      <c r="M62" s="13">
        <v>0</v>
      </c>
      <c r="N62" s="5"/>
      <c r="O62" s="1"/>
      <c r="P62" s="13">
        <v>100</v>
      </c>
      <c r="Q62" s="5"/>
      <c r="R62" s="5">
        <v>3</v>
      </c>
      <c r="S62" s="5"/>
      <c r="T62" s="5"/>
      <c r="U62" s="5"/>
      <c r="V62" s="40">
        <f t="shared" si="0"/>
        <v>0</v>
      </c>
      <c r="W62" s="40">
        <f t="shared" si="1"/>
        <v>2.2517451024544022E-4</v>
      </c>
      <c r="X62" s="40">
        <f t="shared" si="2"/>
        <v>0</v>
      </c>
      <c r="Y62" s="2">
        <f t="shared" si="3"/>
        <v>0.88800000000000001</v>
      </c>
      <c r="Z62" s="2">
        <f t="shared" si="4"/>
        <v>0.9997748254897546</v>
      </c>
      <c r="AA62" s="2">
        <f t="shared" si="5"/>
        <v>0.88780004503490206</v>
      </c>
      <c r="AB62" s="23"/>
    </row>
    <row r="63" spans="1:28" x14ac:dyDescent="0.25">
      <c r="A63" s="9" t="s">
        <v>183</v>
      </c>
      <c r="B63" s="10" t="s">
        <v>342</v>
      </c>
      <c r="C63" s="10" t="s">
        <v>343</v>
      </c>
      <c r="D63" s="10" t="str">
        <f>VLOOKUP(C63,Setup!A:F,3,)</f>
        <v>Hairspray PROFESSIONAL TOUCH Pro vitamin B5 Multi Vitamins extra strong hold, 265 ml</v>
      </c>
      <c r="E63" s="10" t="str">
        <f>VLOOKUP(C63,Setup!A:F,4,)</f>
        <v>PROFESSIONAL TOUCH</v>
      </c>
      <c r="F63" s="10" t="str">
        <f>VLOOKUP(C63,Setup!A:F,5,)</f>
        <v>HAIR CARE</v>
      </c>
      <c r="G63" s="10" t="str">
        <f>VLOOKUP(C63,Setup!A:F,6,)</f>
        <v>Hairspray</v>
      </c>
      <c r="H63" s="11" t="s">
        <v>344</v>
      </c>
      <c r="I63" s="25">
        <v>6588</v>
      </c>
      <c r="J63" s="12">
        <v>6576</v>
      </c>
      <c r="K63" s="13">
        <v>150</v>
      </c>
      <c r="L63" s="13">
        <v>15</v>
      </c>
      <c r="M63" s="13">
        <v>0</v>
      </c>
      <c r="N63" s="5"/>
      <c r="O63" s="1"/>
      <c r="P63" s="13">
        <v>67</v>
      </c>
      <c r="Q63" s="5">
        <v>3</v>
      </c>
      <c r="R63" s="5">
        <v>3</v>
      </c>
      <c r="S63" s="5"/>
      <c r="T63" s="5"/>
      <c r="U63" s="5">
        <v>6</v>
      </c>
      <c r="V63" s="40">
        <f t="shared" si="0"/>
        <v>4.5599635202918376E-4</v>
      </c>
      <c r="W63" s="40">
        <f t="shared" si="1"/>
        <v>4.5599635202918376E-4</v>
      </c>
      <c r="X63" s="40">
        <f t="shared" si="2"/>
        <v>9.1157702825888785E-4</v>
      </c>
      <c r="Y63" s="2">
        <f t="shared" si="3"/>
        <v>0.65432835820895519</v>
      </c>
      <c r="Z63" s="2">
        <f t="shared" si="4"/>
        <v>0.9995440036479708</v>
      </c>
      <c r="AA63" s="2">
        <f t="shared" si="5"/>
        <v>0.65402998686458269</v>
      </c>
      <c r="AB63" s="23"/>
    </row>
    <row r="64" spans="1:28" x14ac:dyDescent="0.25">
      <c r="A64" s="9" t="s">
        <v>183</v>
      </c>
      <c r="B64" s="10" t="s">
        <v>345</v>
      </c>
      <c r="C64" s="10" t="s">
        <v>346</v>
      </c>
      <c r="D64" s="10" t="str">
        <f>VLOOKUP(C64,Setup!A:F,3,)</f>
        <v>Hairspray PROFESSIONAL TOUCH Pro vitamin B5 B5&amp;Keratin Complex extrastrong hold, 265 ml</v>
      </c>
      <c r="E64" s="10" t="str">
        <f>VLOOKUP(C64,Setup!A:F,4,)</f>
        <v>PROFESSIONAL TOUCH</v>
      </c>
      <c r="F64" s="10" t="str">
        <f>VLOOKUP(C64,Setup!A:F,5,)</f>
        <v>HAIR CARE</v>
      </c>
      <c r="G64" s="10" t="str">
        <f>VLOOKUP(C64,Setup!A:F,6,)</f>
        <v>Hairspray</v>
      </c>
      <c r="H64" s="11" t="s">
        <v>347</v>
      </c>
      <c r="I64" s="25">
        <v>9322</v>
      </c>
      <c r="J64" s="12">
        <v>9312</v>
      </c>
      <c r="K64" s="13">
        <v>150</v>
      </c>
      <c r="L64" s="13">
        <v>15</v>
      </c>
      <c r="M64" s="13">
        <v>0</v>
      </c>
      <c r="N64" s="5"/>
      <c r="O64" s="1"/>
      <c r="P64" s="13">
        <v>81</v>
      </c>
      <c r="Q64" s="5">
        <v>10</v>
      </c>
      <c r="R64" s="5">
        <v>4</v>
      </c>
      <c r="S64" s="5"/>
      <c r="T64" s="5"/>
      <c r="U64" s="5">
        <v>6</v>
      </c>
      <c r="V64" s="40">
        <f t="shared" si="0"/>
        <v>1.0727311735679039E-3</v>
      </c>
      <c r="W64" s="40">
        <f t="shared" si="1"/>
        <v>4.2936882782310007E-4</v>
      </c>
      <c r="X64" s="40">
        <f t="shared" si="2"/>
        <v>6.43915003219575E-4</v>
      </c>
      <c r="Y64" s="2">
        <f t="shared" si="3"/>
        <v>0.76641975308641974</v>
      </c>
      <c r="Z64" s="2">
        <f t="shared" si="4"/>
        <v>0.99957063117217693</v>
      </c>
      <c r="AA64" s="2">
        <f t="shared" si="5"/>
        <v>0.76609067633541661</v>
      </c>
      <c r="AB64" s="23"/>
    </row>
    <row r="65" spans="1:28" x14ac:dyDescent="0.25">
      <c r="A65" s="9" t="s">
        <v>183</v>
      </c>
      <c r="B65" s="10" t="s">
        <v>348</v>
      </c>
      <c r="C65" s="10" t="s">
        <v>349</v>
      </c>
      <c r="D65" s="10" t="str">
        <f>VLOOKUP(C65,Setup!A:F,3,)</f>
        <v>Deodorant SPORT STAR Outpace man, 175 ml, F</v>
      </c>
      <c r="E65" s="10" t="str">
        <f>VLOOKUP(C65,Setup!A:F,4,)</f>
        <v>SPORT STAR</v>
      </c>
      <c r="F65" s="10" t="str">
        <f>VLOOKUP(C65,Setup!A:F,5,)</f>
        <v>BODY CARE</v>
      </c>
      <c r="G65" s="10" t="str">
        <f>VLOOKUP(C65,Setup!A:F,6,)</f>
        <v>Deodorant</v>
      </c>
      <c r="H65" s="11" t="s">
        <v>350</v>
      </c>
      <c r="I65" s="30">
        <v>16000</v>
      </c>
      <c r="J65" s="12">
        <v>15684</v>
      </c>
      <c r="K65" s="13">
        <v>150</v>
      </c>
      <c r="L65" s="13">
        <v>50</v>
      </c>
      <c r="M65" s="13">
        <v>0</v>
      </c>
      <c r="N65" s="5"/>
      <c r="O65" s="1"/>
      <c r="P65" s="13">
        <v>254</v>
      </c>
      <c r="Q65" s="5">
        <v>5</v>
      </c>
      <c r="R65" s="5">
        <v>10</v>
      </c>
      <c r="S65" s="5"/>
      <c r="T65" s="5"/>
      <c r="U65" s="5">
        <f>8+4</f>
        <v>12</v>
      </c>
      <c r="V65" s="40">
        <f t="shared" si="0"/>
        <v>3.1869462680859202E-4</v>
      </c>
      <c r="W65" s="40">
        <f t="shared" si="1"/>
        <v>6.3718618580349182E-4</v>
      </c>
      <c r="X65" s="40">
        <f t="shared" si="2"/>
        <v>7.6452599388379206E-4</v>
      </c>
      <c r="Y65" s="2">
        <f t="shared" si="3"/>
        <v>0.41165354330708659</v>
      </c>
      <c r="Z65" s="2">
        <f t="shared" si="4"/>
        <v>0.99936281381419656</v>
      </c>
      <c r="AA65" s="2">
        <f t="shared" si="5"/>
        <v>0.41139124335595428</v>
      </c>
      <c r="AB65" s="23"/>
    </row>
    <row r="66" spans="1:28" x14ac:dyDescent="0.25">
      <c r="A66" s="9" t="s">
        <v>183</v>
      </c>
      <c r="B66" s="10" t="s">
        <v>351</v>
      </c>
      <c r="C66" s="10" t="s">
        <v>352</v>
      </c>
      <c r="D66" s="10" t="str">
        <f>VLOOKUP(C66,Setup!A:F,3,)</f>
        <v>Deodorant SPORT STAR Ultra man, 175 ml, F</v>
      </c>
      <c r="E66" s="10" t="str">
        <f>VLOOKUP(C66,Setup!A:F,4,)</f>
        <v>SPORT STAR</v>
      </c>
      <c r="F66" s="10" t="str">
        <f>VLOOKUP(C66,Setup!A:F,5,)</f>
        <v>BODY CARE</v>
      </c>
      <c r="G66" s="10" t="str">
        <f>VLOOKUP(C66,Setup!A:F,6,)</f>
        <v>Deodorant</v>
      </c>
      <c r="H66" s="11" t="s">
        <v>353</v>
      </c>
      <c r="I66" s="30">
        <v>13000</v>
      </c>
      <c r="J66" s="12">
        <v>13368</v>
      </c>
      <c r="K66" s="13">
        <v>150</v>
      </c>
      <c r="L66" s="13">
        <v>15</v>
      </c>
      <c r="M66" s="13">
        <v>15</v>
      </c>
      <c r="N66" s="5"/>
      <c r="O66" s="1"/>
      <c r="P66" s="13">
        <v>183</v>
      </c>
      <c r="Q66" s="5">
        <v>4</v>
      </c>
      <c r="R66" s="5">
        <v>20</v>
      </c>
      <c r="S66" s="5"/>
      <c r="T66" s="5"/>
      <c r="U66" s="5">
        <v>12</v>
      </c>
      <c r="V66" s="40">
        <f t="shared" si="0"/>
        <v>2.9913251570445708E-4</v>
      </c>
      <c r="W66" s="40">
        <f t="shared" si="1"/>
        <v>1.4938751120406335E-3</v>
      </c>
      <c r="X66" s="40">
        <f t="shared" si="2"/>
        <v>8.9686098654708521E-4</v>
      </c>
      <c r="Y66" s="2">
        <f t="shared" si="3"/>
        <v>0.53047619047619043</v>
      </c>
      <c r="Z66" s="2">
        <f t="shared" si="4"/>
        <v>0.99850612488795931</v>
      </c>
      <c r="AA66" s="2">
        <f t="shared" si="5"/>
        <v>0.52968372529770791</v>
      </c>
      <c r="AB66" s="23"/>
    </row>
    <row r="67" spans="1:28" x14ac:dyDescent="0.25">
      <c r="A67" s="9" t="s">
        <v>183</v>
      </c>
      <c r="B67" s="10" t="s">
        <v>281</v>
      </c>
      <c r="C67" s="10" t="s">
        <v>282</v>
      </c>
      <c r="D67" s="10" t="str">
        <f>VLOOKUP(C67,Setup!A:F,3,)</f>
        <v>Deodorant SPORT STAR Ice blue for men, 175 ml, F</v>
      </c>
      <c r="E67" s="10" t="str">
        <f>VLOOKUP(C67,Setup!A:F,4,)</f>
        <v>SPORT STAR</v>
      </c>
      <c r="F67" s="10" t="str">
        <f>VLOOKUP(C67,Setup!A:F,5,)</f>
        <v>BODY CARE</v>
      </c>
      <c r="G67" s="10" t="str">
        <f>VLOOKUP(C67,Setup!A:F,6,)</f>
        <v>Deodorant</v>
      </c>
      <c r="H67" s="11" t="s">
        <v>354</v>
      </c>
      <c r="I67" s="30">
        <v>18000</v>
      </c>
      <c r="J67" s="12">
        <v>18024</v>
      </c>
      <c r="K67" s="13">
        <v>150</v>
      </c>
      <c r="L67" s="13">
        <v>15</v>
      </c>
      <c r="M67" s="13">
        <v>0</v>
      </c>
      <c r="N67" s="5">
        <v>95</v>
      </c>
      <c r="O67" s="1" t="s">
        <v>4846</v>
      </c>
      <c r="P67" s="13">
        <v>308</v>
      </c>
      <c r="Q67" s="5">
        <f>3+6</f>
        <v>9</v>
      </c>
      <c r="R67" s="5">
        <f>7+4</f>
        <v>11</v>
      </c>
      <c r="S67" s="5"/>
      <c r="T67" s="5"/>
      <c r="U67" s="5">
        <v>6</v>
      </c>
      <c r="V67" s="40">
        <f t="shared" ref="V67:V111" si="6">Q67/(Q67+J67)</f>
        <v>4.9908501081350853E-4</v>
      </c>
      <c r="W67" s="40">
        <f t="shared" ref="W67:W111" si="7">R67/(R67+J67)</f>
        <v>6.0992514555031885E-4</v>
      </c>
      <c r="X67" s="40">
        <f t="shared" ref="X67:X111" si="8">U67/(U67+J67)</f>
        <v>3.3277870216306157E-4</v>
      </c>
      <c r="Y67" s="2">
        <f t="shared" ref="Y67:Y110" si="9">(J67/(K67*(P67-M67-N67)))</f>
        <v>0.56413145539906107</v>
      </c>
      <c r="Z67" s="2">
        <f t="shared" ref="Z67:Z110" si="10">(J67/(J67+R67+S67-T67))</f>
        <v>0.99939007485444964</v>
      </c>
      <c r="AA67" s="2">
        <f t="shared" ref="AA67:AA110" si="11">Y67*Z67</f>
        <v>0.5637873774390173</v>
      </c>
      <c r="AB67" s="23"/>
    </row>
    <row r="68" spans="1:28" x14ac:dyDescent="0.25">
      <c r="A68" s="9" t="s">
        <v>183</v>
      </c>
      <c r="B68" s="10" t="s">
        <v>315</v>
      </c>
      <c r="C68" s="10" t="s">
        <v>240</v>
      </c>
      <c r="D68" s="10" t="str">
        <f>VLOOKUP(C68,Setup!A:F,3,)</f>
        <v>Shaving foam EDISON all skin types with aloe vera, 300 ml</v>
      </c>
      <c r="E68" s="10" t="str">
        <f>VLOOKUP(C68,Setup!A:F,4,)</f>
        <v>EDISON</v>
      </c>
      <c r="F68" s="10" t="str">
        <f>VLOOKUP(C68,Setup!A:F,5,)</f>
        <v>BODY CARE</v>
      </c>
      <c r="G68" s="10" t="str">
        <f>VLOOKUP(C68,Setup!A:F,6,)</f>
        <v>Shaving foam</v>
      </c>
      <c r="H68" s="11" t="s">
        <v>355</v>
      </c>
      <c r="I68" s="25">
        <v>13877</v>
      </c>
      <c r="J68" s="12">
        <v>13884</v>
      </c>
      <c r="K68" s="13">
        <v>140</v>
      </c>
      <c r="L68" s="13">
        <v>80</v>
      </c>
      <c r="M68" s="13">
        <v>0</v>
      </c>
      <c r="N68" s="5"/>
      <c r="O68" s="1"/>
      <c r="P68" s="13">
        <v>180</v>
      </c>
      <c r="Q68" s="5">
        <v>8</v>
      </c>
      <c r="R68" s="5">
        <v>11</v>
      </c>
      <c r="S68" s="5"/>
      <c r="T68" s="5"/>
      <c r="U68" s="5">
        <v>6</v>
      </c>
      <c r="V68" s="40">
        <f t="shared" si="6"/>
        <v>5.7587100489490354E-4</v>
      </c>
      <c r="W68" s="40">
        <f t="shared" si="7"/>
        <v>7.9165167326376395E-4</v>
      </c>
      <c r="X68" s="40">
        <f t="shared" si="8"/>
        <v>4.3196544276457883E-4</v>
      </c>
      <c r="Y68" s="2">
        <f t="shared" si="9"/>
        <v>0.55095238095238097</v>
      </c>
      <c r="Z68" s="2">
        <f t="shared" si="10"/>
        <v>0.99920834832673622</v>
      </c>
      <c r="AA68" s="2">
        <f t="shared" si="11"/>
        <v>0.55051621857811139</v>
      </c>
      <c r="AB68" s="23"/>
    </row>
    <row r="69" spans="1:28" x14ac:dyDescent="0.25">
      <c r="A69" s="9" t="s">
        <v>183</v>
      </c>
      <c r="B69" s="10" t="s">
        <v>317</v>
      </c>
      <c r="C69" s="10" t="s">
        <v>243</v>
      </c>
      <c r="D69" s="10" t="str">
        <f>VLOOKUP(C69,Setup!A:F,3,)</f>
        <v>Shaving foam EDISON for sensitive skin with vitamins, 300 ml</v>
      </c>
      <c r="E69" s="10" t="str">
        <f>VLOOKUP(C69,Setup!A:F,4,)</f>
        <v>EDISON</v>
      </c>
      <c r="F69" s="10" t="str">
        <f>VLOOKUP(C69,Setup!A:F,5,)</f>
        <v>BODY CARE</v>
      </c>
      <c r="G69" s="10" t="str">
        <f>VLOOKUP(C69,Setup!A:F,6,)</f>
        <v>Shaving foam</v>
      </c>
      <c r="H69" s="11" t="s">
        <v>356</v>
      </c>
      <c r="I69" s="25">
        <v>13877</v>
      </c>
      <c r="J69" s="12">
        <v>13896</v>
      </c>
      <c r="K69" s="13">
        <v>140</v>
      </c>
      <c r="L69" s="13">
        <v>15</v>
      </c>
      <c r="M69" s="13">
        <v>0</v>
      </c>
      <c r="N69" s="5"/>
      <c r="O69" s="1"/>
      <c r="P69" s="13">
        <v>160</v>
      </c>
      <c r="Q69" s="5">
        <f>15+3</f>
        <v>18</v>
      </c>
      <c r="R69" s="5">
        <v>20</v>
      </c>
      <c r="S69" s="5"/>
      <c r="T69" s="5"/>
      <c r="U69" s="5">
        <v>6</v>
      </c>
      <c r="V69" s="40">
        <f t="shared" si="6"/>
        <v>1.29366106080207E-3</v>
      </c>
      <c r="W69" s="40">
        <f t="shared" si="7"/>
        <v>1.4371945961483186E-3</v>
      </c>
      <c r="X69" s="40">
        <f t="shared" si="8"/>
        <v>4.3159257660768235E-4</v>
      </c>
      <c r="Y69" s="2">
        <f t="shared" si="9"/>
        <v>0.62035714285714283</v>
      </c>
      <c r="Z69" s="2">
        <f t="shared" si="10"/>
        <v>0.99856280540385167</v>
      </c>
      <c r="AA69" s="2">
        <f t="shared" si="11"/>
        <v>0.61946556892374649</v>
      </c>
      <c r="AB69" s="23"/>
    </row>
    <row r="70" spans="1:28" x14ac:dyDescent="0.25">
      <c r="A70" s="9" t="s">
        <v>183</v>
      </c>
      <c r="B70" s="10" t="s">
        <v>330</v>
      </c>
      <c r="C70" s="10" t="s">
        <v>246</v>
      </c>
      <c r="D70" s="10" t="str">
        <f>VLOOKUP(C70,Setup!A:F,3,)</f>
        <v>Shaving foam DELIVEA for sensitive skin man, 300 ml</v>
      </c>
      <c r="E70" s="10" t="str">
        <f>VLOOKUP(C70,Setup!A:F,4,)</f>
        <v>DELIVEA</v>
      </c>
      <c r="F70" s="10" t="str">
        <f>VLOOKUP(C70,Setup!A:F,5,)</f>
        <v>BODY CARE</v>
      </c>
      <c r="G70" s="10" t="str">
        <f>VLOOKUP(C70,Setup!A:F,6,)</f>
        <v>Shaving foam</v>
      </c>
      <c r="H70" s="11" t="s">
        <v>357</v>
      </c>
      <c r="I70" s="25">
        <v>24782</v>
      </c>
      <c r="J70" s="12">
        <v>24864</v>
      </c>
      <c r="K70" s="13">
        <v>140</v>
      </c>
      <c r="L70" s="13">
        <v>15</v>
      </c>
      <c r="M70" s="13">
        <v>0</v>
      </c>
      <c r="N70" s="5"/>
      <c r="O70" s="1"/>
      <c r="P70" s="13">
        <v>294</v>
      </c>
      <c r="Q70" s="5">
        <f>2+1</f>
        <v>3</v>
      </c>
      <c r="R70" s="5">
        <f>7+8</f>
        <v>15</v>
      </c>
      <c r="S70" s="5"/>
      <c r="T70" s="5"/>
      <c r="U70" s="5">
        <v>6</v>
      </c>
      <c r="V70" s="40">
        <f t="shared" si="6"/>
        <v>1.2064181445288937E-4</v>
      </c>
      <c r="W70" s="40">
        <f t="shared" si="7"/>
        <v>6.0291812371879902E-4</v>
      </c>
      <c r="X70" s="40">
        <f t="shared" si="8"/>
        <v>2.4125452352231604E-4</v>
      </c>
      <c r="Y70" s="2">
        <f t="shared" si="9"/>
        <v>0.60408163265306125</v>
      </c>
      <c r="Z70" s="2">
        <f t="shared" si="10"/>
        <v>0.99939708187628118</v>
      </c>
      <c r="AA70" s="2">
        <f t="shared" si="11"/>
        <v>0.60371742088852909</v>
      </c>
      <c r="AB70" s="23"/>
    </row>
    <row r="71" spans="1:28" x14ac:dyDescent="0.25">
      <c r="A71" s="9" t="s">
        <v>183</v>
      </c>
      <c r="B71" s="10" t="s">
        <v>358</v>
      </c>
      <c r="C71" s="10" t="s">
        <v>359</v>
      </c>
      <c r="D71" s="10" t="str">
        <f>VLOOKUP(C71,Setup!A:F,3,)</f>
        <v>Shaving foam ENDEAVOR Sensitive for sensitive skin, 200 ml</v>
      </c>
      <c r="E71" s="10" t="str">
        <f>VLOOKUP(C71,Setup!A:F,4,)</f>
        <v>ENDEAVOR</v>
      </c>
      <c r="F71" s="10" t="str">
        <f>VLOOKUP(C71,Setup!A:F,5,)</f>
        <v>BODY CARE</v>
      </c>
      <c r="G71" s="10" t="str">
        <f>VLOOKUP(C71,Setup!A:F,6,)</f>
        <v>Shaving foam</v>
      </c>
      <c r="H71" s="11" t="s">
        <v>360</v>
      </c>
      <c r="I71" s="25">
        <v>16798</v>
      </c>
      <c r="J71" s="12">
        <v>17544</v>
      </c>
      <c r="K71" s="13">
        <v>140</v>
      </c>
      <c r="L71" s="13">
        <v>15</v>
      </c>
      <c r="M71" s="13">
        <v>0</v>
      </c>
      <c r="N71" s="5"/>
      <c r="O71" s="1"/>
      <c r="P71" s="13">
        <v>187</v>
      </c>
      <c r="Q71" s="5">
        <v>3</v>
      </c>
      <c r="R71" s="5">
        <v>4</v>
      </c>
      <c r="S71" s="5"/>
      <c r="T71" s="5"/>
      <c r="U71" s="5">
        <v>12</v>
      </c>
      <c r="V71" s="40">
        <f t="shared" si="6"/>
        <v>1.7096939647803043E-4</v>
      </c>
      <c r="W71" s="40">
        <f t="shared" si="7"/>
        <v>2.2794620469569182E-4</v>
      </c>
      <c r="X71" s="40">
        <f t="shared" si="8"/>
        <v>6.8352699931647305E-4</v>
      </c>
      <c r="Y71" s="2">
        <f t="shared" si="9"/>
        <v>0.67012987012987013</v>
      </c>
      <c r="Z71" s="2">
        <f t="shared" si="10"/>
        <v>0.99977205379530432</v>
      </c>
      <c r="AA71" s="2">
        <f t="shared" si="11"/>
        <v>0.6699771165693208</v>
      </c>
      <c r="AB71" s="23"/>
    </row>
    <row r="72" spans="1:28" x14ac:dyDescent="0.25">
      <c r="A72" s="9" t="s">
        <v>183</v>
      </c>
      <c r="B72" s="10" t="s">
        <v>361</v>
      </c>
      <c r="C72" s="10" t="s">
        <v>362</v>
      </c>
      <c r="D72" s="10" t="str">
        <f>VLOOKUP(C72,Setup!A:F,3,)</f>
        <v>Hairspray KRASNAYA TSENA superstrong hold, 200 ml</v>
      </c>
      <c r="E72" s="10" t="str">
        <f>VLOOKUP(C72,Setup!A:F,4,)</f>
        <v>KRASNAYA TSENA</v>
      </c>
      <c r="F72" s="10" t="str">
        <f>VLOOKUP(C72,Setup!A:F,5,)</f>
        <v>HAIR CARE</v>
      </c>
      <c r="G72" s="10" t="str">
        <f>VLOOKUP(C72,Setup!A:F,6,)</f>
        <v>Hairspray</v>
      </c>
      <c r="H72" s="11" t="s">
        <v>363</v>
      </c>
      <c r="I72" s="31">
        <v>58589</v>
      </c>
      <c r="J72" s="12">
        <v>58092</v>
      </c>
      <c r="K72" s="13">
        <v>150</v>
      </c>
      <c r="L72" s="13">
        <v>120</v>
      </c>
      <c r="M72" s="13">
        <v>0</v>
      </c>
      <c r="N72" s="5"/>
      <c r="O72" s="1"/>
      <c r="P72" s="13">
        <v>609</v>
      </c>
      <c r="Q72" s="5">
        <f>6+3</f>
        <v>9</v>
      </c>
      <c r="R72" s="5">
        <f>22+15</f>
        <v>37</v>
      </c>
      <c r="S72" s="5"/>
      <c r="T72" s="5"/>
      <c r="U72" s="5">
        <v>6</v>
      </c>
      <c r="V72" s="40">
        <f t="shared" si="6"/>
        <v>1.5490266948933753E-4</v>
      </c>
      <c r="W72" s="40">
        <f t="shared" si="7"/>
        <v>6.3651533657898814E-4</v>
      </c>
      <c r="X72" s="40">
        <f t="shared" si="8"/>
        <v>1.0327377878756583E-4</v>
      </c>
      <c r="Y72" s="2">
        <f t="shared" si="9"/>
        <v>0.63592775041050909</v>
      </c>
      <c r="Z72" s="2">
        <f t="shared" si="10"/>
        <v>0.99936348466342106</v>
      </c>
      <c r="AA72" s="2">
        <f t="shared" si="11"/>
        <v>0.63552297264441671</v>
      </c>
      <c r="AB72" s="23"/>
    </row>
    <row r="73" spans="1:28" x14ac:dyDescent="0.25">
      <c r="A73" s="9" t="s">
        <v>183</v>
      </c>
      <c r="B73" s="10" t="s">
        <v>364</v>
      </c>
      <c r="C73" s="10" t="s">
        <v>255</v>
      </c>
      <c r="D73" s="10" t="str">
        <f>VLOOKUP(C73,Setup!A:F,3,)</f>
        <v>Antistatic Verti VELON, 200 ml</v>
      </c>
      <c r="E73" s="10" t="str">
        <f>VLOOKUP(C73,Setup!A:F,4,)</f>
        <v>VELON</v>
      </c>
      <c r="F73" s="10" t="str">
        <f>VLOOKUP(C73,Setup!A:F,5,)</f>
        <v>ANISTATIC</v>
      </c>
      <c r="G73" s="10" t="str">
        <f>VLOOKUP(C73,Setup!A:F,6,)</f>
        <v>Antistatic</v>
      </c>
      <c r="H73" s="11" t="s">
        <v>365</v>
      </c>
      <c r="I73" s="32">
        <v>40000</v>
      </c>
      <c r="J73" s="12">
        <v>40464</v>
      </c>
      <c r="K73" s="13">
        <v>150</v>
      </c>
      <c r="L73" s="13">
        <v>15</v>
      </c>
      <c r="M73" s="13">
        <v>0</v>
      </c>
      <c r="N73" s="5">
        <v>40</v>
      </c>
      <c r="O73" s="1" t="s">
        <v>4850</v>
      </c>
      <c r="P73" s="13">
        <v>365</v>
      </c>
      <c r="Q73" s="5">
        <f>38+63</f>
        <v>101</v>
      </c>
      <c r="R73" s="5">
        <v>23</v>
      </c>
      <c r="S73" s="5"/>
      <c r="T73" s="5"/>
      <c r="U73" s="5">
        <v>6</v>
      </c>
      <c r="V73" s="40">
        <f t="shared" si="6"/>
        <v>2.489831135215087E-3</v>
      </c>
      <c r="W73" s="40">
        <f t="shared" si="7"/>
        <v>5.6808358238446903E-4</v>
      </c>
      <c r="X73" s="40">
        <f t="shared" si="8"/>
        <v>1.4825796886582654E-4</v>
      </c>
      <c r="Y73" s="2">
        <f t="shared" si="9"/>
        <v>0.83003076923076924</v>
      </c>
      <c r="Z73" s="2">
        <f t="shared" si="10"/>
        <v>0.99943191641761553</v>
      </c>
      <c r="AA73" s="2">
        <f t="shared" si="11"/>
        <v>0.82955924237789525</v>
      </c>
      <c r="AB73" s="23"/>
    </row>
    <row r="74" spans="1:28" x14ac:dyDescent="0.25">
      <c r="A74" s="9" t="s">
        <v>183</v>
      </c>
      <c r="B74" s="10" t="s">
        <v>366</v>
      </c>
      <c r="C74" s="10" t="s">
        <v>367</v>
      </c>
      <c r="D74" s="10" t="str">
        <f>VLOOKUP(C74,Setup!A:F,3,)</f>
        <v>Body deodorant My price for men, 150 ml</v>
      </c>
      <c r="E74" s="10" t="str">
        <f>VLOOKUP(C74,Setup!A:F,4,)</f>
        <v>MOYA TSENA</v>
      </c>
      <c r="F74" s="10" t="str">
        <f>VLOOKUP(C74,Setup!A:F,5,)</f>
        <v>BODY CARE</v>
      </c>
      <c r="G74" s="10" t="str">
        <f>VLOOKUP(C74,Setup!A:F,6,)</f>
        <v>Deodorant</v>
      </c>
      <c r="H74" s="11" t="s">
        <v>368</v>
      </c>
      <c r="I74" s="31">
        <v>4800</v>
      </c>
      <c r="J74" s="12">
        <v>4920</v>
      </c>
      <c r="K74" s="13">
        <v>150</v>
      </c>
      <c r="L74" s="13">
        <v>15</v>
      </c>
      <c r="M74" s="13">
        <v>15</v>
      </c>
      <c r="N74" s="5"/>
      <c r="O74" s="1"/>
      <c r="P74" s="13">
        <v>80</v>
      </c>
      <c r="Q74" s="5">
        <f>58+27</f>
        <v>85</v>
      </c>
      <c r="R74" s="5">
        <v>4</v>
      </c>
      <c r="S74" s="5"/>
      <c r="T74" s="5"/>
      <c r="U74" s="5">
        <v>6</v>
      </c>
      <c r="V74" s="40">
        <f t="shared" si="6"/>
        <v>1.6983016983016984E-2</v>
      </c>
      <c r="W74" s="40">
        <f t="shared" si="7"/>
        <v>8.1234768480909826E-4</v>
      </c>
      <c r="X74" s="40">
        <f t="shared" si="8"/>
        <v>1.2180267965895249E-3</v>
      </c>
      <c r="Y74" s="2">
        <f t="shared" si="9"/>
        <v>0.50461538461538458</v>
      </c>
      <c r="Z74" s="2">
        <f t="shared" si="10"/>
        <v>0.99918765231519091</v>
      </c>
      <c r="AA74" s="2">
        <f t="shared" si="11"/>
        <v>0.50420546147597323</v>
      </c>
      <c r="AB74" s="23"/>
    </row>
    <row r="75" spans="1:28" x14ac:dyDescent="0.25">
      <c r="A75" s="9" t="s">
        <v>183</v>
      </c>
      <c r="B75" s="10" t="s">
        <v>334</v>
      </c>
      <c r="C75" s="10" t="s">
        <v>335</v>
      </c>
      <c r="D75" s="10" t="str">
        <f>VLOOKUP(C75,Setup!A:F,3,)</f>
        <v>Body deodorant My price for women, 150 ml</v>
      </c>
      <c r="E75" s="10" t="str">
        <f>VLOOKUP(C75,Setup!A:F,4,)</f>
        <v>MOYA TSENA</v>
      </c>
      <c r="F75" s="10" t="str">
        <f>VLOOKUP(C75,Setup!A:F,5,)</f>
        <v>BODY CARE</v>
      </c>
      <c r="G75" s="10" t="str">
        <f>VLOOKUP(C75,Setup!A:F,6,)</f>
        <v>Deodorant</v>
      </c>
      <c r="H75" s="11" t="s">
        <v>369</v>
      </c>
      <c r="I75" s="31">
        <v>4200</v>
      </c>
      <c r="J75" s="12">
        <v>4404</v>
      </c>
      <c r="K75" s="13">
        <v>150</v>
      </c>
      <c r="L75" s="13">
        <v>15</v>
      </c>
      <c r="M75" s="13">
        <v>0</v>
      </c>
      <c r="N75" s="5"/>
      <c r="O75" s="1"/>
      <c r="P75" s="13">
        <v>46</v>
      </c>
      <c r="Q75" s="5">
        <v>20</v>
      </c>
      <c r="R75" s="5">
        <v>4</v>
      </c>
      <c r="S75" s="5"/>
      <c r="T75" s="5"/>
      <c r="U75" s="5">
        <v>6</v>
      </c>
      <c r="V75" s="40">
        <f t="shared" si="6"/>
        <v>4.5207956600361665E-3</v>
      </c>
      <c r="W75" s="40">
        <f t="shared" si="7"/>
        <v>9.0744101633393826E-4</v>
      </c>
      <c r="X75" s="40">
        <f t="shared" si="8"/>
        <v>1.3605442176870747E-3</v>
      </c>
      <c r="Y75" s="2">
        <f t="shared" si="9"/>
        <v>0.63826086956521744</v>
      </c>
      <c r="Z75" s="2">
        <f t="shared" si="10"/>
        <v>0.99909255898366611</v>
      </c>
      <c r="AA75" s="2">
        <f t="shared" si="11"/>
        <v>0.63768168547305304</v>
      </c>
      <c r="AB75" s="23"/>
    </row>
    <row r="76" spans="1:28" x14ac:dyDescent="0.25">
      <c r="A76" s="9" t="s">
        <v>183</v>
      </c>
      <c r="B76" s="10" t="s">
        <v>370</v>
      </c>
      <c r="C76" s="10" t="s">
        <v>371</v>
      </c>
      <c r="D76" s="10" t="str">
        <f>VLOOKUP(C76,Setup!A:F,3,)</f>
        <v>Deodorant for shoes BIG D, 150 ml</v>
      </c>
      <c r="E76" s="10" t="str">
        <f>VLOOKUP(C76,Setup!A:F,4,)</f>
        <v>BIG D</v>
      </c>
      <c r="F76" s="10" t="str">
        <f>VLOOKUP(C76,Setup!A:F,5,)</f>
        <v>SHOE AND CLOTHING CARE</v>
      </c>
      <c r="G76" s="10" t="str">
        <f>VLOOKUP(C76,Setup!A:F,6,)</f>
        <v>Shoe deodorant</v>
      </c>
      <c r="H76" s="11" t="s">
        <v>372</v>
      </c>
      <c r="I76" s="31">
        <v>6200</v>
      </c>
      <c r="J76" s="12">
        <v>6636</v>
      </c>
      <c r="K76" s="13">
        <v>150</v>
      </c>
      <c r="L76" s="13">
        <v>15</v>
      </c>
      <c r="M76" s="13">
        <v>0</v>
      </c>
      <c r="N76" s="5"/>
      <c r="O76" s="1"/>
      <c r="P76" s="13">
        <v>67</v>
      </c>
      <c r="Q76" s="5">
        <f>2+4</f>
        <v>6</v>
      </c>
      <c r="R76" s="5">
        <v>4</v>
      </c>
      <c r="S76" s="5"/>
      <c r="T76" s="5"/>
      <c r="U76" s="5">
        <v>6</v>
      </c>
      <c r="V76" s="40">
        <f t="shared" si="6"/>
        <v>9.0334236675700087E-4</v>
      </c>
      <c r="W76" s="40">
        <f t="shared" si="7"/>
        <v>6.0240963855421692E-4</v>
      </c>
      <c r="X76" s="40">
        <f t="shared" si="8"/>
        <v>9.0334236675700087E-4</v>
      </c>
      <c r="Y76" s="2">
        <f t="shared" si="9"/>
        <v>0.66029850746268659</v>
      </c>
      <c r="Z76" s="2">
        <f t="shared" si="10"/>
        <v>0.99939759036144582</v>
      </c>
      <c r="AA76" s="2">
        <f t="shared" si="11"/>
        <v>0.65990073727746812</v>
      </c>
      <c r="AB76" s="23"/>
    </row>
    <row r="77" spans="1:28" x14ac:dyDescent="0.25">
      <c r="A77" s="9" t="s">
        <v>183</v>
      </c>
      <c r="B77" s="10" t="s">
        <v>373</v>
      </c>
      <c r="C77" s="10" t="s">
        <v>374</v>
      </c>
      <c r="D77" s="10" t="str">
        <f>VLOOKUP(C77,Setup!A:F,3,)</f>
        <v>Deodorant for shoes BIG D, 150 ml</v>
      </c>
      <c r="E77" s="10" t="str">
        <f>VLOOKUP(C77,Setup!A:F,4,)</f>
        <v>BIG D</v>
      </c>
      <c r="F77" s="10" t="str">
        <f>VLOOKUP(C77,Setup!A:F,5,)</f>
        <v>SHOE AND CLOTHING CARE</v>
      </c>
      <c r="G77" s="10" t="str">
        <f>VLOOKUP(C77,Setup!A:F,6,)</f>
        <v>Shoe deodorant</v>
      </c>
      <c r="H77" s="11" t="s">
        <v>375</v>
      </c>
      <c r="I77" s="31">
        <v>6700</v>
      </c>
      <c r="J77" s="12">
        <v>6708</v>
      </c>
      <c r="K77" s="13">
        <v>150</v>
      </c>
      <c r="L77" s="13">
        <v>15</v>
      </c>
      <c r="M77" s="13">
        <v>0</v>
      </c>
      <c r="N77" s="5"/>
      <c r="O77" s="1"/>
      <c r="P77" s="13">
        <v>68</v>
      </c>
      <c r="Q77" s="5">
        <v>2</v>
      </c>
      <c r="R77" s="5">
        <v>2</v>
      </c>
      <c r="S77" s="5"/>
      <c r="T77" s="5"/>
      <c r="U77" s="5">
        <v>6</v>
      </c>
      <c r="V77" s="40">
        <f t="shared" si="6"/>
        <v>2.9806259314456036E-4</v>
      </c>
      <c r="W77" s="40">
        <f t="shared" si="7"/>
        <v>2.9806259314456036E-4</v>
      </c>
      <c r="X77" s="40">
        <f t="shared" si="8"/>
        <v>8.9365504915102768E-4</v>
      </c>
      <c r="Y77" s="2">
        <f t="shared" si="9"/>
        <v>0.65764705882352936</v>
      </c>
      <c r="Z77" s="2">
        <f t="shared" si="10"/>
        <v>0.99970193740685542</v>
      </c>
      <c r="AA77" s="2">
        <f t="shared" si="11"/>
        <v>0.65745103883580247</v>
      </c>
      <c r="AB77" s="23"/>
    </row>
    <row r="78" spans="1:28" x14ac:dyDescent="0.25">
      <c r="A78" s="9" t="s">
        <v>183</v>
      </c>
      <c r="B78" s="10" t="s">
        <v>230</v>
      </c>
      <c r="C78" s="10" t="s">
        <v>231</v>
      </c>
      <c r="D78" s="10" t="str">
        <f>VLOOKUP(C78,Setup!A:F,3,)</f>
        <v>Hairspray PROFESSIONAL LOOK FANFARE exstrastrong hold, 300 ml</v>
      </c>
      <c r="E78" s="10" t="str">
        <f>VLOOKUP(C78,Setup!A:F,4,)</f>
        <v>PROFESSIONAL LOOK FANFARE</v>
      </c>
      <c r="F78" s="10" t="str">
        <f>VLOOKUP(C78,Setup!A:F,5,)</f>
        <v>HAIR CARE</v>
      </c>
      <c r="G78" s="10" t="str">
        <f>VLOOKUP(C78,Setup!A:F,6,)</f>
        <v>Hairspray</v>
      </c>
      <c r="H78" s="11" t="s">
        <v>376</v>
      </c>
      <c r="I78" s="33">
        <v>29536</v>
      </c>
      <c r="J78" s="12">
        <v>30012</v>
      </c>
      <c r="K78" s="13">
        <v>150</v>
      </c>
      <c r="L78" s="13">
        <v>120</v>
      </c>
      <c r="M78" s="13">
        <v>30</v>
      </c>
      <c r="N78" s="5"/>
      <c r="O78" s="1"/>
      <c r="P78" s="13">
        <v>364</v>
      </c>
      <c r="Q78" s="5">
        <v>10</v>
      </c>
      <c r="R78" s="5">
        <v>5</v>
      </c>
      <c r="S78" s="5"/>
      <c r="T78" s="5"/>
      <c r="U78" s="5">
        <v>6</v>
      </c>
      <c r="V78" s="40">
        <f t="shared" si="6"/>
        <v>3.3308906801678769E-4</v>
      </c>
      <c r="W78" s="40">
        <f t="shared" si="7"/>
        <v>1.6657227571043075E-4</v>
      </c>
      <c r="X78" s="40">
        <f t="shared" si="8"/>
        <v>1.998800719568259E-4</v>
      </c>
      <c r="Y78" s="2">
        <f t="shared" si="9"/>
        <v>0.59904191616766467</v>
      </c>
      <c r="Z78" s="2">
        <f t="shared" si="10"/>
        <v>0.99983342772428951</v>
      </c>
      <c r="AA78" s="2">
        <f t="shared" si="11"/>
        <v>0.59894213239244265</v>
      </c>
      <c r="AB78" s="23"/>
    </row>
    <row r="79" spans="1:28" x14ac:dyDescent="0.25">
      <c r="A79" s="9" t="s">
        <v>183</v>
      </c>
      <c r="B79" s="10" t="s">
        <v>233</v>
      </c>
      <c r="C79" s="10" t="s">
        <v>234</v>
      </c>
      <c r="D79" s="10" t="str">
        <f>VLOOKUP(C79,Setup!A:F,3,)</f>
        <v>Hairspray PROFESSIONAL LOOK FANFARE Stroke and fixation, 300 ml</v>
      </c>
      <c r="E79" s="10" t="str">
        <f>VLOOKUP(C79,Setup!A:F,4,)</f>
        <v>PROFESSIONAL LOOK FANFARE</v>
      </c>
      <c r="F79" s="10" t="str">
        <f>VLOOKUP(C79,Setup!A:F,5,)</f>
        <v>HAIR CARE</v>
      </c>
      <c r="G79" s="10" t="str">
        <f>VLOOKUP(C79,Setup!A:F,6,)</f>
        <v>Hairspray</v>
      </c>
      <c r="H79" s="11" t="s">
        <v>377</v>
      </c>
      <c r="I79" s="33">
        <v>29536</v>
      </c>
      <c r="J79" s="12">
        <v>27624</v>
      </c>
      <c r="K79" s="13">
        <v>150</v>
      </c>
      <c r="L79" s="13">
        <v>15</v>
      </c>
      <c r="M79" s="13">
        <v>15</v>
      </c>
      <c r="N79" s="5"/>
      <c r="O79" s="1"/>
      <c r="P79" s="13">
        <v>239</v>
      </c>
      <c r="Q79" s="5">
        <v>13</v>
      </c>
      <c r="R79" s="5">
        <v>13</v>
      </c>
      <c r="S79" s="5"/>
      <c r="T79" s="5"/>
      <c r="U79" s="5">
        <v>6</v>
      </c>
      <c r="V79" s="40">
        <f t="shared" si="6"/>
        <v>4.7038390563375185E-4</v>
      </c>
      <c r="W79" s="40">
        <f t="shared" si="7"/>
        <v>4.7038390563375185E-4</v>
      </c>
      <c r="X79" s="40">
        <f t="shared" si="8"/>
        <v>2.1715526601520088E-4</v>
      </c>
      <c r="Y79" s="2">
        <f t="shared" si="9"/>
        <v>0.82214285714285718</v>
      </c>
      <c r="Z79" s="2">
        <f t="shared" si="10"/>
        <v>0.9995296160943663</v>
      </c>
      <c r="AA79" s="2">
        <f t="shared" si="11"/>
        <v>0.8217561343747255</v>
      </c>
      <c r="AB79" s="23"/>
    </row>
    <row r="80" spans="1:28" x14ac:dyDescent="0.25">
      <c r="A80" s="9" t="s">
        <v>183</v>
      </c>
      <c r="B80" s="10" t="s">
        <v>315</v>
      </c>
      <c r="C80" s="10" t="s">
        <v>240</v>
      </c>
      <c r="D80" s="10" t="str">
        <f>VLOOKUP(C80,Setup!A:F,3,)</f>
        <v>Shaving foam EDISON all skin types with aloe vera, 300 ml</v>
      </c>
      <c r="E80" s="10" t="str">
        <f>VLOOKUP(C80,Setup!A:F,4,)</f>
        <v>EDISON</v>
      </c>
      <c r="F80" s="10" t="str">
        <f>VLOOKUP(C80,Setup!A:F,5,)</f>
        <v>BODY CARE</v>
      </c>
      <c r="G80" s="10" t="str">
        <f>VLOOKUP(C80,Setup!A:F,6,)</f>
        <v>Shaving foam</v>
      </c>
      <c r="H80" s="11" t="s">
        <v>378</v>
      </c>
      <c r="I80" s="32">
        <v>8418</v>
      </c>
      <c r="J80" s="12">
        <v>8400</v>
      </c>
      <c r="K80" s="13">
        <v>140</v>
      </c>
      <c r="L80" s="13">
        <v>60</v>
      </c>
      <c r="M80" s="13">
        <v>0</v>
      </c>
      <c r="N80" s="5"/>
      <c r="O80" s="1"/>
      <c r="P80" s="13">
        <v>116</v>
      </c>
      <c r="Q80" s="5">
        <v>4</v>
      </c>
      <c r="R80" s="5">
        <v>5</v>
      </c>
      <c r="S80" s="5"/>
      <c r="T80" s="5"/>
      <c r="U80" s="5">
        <v>6</v>
      </c>
      <c r="V80" s="40">
        <f t="shared" si="6"/>
        <v>4.7596382674916705E-4</v>
      </c>
      <c r="W80" s="40">
        <f t="shared" si="7"/>
        <v>5.9488399762046404E-4</v>
      </c>
      <c r="X80" s="40">
        <f t="shared" si="8"/>
        <v>7.1377587437544611E-4</v>
      </c>
      <c r="Y80" s="2">
        <f t="shared" si="9"/>
        <v>0.51724137931034486</v>
      </c>
      <c r="Z80" s="2">
        <f t="shared" si="10"/>
        <v>0.99940511600237958</v>
      </c>
      <c r="AA80" s="2">
        <f t="shared" si="11"/>
        <v>0.51693368069088608</v>
      </c>
      <c r="AB80" s="23"/>
    </row>
    <row r="81" spans="1:28" x14ac:dyDescent="0.25">
      <c r="A81" s="9" t="s">
        <v>183</v>
      </c>
      <c r="B81" s="10" t="s">
        <v>317</v>
      </c>
      <c r="C81" s="10" t="s">
        <v>243</v>
      </c>
      <c r="D81" s="10" t="str">
        <f>VLOOKUP(C81,Setup!A:F,3,)</f>
        <v>Shaving foam EDISON for sensitive skin with vitamins, 300 ml</v>
      </c>
      <c r="E81" s="10" t="str">
        <f>VLOOKUP(C81,Setup!A:F,4,)</f>
        <v>EDISON</v>
      </c>
      <c r="F81" s="10" t="str">
        <f>VLOOKUP(C81,Setup!A:F,5,)</f>
        <v>BODY CARE</v>
      </c>
      <c r="G81" s="10" t="str">
        <f>VLOOKUP(C81,Setup!A:F,6,)</f>
        <v>Shaving foam</v>
      </c>
      <c r="H81" s="11" t="s">
        <v>379</v>
      </c>
      <c r="I81" s="32">
        <v>13631</v>
      </c>
      <c r="J81" s="12">
        <v>13608</v>
      </c>
      <c r="K81" s="13">
        <v>140</v>
      </c>
      <c r="L81" s="13">
        <v>15</v>
      </c>
      <c r="M81" s="13">
        <v>0</v>
      </c>
      <c r="N81" s="5"/>
      <c r="O81" s="1"/>
      <c r="P81" s="13">
        <v>170</v>
      </c>
      <c r="Q81" s="5">
        <v>5</v>
      </c>
      <c r="R81" s="5">
        <v>10</v>
      </c>
      <c r="S81" s="5"/>
      <c r="T81" s="5"/>
      <c r="U81" s="5">
        <v>6</v>
      </c>
      <c r="V81" s="40">
        <f t="shared" si="6"/>
        <v>3.6729596709028135E-4</v>
      </c>
      <c r="W81" s="40">
        <f t="shared" si="7"/>
        <v>7.3432222059039505E-4</v>
      </c>
      <c r="X81" s="40">
        <f t="shared" si="8"/>
        <v>4.4072278536800354E-4</v>
      </c>
      <c r="Y81" s="2">
        <f t="shared" si="9"/>
        <v>0.57176470588235295</v>
      </c>
      <c r="Z81" s="2">
        <f t="shared" si="10"/>
        <v>0.99926567777940956</v>
      </c>
      <c r="AA81" s="2">
        <f t="shared" si="11"/>
        <v>0.57134484635387417</v>
      </c>
      <c r="AB81" s="23"/>
    </row>
    <row r="82" spans="1:28" x14ac:dyDescent="0.25">
      <c r="A82" s="9" t="s">
        <v>183</v>
      </c>
      <c r="B82" s="10" t="s">
        <v>330</v>
      </c>
      <c r="C82" s="10" t="s">
        <v>246</v>
      </c>
      <c r="D82" s="10" t="str">
        <f>VLOOKUP(C82,Setup!A:F,3,)</f>
        <v>Shaving foam DELIVEA for sensitive skin man, 300 ml</v>
      </c>
      <c r="E82" s="10" t="str">
        <f>VLOOKUP(C82,Setup!A:F,4,)</f>
        <v>DELIVEA</v>
      </c>
      <c r="F82" s="10" t="str">
        <f>VLOOKUP(C82,Setup!A:F,5,)</f>
        <v>BODY CARE</v>
      </c>
      <c r="G82" s="10" t="str">
        <f>VLOOKUP(C82,Setup!A:F,6,)</f>
        <v>Shaving foam</v>
      </c>
      <c r="H82" s="11" t="s">
        <v>380</v>
      </c>
      <c r="I82" s="31">
        <f>24782-8717</f>
        <v>16065</v>
      </c>
      <c r="J82" s="12">
        <v>16065</v>
      </c>
      <c r="K82" s="13">
        <v>140</v>
      </c>
      <c r="L82" s="13">
        <v>15</v>
      </c>
      <c r="M82" s="13">
        <v>0</v>
      </c>
      <c r="N82" s="5"/>
      <c r="O82" s="1"/>
      <c r="P82" s="13">
        <v>135</v>
      </c>
      <c r="Q82" s="5">
        <v>13</v>
      </c>
      <c r="R82" s="5">
        <v>10</v>
      </c>
      <c r="S82" s="5"/>
      <c r="T82" s="5"/>
      <c r="U82" s="5">
        <v>6</v>
      </c>
      <c r="V82" s="40">
        <f t="shared" si="6"/>
        <v>8.0855827839283495E-4</v>
      </c>
      <c r="W82" s="40">
        <f t="shared" si="7"/>
        <v>6.2208398133748052E-4</v>
      </c>
      <c r="X82" s="40">
        <f t="shared" si="8"/>
        <v>3.7334328915437746E-4</v>
      </c>
      <c r="Y82" s="2">
        <f t="shared" si="9"/>
        <v>0.85</v>
      </c>
      <c r="Z82" s="2">
        <f t="shared" si="10"/>
        <v>0.99937791601866255</v>
      </c>
      <c r="AA82" s="2">
        <f t="shared" si="11"/>
        <v>0.84947122861586311</v>
      </c>
      <c r="AB82" s="23"/>
    </row>
    <row r="83" spans="1:28" x14ac:dyDescent="0.25">
      <c r="A83" s="9" t="s">
        <v>183</v>
      </c>
      <c r="B83" s="10" t="s">
        <v>381</v>
      </c>
      <c r="C83" s="10" t="s">
        <v>382</v>
      </c>
      <c r="D83" s="10" t="str">
        <f>VLOOKUP(C83,Setup!A:F,3,)</f>
        <v>Deodorant SPORT STAR Ice blue man, 175 ml</v>
      </c>
      <c r="E83" s="10" t="str">
        <f>VLOOKUP(C83,Setup!A:F,4,)</f>
        <v>SPORT STAR</v>
      </c>
      <c r="F83" s="10" t="str">
        <f>VLOOKUP(C83,Setup!A:F,5,)</f>
        <v>BODY CARE</v>
      </c>
      <c r="G83" s="10" t="str">
        <f>VLOOKUP(C83,Setup!A:F,6,)</f>
        <v>Deodorant</v>
      </c>
      <c r="H83" s="11" t="s">
        <v>383</v>
      </c>
      <c r="I83" s="34">
        <v>31816</v>
      </c>
      <c r="J83" s="12">
        <v>31416</v>
      </c>
      <c r="K83" s="13">
        <v>150</v>
      </c>
      <c r="L83" s="13">
        <v>120</v>
      </c>
      <c r="M83" s="13">
        <v>0</v>
      </c>
      <c r="N83" s="5"/>
      <c r="O83" s="1"/>
      <c r="P83" s="13">
        <v>320</v>
      </c>
      <c r="Q83" s="5">
        <v>36</v>
      </c>
      <c r="R83" s="5">
        <v>7</v>
      </c>
      <c r="S83" s="5"/>
      <c r="T83" s="5"/>
      <c r="U83" s="5">
        <v>6</v>
      </c>
      <c r="V83" s="40">
        <f t="shared" si="6"/>
        <v>1.1446012972148034E-3</v>
      </c>
      <c r="W83" s="40">
        <f t="shared" si="7"/>
        <v>2.2276676319893073E-4</v>
      </c>
      <c r="X83" s="40">
        <f t="shared" si="8"/>
        <v>1.9094901661256445E-4</v>
      </c>
      <c r="Y83" s="2">
        <f t="shared" si="9"/>
        <v>0.65449999999999997</v>
      </c>
      <c r="Z83" s="2">
        <f t="shared" si="10"/>
        <v>0.99977723323680112</v>
      </c>
      <c r="AA83" s="2">
        <f t="shared" si="11"/>
        <v>0.65435419915348636</v>
      </c>
      <c r="AB83" s="23"/>
    </row>
    <row r="84" spans="1:28" x14ac:dyDescent="0.25">
      <c r="A84" s="9" t="s">
        <v>183</v>
      </c>
      <c r="B84" s="10" t="s">
        <v>384</v>
      </c>
      <c r="C84" s="10" t="s">
        <v>385</v>
      </c>
      <c r="D84" s="10" t="str">
        <f>VLOOKUP(C84,Setup!A:F,3,)</f>
        <v>Deodorant KRASNAYA TSENA Woody-Citrus man, 150 ml</v>
      </c>
      <c r="E84" s="10" t="str">
        <f>VLOOKUP(C84,Setup!A:F,4,)</f>
        <v>KRASNAYA TSENA</v>
      </c>
      <c r="F84" s="10" t="str">
        <f>VLOOKUP(C84,Setup!A:F,5,)</f>
        <v>BODY CARE</v>
      </c>
      <c r="G84" s="10" t="str">
        <f>VLOOKUP(C84,Setup!A:F,6,)</f>
        <v>Deodorant</v>
      </c>
      <c r="H84" s="11" t="s">
        <v>386</v>
      </c>
      <c r="I84" s="31">
        <v>16000</v>
      </c>
      <c r="J84" s="12">
        <f>900+15336</f>
        <v>16236</v>
      </c>
      <c r="K84" s="13">
        <v>150</v>
      </c>
      <c r="L84" s="13">
        <v>15</v>
      </c>
      <c r="M84" s="13">
        <v>0</v>
      </c>
      <c r="N84" s="5"/>
      <c r="O84" s="1"/>
      <c r="P84" s="13">
        <f>25+117</f>
        <v>142</v>
      </c>
      <c r="Q84" s="5"/>
      <c r="R84" s="5">
        <v>2</v>
      </c>
      <c r="S84" s="5"/>
      <c r="T84" s="5"/>
      <c r="U84" s="5">
        <v>6</v>
      </c>
      <c r="V84" s="40">
        <f t="shared" si="6"/>
        <v>0</v>
      </c>
      <c r="W84" s="40">
        <f t="shared" si="7"/>
        <v>1.2316787781746521E-4</v>
      </c>
      <c r="X84" s="40">
        <f t="shared" si="8"/>
        <v>3.6941263391207979E-4</v>
      </c>
      <c r="Y84" s="2">
        <f t="shared" si="9"/>
        <v>0.76225352112676059</v>
      </c>
      <c r="Z84" s="2">
        <f t="shared" si="10"/>
        <v>0.99987683212218248</v>
      </c>
      <c r="AA84" s="2">
        <f t="shared" si="11"/>
        <v>0.76215963597820446</v>
      </c>
      <c r="AB84" s="23"/>
    </row>
    <row r="85" spans="1:28" x14ac:dyDescent="0.25">
      <c r="A85" s="9" t="s">
        <v>183</v>
      </c>
      <c r="B85" s="10" t="s">
        <v>218</v>
      </c>
      <c r="C85" s="10" t="s">
        <v>219</v>
      </c>
      <c r="D85" s="10" t="str">
        <f>VLOOKUP(C85,Setup!A:F,3,)</f>
        <v>Deodorant EDISON Golden Amber for men, 150 ml</v>
      </c>
      <c r="E85" s="10" t="str">
        <f>VLOOKUP(C85,Setup!A:F,4,)</f>
        <v>EDISON</v>
      </c>
      <c r="F85" s="10" t="str">
        <f>VLOOKUP(C85,Setup!A:F,5,)</f>
        <v>BODY CARE</v>
      </c>
      <c r="G85" s="10" t="str">
        <f>VLOOKUP(C85,Setup!A:F,6,)</f>
        <v>Deodorant</v>
      </c>
      <c r="H85" s="11" t="s">
        <v>387</v>
      </c>
      <c r="I85" s="34">
        <v>17556</v>
      </c>
      <c r="J85" s="12">
        <v>17532</v>
      </c>
      <c r="K85" s="13">
        <v>150</v>
      </c>
      <c r="L85" s="13">
        <v>15</v>
      </c>
      <c r="M85" s="13">
        <v>0</v>
      </c>
      <c r="N85" s="5"/>
      <c r="O85" s="1"/>
      <c r="P85" s="13">
        <v>158</v>
      </c>
      <c r="Q85" s="5">
        <v>12</v>
      </c>
      <c r="R85" s="5">
        <v>4</v>
      </c>
      <c r="S85" s="5"/>
      <c r="T85" s="5"/>
      <c r="U85" s="5">
        <v>6</v>
      </c>
      <c r="V85" s="40">
        <f t="shared" si="6"/>
        <v>6.8399452804377564E-4</v>
      </c>
      <c r="W85" s="40">
        <f t="shared" si="7"/>
        <v>2.2810218978102189E-4</v>
      </c>
      <c r="X85" s="40">
        <f t="shared" si="8"/>
        <v>3.4211426616489907E-4</v>
      </c>
      <c r="Y85" s="2">
        <f t="shared" si="9"/>
        <v>0.73974683544303799</v>
      </c>
      <c r="Z85" s="2">
        <f t="shared" si="10"/>
        <v>0.99977189781021902</v>
      </c>
      <c r="AA85" s="2">
        <f t="shared" si="11"/>
        <v>0.73957809756998993</v>
      </c>
      <c r="AB85" s="23"/>
    </row>
    <row r="86" spans="1:28" x14ac:dyDescent="0.25">
      <c r="A86" s="9" t="s">
        <v>183</v>
      </c>
      <c r="B86" s="10" t="s">
        <v>224</v>
      </c>
      <c r="C86" s="10" t="s">
        <v>225</v>
      </c>
      <c r="D86" s="10" t="str">
        <f>VLOOKUP(C86,Setup!A:F,3,)</f>
        <v>Deodorant EDISON Orange Bergamot for men, 150 ml</v>
      </c>
      <c r="E86" s="10" t="str">
        <f>VLOOKUP(C86,Setup!A:F,4,)</f>
        <v>EDISON</v>
      </c>
      <c r="F86" s="10" t="str">
        <f>VLOOKUP(C86,Setup!A:F,5,)</f>
        <v>BODY CARE</v>
      </c>
      <c r="G86" s="10" t="str">
        <f>VLOOKUP(C86,Setup!A:F,6,)</f>
        <v>Deodorant</v>
      </c>
      <c r="H86" s="11" t="s">
        <v>388</v>
      </c>
      <c r="I86" s="34">
        <v>17995</v>
      </c>
      <c r="J86" s="12">
        <v>18000</v>
      </c>
      <c r="K86" s="13">
        <v>150</v>
      </c>
      <c r="L86" s="13">
        <v>15</v>
      </c>
      <c r="M86" s="13">
        <v>0</v>
      </c>
      <c r="N86" s="5"/>
      <c r="O86" s="1"/>
      <c r="P86" s="13">
        <v>158</v>
      </c>
      <c r="Q86" s="5">
        <v>2</v>
      </c>
      <c r="R86" s="5">
        <v>3</v>
      </c>
      <c r="S86" s="5"/>
      <c r="T86" s="5"/>
      <c r="U86" s="5">
        <v>6</v>
      </c>
      <c r="V86" s="40">
        <f t="shared" si="6"/>
        <v>1.1109876680368848E-4</v>
      </c>
      <c r="W86" s="40">
        <f t="shared" si="7"/>
        <v>1.6663889351774705E-4</v>
      </c>
      <c r="X86" s="40">
        <f t="shared" si="8"/>
        <v>3.332222592469177E-4</v>
      </c>
      <c r="Y86" s="2">
        <f t="shared" si="9"/>
        <v>0.759493670886076</v>
      </c>
      <c r="Z86" s="2">
        <f t="shared" si="10"/>
        <v>0.99983336110648224</v>
      </c>
      <c r="AA86" s="2">
        <f t="shared" si="11"/>
        <v>0.75936710970112575</v>
      </c>
      <c r="AB86" s="23"/>
    </row>
    <row r="87" spans="1:28" x14ac:dyDescent="0.25">
      <c r="A87" s="9" t="s">
        <v>183</v>
      </c>
      <c r="B87" s="10" t="s">
        <v>221</v>
      </c>
      <c r="C87" s="10" t="s">
        <v>222</v>
      </c>
      <c r="D87" s="10" t="str">
        <f>VLOOKUP(C87,Setup!A:F,3,)</f>
        <v>Deodorant EDISON Green Vetiver for men, 150 ml</v>
      </c>
      <c r="E87" s="10" t="str">
        <f>VLOOKUP(C87,Setup!A:F,4,)</f>
        <v>EDISON</v>
      </c>
      <c r="F87" s="10" t="str">
        <f>VLOOKUP(C87,Setup!A:F,5,)</f>
        <v>BODY CARE</v>
      </c>
      <c r="G87" s="10" t="str">
        <f>VLOOKUP(C87,Setup!A:F,6,)</f>
        <v>Deodorant</v>
      </c>
      <c r="H87" s="11" t="s">
        <v>389</v>
      </c>
      <c r="I87" s="34">
        <v>17556</v>
      </c>
      <c r="J87" s="12">
        <v>17544</v>
      </c>
      <c r="K87" s="13">
        <v>150</v>
      </c>
      <c r="L87" s="13">
        <v>15</v>
      </c>
      <c r="M87" s="13">
        <v>0</v>
      </c>
      <c r="N87" s="5"/>
      <c r="O87" s="1"/>
      <c r="P87" s="13">
        <v>142</v>
      </c>
      <c r="Q87" s="5">
        <v>4</v>
      </c>
      <c r="R87" s="5">
        <v>2</v>
      </c>
      <c r="S87" s="5"/>
      <c r="T87" s="5"/>
      <c r="U87" s="5">
        <v>6</v>
      </c>
      <c r="V87" s="40">
        <f t="shared" si="6"/>
        <v>2.2794620469569182E-4</v>
      </c>
      <c r="W87" s="40">
        <f t="shared" si="7"/>
        <v>1.1398609369656902E-4</v>
      </c>
      <c r="X87" s="40">
        <f t="shared" si="8"/>
        <v>3.4188034188034188E-4</v>
      </c>
      <c r="Y87" s="2">
        <f t="shared" si="9"/>
        <v>0.82366197183098588</v>
      </c>
      <c r="Z87" s="2">
        <f t="shared" si="10"/>
        <v>0.99988601390630338</v>
      </c>
      <c r="AA87" s="2">
        <f t="shared" si="11"/>
        <v>0.8235680858202904</v>
      </c>
      <c r="AB87" s="23"/>
    </row>
    <row r="88" spans="1:28" x14ac:dyDescent="0.25">
      <c r="A88" s="9" t="s">
        <v>183</v>
      </c>
      <c r="B88" s="10" t="s">
        <v>227</v>
      </c>
      <c r="C88" s="10" t="s">
        <v>228</v>
      </c>
      <c r="D88" s="10" t="str">
        <f>VLOOKUP(C88,Setup!A:F,3,)</f>
        <v>Deodorant EDISON Blue Aqua for men, 150 ml</v>
      </c>
      <c r="E88" s="10" t="str">
        <f>VLOOKUP(C88,Setup!A:F,4,)</f>
        <v>EDISON</v>
      </c>
      <c r="F88" s="10" t="str">
        <f>VLOOKUP(C88,Setup!A:F,5,)</f>
        <v>BODY CARE</v>
      </c>
      <c r="G88" s="10" t="str">
        <f>VLOOKUP(C88,Setup!A:F,6,)</f>
        <v>Deodorant</v>
      </c>
      <c r="H88" s="11" t="s">
        <v>390</v>
      </c>
      <c r="I88" s="34">
        <v>17353</v>
      </c>
      <c r="J88" s="12">
        <v>17304</v>
      </c>
      <c r="K88" s="13">
        <v>150</v>
      </c>
      <c r="L88" s="13">
        <v>15</v>
      </c>
      <c r="M88" s="13">
        <v>0</v>
      </c>
      <c r="N88" s="5"/>
      <c r="O88" s="1"/>
      <c r="P88" s="13">
        <f>160-10+5</f>
        <v>155</v>
      </c>
      <c r="Q88" s="5">
        <f>4+11</f>
        <v>15</v>
      </c>
      <c r="R88" s="5">
        <v>2</v>
      </c>
      <c r="S88" s="5"/>
      <c r="T88" s="5"/>
      <c r="U88" s="5">
        <v>6</v>
      </c>
      <c r="V88" s="40">
        <f t="shared" si="6"/>
        <v>8.6610081413476532E-4</v>
      </c>
      <c r="W88" s="40">
        <f t="shared" si="7"/>
        <v>1.1556685542586386E-4</v>
      </c>
      <c r="X88" s="40">
        <f t="shared" si="8"/>
        <v>3.466204506065858E-4</v>
      </c>
      <c r="Y88" s="2">
        <f t="shared" si="9"/>
        <v>0.74425806451612908</v>
      </c>
      <c r="Z88" s="2">
        <f t="shared" si="10"/>
        <v>0.99988443314457409</v>
      </c>
      <c r="AA88" s="2">
        <f t="shared" si="11"/>
        <v>0.74417205295198763</v>
      </c>
      <c r="AB88" s="23"/>
    </row>
    <row r="89" spans="1:28" x14ac:dyDescent="0.25">
      <c r="A89" s="9" t="s">
        <v>183</v>
      </c>
      <c r="B89" s="10" t="s">
        <v>230</v>
      </c>
      <c r="C89" s="10" t="s">
        <v>231</v>
      </c>
      <c r="D89" s="10" t="str">
        <f>VLOOKUP(C89,Setup!A:F,3,)</f>
        <v>Hairspray PROFESSIONAL LOOK FANFARE exstrastrong hold, 300 ml</v>
      </c>
      <c r="E89" s="10" t="str">
        <f>VLOOKUP(C89,Setup!A:F,4,)</f>
        <v>PROFESSIONAL LOOK FANFARE</v>
      </c>
      <c r="F89" s="10" t="str">
        <f>VLOOKUP(C89,Setup!A:F,5,)</f>
        <v>HAIR CARE</v>
      </c>
      <c r="G89" s="10" t="str">
        <f>VLOOKUP(C89,Setup!A:F,6,)</f>
        <v>Hairspray</v>
      </c>
      <c r="H89" s="11" t="s">
        <v>391</v>
      </c>
      <c r="I89" s="34">
        <v>29536</v>
      </c>
      <c r="J89" s="12">
        <v>31392</v>
      </c>
      <c r="K89" s="13">
        <v>150</v>
      </c>
      <c r="L89" s="13">
        <v>30</v>
      </c>
      <c r="M89" s="13">
        <v>15</v>
      </c>
      <c r="N89" s="5"/>
      <c r="O89" s="1"/>
      <c r="P89" s="13">
        <v>280</v>
      </c>
      <c r="Q89" s="5">
        <v>10</v>
      </c>
      <c r="R89" s="5">
        <v>1</v>
      </c>
      <c r="S89" s="5"/>
      <c r="T89" s="5"/>
      <c r="U89" s="5">
        <v>6</v>
      </c>
      <c r="V89" s="40">
        <f t="shared" si="6"/>
        <v>3.1845105407298896E-4</v>
      </c>
      <c r="W89" s="40">
        <f t="shared" si="7"/>
        <v>3.1854235020545983E-5</v>
      </c>
      <c r="X89" s="40">
        <f t="shared" si="8"/>
        <v>1.9109497420217848E-4</v>
      </c>
      <c r="Y89" s="2">
        <f t="shared" si="9"/>
        <v>0.78973584905660377</v>
      </c>
      <c r="Z89" s="2">
        <f t="shared" si="10"/>
        <v>0.9999681457649795</v>
      </c>
      <c r="AA89" s="2">
        <f t="shared" si="11"/>
        <v>0.78971069262526383</v>
      </c>
      <c r="AB89" s="23"/>
    </row>
    <row r="90" spans="1:28" x14ac:dyDescent="0.25">
      <c r="A90" s="9" t="s">
        <v>183</v>
      </c>
      <c r="B90" s="10" t="s">
        <v>233</v>
      </c>
      <c r="C90" s="10" t="s">
        <v>234</v>
      </c>
      <c r="D90" s="10" t="str">
        <f>VLOOKUP(C90,Setup!A:F,3,)</f>
        <v>Hairspray PROFESSIONAL LOOK FANFARE Stroke and fixation, 300 ml</v>
      </c>
      <c r="E90" s="10" t="str">
        <f>VLOOKUP(C90,Setup!A:F,4,)</f>
        <v>PROFESSIONAL LOOK FANFARE</v>
      </c>
      <c r="F90" s="10" t="str">
        <f>VLOOKUP(C90,Setup!A:F,5,)</f>
        <v>HAIR CARE</v>
      </c>
      <c r="G90" s="10" t="str">
        <f>VLOOKUP(C90,Setup!A:F,6,)</f>
        <v>Hairspray</v>
      </c>
      <c r="H90" s="11" t="s">
        <v>392</v>
      </c>
      <c r="I90" s="34">
        <v>29536</v>
      </c>
      <c r="J90" s="12">
        <v>27216</v>
      </c>
      <c r="K90" s="13">
        <v>150</v>
      </c>
      <c r="L90" s="13">
        <v>15</v>
      </c>
      <c r="M90" s="13">
        <f>45</f>
        <v>45</v>
      </c>
      <c r="N90" s="5"/>
      <c r="O90" s="1"/>
      <c r="P90" s="13">
        <v>260</v>
      </c>
      <c r="Q90" s="5">
        <f>2+8</f>
        <v>10</v>
      </c>
      <c r="R90" s="5">
        <v>7</v>
      </c>
      <c r="S90" s="5"/>
      <c r="T90" s="5"/>
      <c r="U90" s="5">
        <v>6</v>
      </c>
      <c r="V90" s="40">
        <f t="shared" si="6"/>
        <v>3.6729596709028135E-4</v>
      </c>
      <c r="W90" s="40">
        <f t="shared" si="7"/>
        <v>2.5713551041398817E-4</v>
      </c>
      <c r="X90" s="40">
        <f t="shared" si="8"/>
        <v>2.2040996253030638E-4</v>
      </c>
      <c r="Y90" s="2">
        <f t="shared" si="9"/>
        <v>0.84390697674418602</v>
      </c>
      <c r="Z90" s="2">
        <f t="shared" si="10"/>
        <v>0.99974286448958605</v>
      </c>
      <c r="AA90" s="2">
        <f t="shared" si="11"/>
        <v>0.84368997829297898</v>
      </c>
      <c r="AB90" s="23"/>
    </row>
    <row r="91" spans="1:28" x14ac:dyDescent="0.25">
      <c r="A91" s="9" t="s">
        <v>183</v>
      </c>
      <c r="B91" s="10" t="s">
        <v>340</v>
      </c>
      <c r="C91" s="10" t="s">
        <v>341</v>
      </c>
      <c r="D91" s="10" t="str">
        <f>VLOOKUP(C91,Setup!A:F,3,)</f>
        <v>Hairspray PROFESSIONAL TOUCH Pro vitamin B5 Silk Protein extra strong hold, 265 ml</v>
      </c>
      <c r="E91" s="10" t="str">
        <f>VLOOKUP(C91,Setup!A:F,4,)</f>
        <v>PROFESSIONAL TOUCH</v>
      </c>
      <c r="F91" s="10" t="str">
        <f>VLOOKUP(C91,Setup!A:F,5,)</f>
        <v>HAIR CARE</v>
      </c>
      <c r="G91" s="10" t="str">
        <f>VLOOKUP(C91,Setup!A:F,6,)</f>
        <v>Hairspray</v>
      </c>
      <c r="H91" s="11" t="s">
        <v>393</v>
      </c>
      <c r="I91" s="34">
        <v>10980</v>
      </c>
      <c r="J91" s="12">
        <v>10968</v>
      </c>
      <c r="K91" s="13">
        <v>150</v>
      </c>
      <c r="L91" s="13">
        <v>15</v>
      </c>
      <c r="M91" s="13">
        <v>0</v>
      </c>
      <c r="N91" s="5"/>
      <c r="O91" s="1"/>
      <c r="P91" s="13">
        <v>88</v>
      </c>
      <c r="Q91" s="5">
        <v>5</v>
      </c>
      <c r="R91" s="5">
        <v>1</v>
      </c>
      <c r="S91" s="5"/>
      <c r="T91" s="5"/>
      <c r="U91" s="5">
        <v>6</v>
      </c>
      <c r="V91" s="40">
        <f t="shared" si="6"/>
        <v>4.5566390230565937E-4</v>
      </c>
      <c r="W91" s="40">
        <f t="shared" si="7"/>
        <v>9.116601331023795E-5</v>
      </c>
      <c r="X91" s="40">
        <f t="shared" si="8"/>
        <v>5.4674685620557679E-4</v>
      </c>
      <c r="Y91" s="2">
        <f t="shared" si="9"/>
        <v>0.83090909090909093</v>
      </c>
      <c r="Z91" s="2">
        <f t="shared" si="10"/>
        <v>0.99990883398668973</v>
      </c>
      <c r="AA91" s="2">
        <f t="shared" si="11"/>
        <v>0.83083334023984945</v>
      </c>
      <c r="AB91" s="23"/>
    </row>
    <row r="92" spans="1:28" x14ac:dyDescent="0.25">
      <c r="A92" s="9" t="s">
        <v>183</v>
      </c>
      <c r="B92" s="10" t="s">
        <v>342</v>
      </c>
      <c r="C92" s="10" t="s">
        <v>343</v>
      </c>
      <c r="D92" s="10" t="str">
        <f>VLOOKUP(C92,Setup!A:F,3,)</f>
        <v>Hairspray PROFESSIONAL TOUCH Pro vitamin B5 Multi Vitamins extra strong hold, 265 ml</v>
      </c>
      <c r="E92" s="10" t="str">
        <f>VLOOKUP(C92,Setup!A:F,4,)</f>
        <v>PROFESSIONAL TOUCH</v>
      </c>
      <c r="F92" s="10" t="str">
        <f>VLOOKUP(C92,Setup!A:F,5,)</f>
        <v>HAIR CARE</v>
      </c>
      <c r="G92" s="10" t="str">
        <f>VLOOKUP(C92,Setup!A:F,6,)</f>
        <v>Hairspray</v>
      </c>
      <c r="H92" s="11" t="s">
        <v>394</v>
      </c>
      <c r="I92" s="34">
        <v>8784</v>
      </c>
      <c r="J92" s="12">
        <v>8292</v>
      </c>
      <c r="K92" s="13">
        <v>150</v>
      </c>
      <c r="L92" s="13">
        <v>15</v>
      </c>
      <c r="M92" s="13">
        <v>0</v>
      </c>
      <c r="N92" s="5"/>
      <c r="O92" s="1"/>
      <c r="P92" s="13">
        <v>71</v>
      </c>
      <c r="Q92" s="5">
        <v>10</v>
      </c>
      <c r="R92" s="5">
        <v>4</v>
      </c>
      <c r="S92" s="5"/>
      <c r="T92" s="5"/>
      <c r="U92" s="5">
        <v>6</v>
      </c>
      <c r="V92" s="40">
        <f t="shared" si="6"/>
        <v>1.2045290291496024E-3</v>
      </c>
      <c r="W92" s="40">
        <f t="shared" si="7"/>
        <v>4.8216007714561236E-4</v>
      </c>
      <c r="X92" s="40">
        <f t="shared" si="8"/>
        <v>7.2306579898770787E-4</v>
      </c>
      <c r="Y92" s="2">
        <f t="shared" si="9"/>
        <v>0.77859154929577468</v>
      </c>
      <c r="Z92" s="2">
        <f t="shared" si="10"/>
        <v>0.99951783992285437</v>
      </c>
      <c r="AA92" s="2">
        <f t="shared" si="11"/>
        <v>0.77821614353430124</v>
      </c>
      <c r="AB92" s="23"/>
    </row>
    <row r="93" spans="1:28" x14ac:dyDescent="0.25">
      <c r="A93" s="9" t="s">
        <v>183</v>
      </c>
      <c r="B93" s="10" t="s">
        <v>236</v>
      </c>
      <c r="C93" s="10" t="s">
        <v>237</v>
      </c>
      <c r="D93" s="10" t="str">
        <f>VLOOKUP(C93,Setup!A:F,3,)</f>
        <v>Hairspray DELIVEA superstrong hold, 300 ml</v>
      </c>
      <c r="E93" s="10" t="str">
        <f>VLOOKUP(C93,Setup!A:F,4,)</f>
        <v>DELIVEA</v>
      </c>
      <c r="F93" s="10" t="str">
        <f>VLOOKUP(C93,Setup!A:F,5,)</f>
        <v>HAIR CARE</v>
      </c>
      <c r="G93" s="10" t="str">
        <f>VLOOKUP(C93,Setup!A:F,6,)</f>
        <v>Hairspray</v>
      </c>
      <c r="H93" s="11" t="s">
        <v>395</v>
      </c>
      <c r="I93" s="32">
        <v>43920</v>
      </c>
      <c r="J93" s="12">
        <f>14637+28749</f>
        <v>43386</v>
      </c>
      <c r="K93" s="13">
        <v>150</v>
      </c>
      <c r="L93" s="13">
        <f>15+120</f>
        <v>135</v>
      </c>
      <c r="M93" s="13">
        <f>45</f>
        <v>45</v>
      </c>
      <c r="N93" s="5">
        <f>150+65</f>
        <v>215</v>
      </c>
      <c r="O93" s="1" t="s">
        <v>4851</v>
      </c>
      <c r="P93" s="13">
        <f>31-10+370+300</f>
        <v>691</v>
      </c>
      <c r="Q93" s="5">
        <f>3+1+12</f>
        <v>16</v>
      </c>
      <c r="R93" s="5">
        <f>1+2+27+3</f>
        <v>33</v>
      </c>
      <c r="S93" s="5"/>
      <c r="T93" s="5"/>
      <c r="U93" s="5">
        <f>6+6</f>
        <v>12</v>
      </c>
      <c r="V93" s="40">
        <f t="shared" si="6"/>
        <v>3.6864660614718218E-4</v>
      </c>
      <c r="W93" s="40">
        <f t="shared" si="7"/>
        <v>7.6003592897118768E-4</v>
      </c>
      <c r="X93" s="40">
        <f t="shared" si="8"/>
        <v>2.7651043826904464E-4</v>
      </c>
      <c r="Y93" s="2">
        <f t="shared" si="9"/>
        <v>0.67109048723897913</v>
      </c>
      <c r="Z93" s="2">
        <f t="shared" si="10"/>
        <v>0.99923996407102877</v>
      </c>
      <c r="AA93" s="2">
        <f t="shared" si="11"/>
        <v>0.6705804343570867</v>
      </c>
      <c r="AB93" s="23"/>
    </row>
    <row r="94" spans="1:28" x14ac:dyDescent="0.25">
      <c r="A94" s="9" t="s">
        <v>183</v>
      </c>
      <c r="B94" s="10" t="s">
        <v>330</v>
      </c>
      <c r="C94" s="10" t="s">
        <v>246</v>
      </c>
      <c r="D94" s="10" t="str">
        <f>VLOOKUP(C94,Setup!A:F,3,)</f>
        <v>Shaving foam DELIVEA for sensitive skin man, 300 ml</v>
      </c>
      <c r="E94" s="10" t="str">
        <f>VLOOKUP(C94,Setup!A:F,4,)</f>
        <v>DELIVEA</v>
      </c>
      <c r="F94" s="10" t="str">
        <f>VLOOKUP(C94,Setup!A:F,5,)</f>
        <v>BODY CARE</v>
      </c>
      <c r="G94" s="10" t="str">
        <f>VLOOKUP(C94,Setup!A:F,6,)</f>
        <v>Shaving foam</v>
      </c>
      <c r="H94" s="11" t="s">
        <v>396</v>
      </c>
      <c r="I94" s="31">
        <v>21108</v>
      </c>
      <c r="J94" s="12">
        <v>21231</v>
      </c>
      <c r="K94" s="13">
        <v>140</v>
      </c>
      <c r="L94" s="13">
        <v>60</v>
      </c>
      <c r="M94" s="13">
        <f>15</f>
        <v>15</v>
      </c>
      <c r="N94" s="5"/>
      <c r="O94" s="1"/>
      <c r="P94" s="13">
        <v>228</v>
      </c>
      <c r="Q94" s="5">
        <v>6</v>
      </c>
      <c r="R94" s="5">
        <v>5</v>
      </c>
      <c r="S94" s="5"/>
      <c r="T94" s="5"/>
      <c r="U94" s="5">
        <v>6</v>
      </c>
      <c r="V94" s="40">
        <f t="shared" si="6"/>
        <v>2.8252578047746857E-4</v>
      </c>
      <c r="W94" s="40">
        <f t="shared" si="7"/>
        <v>2.3544923714447166E-4</v>
      </c>
      <c r="X94" s="40">
        <f t="shared" si="8"/>
        <v>2.8252578047746857E-4</v>
      </c>
      <c r="Y94" s="2">
        <f t="shared" si="9"/>
        <v>0.71197183098591554</v>
      </c>
      <c r="Z94" s="2">
        <f t="shared" si="10"/>
        <v>0.99976455076285553</v>
      </c>
      <c r="AA94" s="2">
        <f t="shared" si="11"/>
        <v>0.71180419776144155</v>
      </c>
      <c r="AB94" s="23"/>
    </row>
    <row r="95" spans="1:28" x14ac:dyDescent="0.25">
      <c r="A95" s="9" t="s">
        <v>183</v>
      </c>
      <c r="B95" s="10" t="s">
        <v>218</v>
      </c>
      <c r="C95" s="10" t="s">
        <v>219</v>
      </c>
      <c r="D95" s="10" t="str">
        <f>VLOOKUP(C95,Setup!A:F,3,)</f>
        <v>Deodorant EDISON Golden Amber for men, 150 ml</v>
      </c>
      <c r="E95" s="10" t="str">
        <f>VLOOKUP(C95,Setup!A:F,4,)</f>
        <v>EDISON</v>
      </c>
      <c r="F95" s="10" t="str">
        <f>VLOOKUP(C95,Setup!A:F,5,)</f>
        <v>BODY CARE</v>
      </c>
      <c r="G95" s="10" t="str">
        <f>VLOOKUP(C95,Setup!A:F,6,)</f>
        <v>Deodorant</v>
      </c>
      <c r="H95" s="11" t="s">
        <v>397</v>
      </c>
      <c r="I95" s="34">
        <v>20130</v>
      </c>
      <c r="J95" s="12">
        <v>20112</v>
      </c>
      <c r="K95" s="13">
        <v>150</v>
      </c>
      <c r="L95" s="13">
        <v>30</v>
      </c>
      <c r="M95" s="13">
        <v>30</v>
      </c>
      <c r="N95" s="5"/>
      <c r="O95" s="1"/>
      <c r="P95" s="13">
        <v>205</v>
      </c>
      <c r="Q95" s="5">
        <v>2</v>
      </c>
      <c r="R95" s="5">
        <v>4</v>
      </c>
      <c r="S95" s="5"/>
      <c r="T95" s="5"/>
      <c r="U95" s="5">
        <v>6</v>
      </c>
      <c r="V95" s="40">
        <f t="shared" si="6"/>
        <v>9.9433230585661725E-5</v>
      </c>
      <c r="W95" s="40">
        <f t="shared" si="7"/>
        <v>1.9884668920262477E-4</v>
      </c>
      <c r="X95" s="40">
        <f t="shared" si="8"/>
        <v>2.9824038174768865E-4</v>
      </c>
      <c r="Y95" s="2">
        <f t="shared" si="9"/>
        <v>0.76617142857142861</v>
      </c>
      <c r="Z95" s="2">
        <f t="shared" si="10"/>
        <v>0.99980115331079733</v>
      </c>
      <c r="AA95" s="2">
        <f t="shared" si="11"/>
        <v>0.76601907791949553</v>
      </c>
      <c r="AB95" s="23"/>
    </row>
    <row r="96" spans="1:28" x14ac:dyDescent="0.25">
      <c r="A96" s="9" t="s">
        <v>183</v>
      </c>
      <c r="B96" s="10" t="s">
        <v>224</v>
      </c>
      <c r="C96" s="10" t="s">
        <v>225</v>
      </c>
      <c r="D96" s="10" t="str">
        <f>VLOOKUP(C96,Setup!A:F,3,)</f>
        <v>Deodorant EDISON Orange Bergamot for men, 150 ml</v>
      </c>
      <c r="E96" s="10" t="str">
        <f>VLOOKUP(C96,Setup!A:F,4,)</f>
        <v>EDISON</v>
      </c>
      <c r="F96" s="10" t="str">
        <f>VLOOKUP(C96,Setup!A:F,5,)</f>
        <v>BODY CARE</v>
      </c>
      <c r="G96" s="10" t="str">
        <f>VLOOKUP(C96,Setup!A:F,6,)</f>
        <v>Deodorant</v>
      </c>
      <c r="H96" s="11" t="s">
        <v>398</v>
      </c>
      <c r="I96" s="34">
        <v>20130</v>
      </c>
      <c r="J96" s="12">
        <v>20124</v>
      </c>
      <c r="K96" s="13">
        <v>150</v>
      </c>
      <c r="L96" s="13">
        <v>15</v>
      </c>
      <c r="M96" s="13">
        <v>0</v>
      </c>
      <c r="N96" s="5"/>
      <c r="O96" s="1"/>
      <c r="P96" s="13">
        <v>157</v>
      </c>
      <c r="Q96" s="5"/>
      <c r="R96" s="5">
        <v>1</v>
      </c>
      <c r="S96" s="5"/>
      <c r="T96" s="5"/>
      <c r="U96" s="5">
        <v>6</v>
      </c>
      <c r="V96" s="40">
        <f t="shared" si="6"/>
        <v>0</v>
      </c>
      <c r="W96" s="40">
        <f t="shared" si="7"/>
        <v>4.968944099378882E-5</v>
      </c>
      <c r="X96" s="40">
        <f t="shared" si="8"/>
        <v>2.9806259314456036E-4</v>
      </c>
      <c r="Y96" s="2">
        <f t="shared" si="9"/>
        <v>0.85452229299363058</v>
      </c>
      <c r="Z96" s="2">
        <f t="shared" si="10"/>
        <v>0.99995031055900618</v>
      </c>
      <c r="AA96" s="2">
        <f t="shared" si="11"/>
        <v>0.85447983225857493</v>
      </c>
      <c r="AB96" s="23"/>
    </row>
    <row r="97" spans="1:28" x14ac:dyDescent="0.25">
      <c r="A97" s="9" t="s">
        <v>183</v>
      </c>
      <c r="B97" s="10" t="s">
        <v>221</v>
      </c>
      <c r="C97" s="10" t="s">
        <v>222</v>
      </c>
      <c r="D97" s="10" t="str">
        <f>VLOOKUP(C97,Setup!A:F,3,)</f>
        <v>Deodorant EDISON Green Vetiver for men, 150 ml</v>
      </c>
      <c r="E97" s="10" t="str">
        <f>VLOOKUP(C97,Setup!A:F,4,)</f>
        <v>EDISON</v>
      </c>
      <c r="F97" s="10" t="str">
        <f>VLOOKUP(C97,Setup!A:F,5,)</f>
        <v>BODY CARE</v>
      </c>
      <c r="G97" s="10" t="str">
        <f>VLOOKUP(C97,Setup!A:F,6,)</f>
        <v>Deodorant</v>
      </c>
      <c r="H97" s="11" t="s">
        <v>399</v>
      </c>
      <c r="I97" s="34">
        <v>20130</v>
      </c>
      <c r="J97" s="12">
        <v>20124</v>
      </c>
      <c r="K97" s="13">
        <v>150</v>
      </c>
      <c r="L97" s="13">
        <v>15</v>
      </c>
      <c r="M97" s="13">
        <v>0</v>
      </c>
      <c r="N97" s="5"/>
      <c r="O97" s="1"/>
      <c r="P97" s="13">
        <v>168</v>
      </c>
      <c r="Q97" s="5">
        <v>8</v>
      </c>
      <c r="R97" s="5">
        <v>4</v>
      </c>
      <c r="S97" s="5"/>
      <c r="T97" s="5"/>
      <c r="U97" s="5">
        <v>6</v>
      </c>
      <c r="V97" s="40">
        <f t="shared" si="6"/>
        <v>3.9737730975561295E-4</v>
      </c>
      <c r="W97" s="40">
        <f t="shared" si="7"/>
        <v>1.9872813990461051E-4</v>
      </c>
      <c r="X97" s="40">
        <f t="shared" si="8"/>
        <v>2.9806259314456036E-4</v>
      </c>
      <c r="Y97" s="2">
        <f t="shared" si="9"/>
        <v>0.7985714285714286</v>
      </c>
      <c r="Z97" s="2">
        <f t="shared" si="10"/>
        <v>0.99980127186009538</v>
      </c>
      <c r="AA97" s="2">
        <f t="shared" si="11"/>
        <v>0.79841272995684764</v>
      </c>
      <c r="AB97" s="23"/>
    </row>
    <row r="98" spans="1:28" x14ac:dyDescent="0.25">
      <c r="A98" s="9" t="s">
        <v>183</v>
      </c>
      <c r="B98" s="10" t="s">
        <v>227</v>
      </c>
      <c r="C98" s="10" t="s">
        <v>228</v>
      </c>
      <c r="D98" s="10" t="str">
        <f>VLOOKUP(C98,Setup!A:F,3,)</f>
        <v>Deodorant EDISON Blue Aqua for men, 150 ml</v>
      </c>
      <c r="E98" s="10" t="str">
        <f>VLOOKUP(C98,Setup!A:F,4,)</f>
        <v>EDISON</v>
      </c>
      <c r="F98" s="10" t="str">
        <f>VLOOKUP(C98,Setup!A:F,5,)</f>
        <v>BODY CARE</v>
      </c>
      <c r="G98" s="10" t="str">
        <f>VLOOKUP(C98,Setup!A:F,6,)</f>
        <v>Deodorant</v>
      </c>
      <c r="H98" s="11" t="s">
        <v>400</v>
      </c>
      <c r="I98" s="34">
        <v>20130</v>
      </c>
      <c r="J98" s="12">
        <f>1404+18720</f>
        <v>20124</v>
      </c>
      <c r="K98" s="13">
        <v>150</v>
      </c>
      <c r="L98" s="13">
        <v>15</v>
      </c>
      <c r="M98" s="13">
        <v>0</v>
      </c>
      <c r="N98" s="5"/>
      <c r="O98" s="1"/>
      <c r="P98" s="13">
        <f>32-10+172</f>
        <v>194</v>
      </c>
      <c r="Q98" s="5">
        <v>3</v>
      </c>
      <c r="R98" s="5">
        <v>6</v>
      </c>
      <c r="S98" s="5"/>
      <c r="T98" s="5"/>
      <c r="U98" s="5">
        <v>6</v>
      </c>
      <c r="V98" s="40">
        <f t="shared" si="6"/>
        <v>1.4905351021016544E-4</v>
      </c>
      <c r="W98" s="40">
        <f t="shared" si="7"/>
        <v>2.9806259314456036E-4</v>
      </c>
      <c r="X98" s="40">
        <f t="shared" si="8"/>
        <v>2.9806259314456036E-4</v>
      </c>
      <c r="Y98" s="2">
        <f t="shared" si="9"/>
        <v>0.69154639175257737</v>
      </c>
      <c r="Z98" s="2">
        <f t="shared" si="10"/>
        <v>0.99970193740685542</v>
      </c>
      <c r="AA98" s="2">
        <f t="shared" si="11"/>
        <v>0.69134026764177181</v>
      </c>
      <c r="AB98" s="23"/>
    </row>
    <row r="99" spans="1:28" x14ac:dyDescent="0.25">
      <c r="A99" s="9" t="s">
        <v>183</v>
      </c>
      <c r="B99" s="10" t="s">
        <v>401</v>
      </c>
      <c r="C99" s="10" t="s">
        <v>402</v>
      </c>
      <c r="D99" s="10" t="str">
        <f>VLOOKUP(C99,Setup!A:F,3,)</f>
        <v>Shaving foam EDISON all skin types with aloe vera, 300 ml, Sl</v>
      </c>
      <c r="E99" s="10" t="str">
        <f>VLOOKUP(C99,Setup!A:F,4,)</f>
        <v>EDISON</v>
      </c>
      <c r="F99" s="10" t="str">
        <f>VLOOKUP(C99,Setup!A:F,5,)</f>
        <v>BODY CARE</v>
      </c>
      <c r="G99" s="10" t="str">
        <f>VLOOKUP(C99,Setup!A:F,6,)</f>
        <v>Shaving foam</v>
      </c>
      <c r="H99" s="11" t="s">
        <v>403</v>
      </c>
      <c r="I99" s="31">
        <v>13877</v>
      </c>
      <c r="J99" s="12">
        <v>13920</v>
      </c>
      <c r="K99" s="13">
        <v>140</v>
      </c>
      <c r="L99" s="13">
        <v>60</v>
      </c>
      <c r="M99" s="13">
        <v>30</v>
      </c>
      <c r="N99" s="5"/>
      <c r="O99" s="1"/>
      <c r="P99" s="13">
        <v>260</v>
      </c>
      <c r="Q99" s="5">
        <v>3</v>
      </c>
      <c r="R99" s="5">
        <v>6</v>
      </c>
      <c r="S99" s="5"/>
      <c r="T99" s="5"/>
      <c r="U99" s="5">
        <v>6</v>
      </c>
      <c r="V99" s="40">
        <f t="shared" si="6"/>
        <v>2.1547080370609782E-4</v>
      </c>
      <c r="W99" s="40">
        <f t="shared" si="7"/>
        <v>4.3084877208099956E-4</v>
      </c>
      <c r="X99" s="40">
        <f t="shared" si="8"/>
        <v>4.3084877208099956E-4</v>
      </c>
      <c r="Y99" s="2">
        <f t="shared" si="9"/>
        <v>0.43229813664596273</v>
      </c>
      <c r="Z99" s="2">
        <f t="shared" si="10"/>
        <v>0.99956915122791901</v>
      </c>
      <c r="AA99" s="2">
        <f t="shared" si="11"/>
        <v>0.43211188152461594</v>
      </c>
      <c r="AB99" s="23"/>
    </row>
    <row r="100" spans="1:28" x14ac:dyDescent="0.25">
      <c r="A100" s="9" t="s">
        <v>183</v>
      </c>
      <c r="B100" s="10" t="s">
        <v>404</v>
      </c>
      <c r="C100" s="10" t="s">
        <v>405</v>
      </c>
      <c r="D100" s="10" t="str">
        <f>VLOOKUP(C100,Setup!A:F,3,)</f>
        <v>Shaving foam EDISON for sensitive skin with vitamins, 300 ml, Sl</v>
      </c>
      <c r="E100" s="10" t="str">
        <f>VLOOKUP(C100,Setup!A:F,4,)</f>
        <v>EDISON</v>
      </c>
      <c r="F100" s="10" t="str">
        <f>VLOOKUP(C100,Setup!A:F,5,)</f>
        <v>BODY CARE</v>
      </c>
      <c r="G100" s="10" t="str">
        <f>VLOOKUP(C100,Setup!A:F,6,)</f>
        <v>Shaving foam</v>
      </c>
      <c r="H100" s="11" t="s">
        <v>406</v>
      </c>
      <c r="I100" s="31">
        <v>13877</v>
      </c>
      <c r="J100" s="12">
        <v>13668</v>
      </c>
      <c r="K100" s="13">
        <v>140</v>
      </c>
      <c r="L100" s="13">
        <v>15</v>
      </c>
      <c r="M100" s="13">
        <v>0</v>
      </c>
      <c r="N100" s="5">
        <v>14</v>
      </c>
      <c r="O100" s="1" t="s">
        <v>4853</v>
      </c>
      <c r="P100" s="13">
        <v>145</v>
      </c>
      <c r="Q100" s="5">
        <v>2</v>
      </c>
      <c r="R100" s="5">
        <v>4</v>
      </c>
      <c r="S100" s="5"/>
      <c r="T100" s="5"/>
      <c r="U100" s="5">
        <v>6</v>
      </c>
      <c r="V100" s="40">
        <f t="shared" si="6"/>
        <v>1.463057790782736E-4</v>
      </c>
      <c r="W100" s="40">
        <f t="shared" si="7"/>
        <v>2.9256875365710943E-4</v>
      </c>
      <c r="X100" s="40">
        <f t="shared" si="8"/>
        <v>4.3878894251864854E-4</v>
      </c>
      <c r="Y100" s="2">
        <f t="shared" si="9"/>
        <v>0.74525627044711018</v>
      </c>
      <c r="Z100" s="2">
        <f t="shared" si="10"/>
        <v>0.99970743124634287</v>
      </c>
      <c r="AA100" s="2">
        <f t="shared" si="11"/>
        <v>0.74503823174891026</v>
      </c>
      <c r="AB100" s="23"/>
    </row>
    <row r="101" spans="1:28" x14ac:dyDescent="0.25">
      <c r="A101" s="9" t="s">
        <v>183</v>
      </c>
      <c r="B101" s="10" t="s">
        <v>407</v>
      </c>
      <c r="C101" s="10" t="s">
        <v>299</v>
      </c>
      <c r="D101" s="10" t="str">
        <f>VLOOKUP(C101,Setup!A:F,3,)</f>
        <v>Shaving foam LENTA for sensitive skin, 200 ml, Sl</v>
      </c>
      <c r="E101" s="10" t="str">
        <f>VLOOKUP(C101,Setup!A:F,4,)</f>
        <v>365 DNEY</v>
      </c>
      <c r="F101" s="10" t="str">
        <f>VLOOKUP(C101,Setup!A:F,5,)</f>
        <v>BODY CARE</v>
      </c>
      <c r="G101" s="10" t="str">
        <f>VLOOKUP(C101,Setup!A:F,6,)</f>
        <v>Shaving foam</v>
      </c>
      <c r="H101" s="11" t="s">
        <v>408</v>
      </c>
      <c r="I101" s="31">
        <v>1700</v>
      </c>
      <c r="J101" s="12">
        <f>1884</f>
        <v>1884</v>
      </c>
      <c r="K101" s="13">
        <v>140</v>
      </c>
      <c r="L101" s="13">
        <v>15</v>
      </c>
      <c r="M101" s="13">
        <v>0</v>
      </c>
      <c r="N101" s="5">
        <v>60</v>
      </c>
      <c r="O101" s="1" t="s">
        <v>4852</v>
      </c>
      <c r="P101" s="13">
        <v>83</v>
      </c>
      <c r="Q101" s="5">
        <v>7</v>
      </c>
      <c r="R101" s="5">
        <v>1</v>
      </c>
      <c r="S101" s="5"/>
      <c r="T101" s="5"/>
      <c r="U101" s="5">
        <v>4</v>
      </c>
      <c r="V101" s="40">
        <f t="shared" si="6"/>
        <v>3.7017451084082496E-3</v>
      </c>
      <c r="W101" s="40">
        <f t="shared" si="7"/>
        <v>5.305039787798408E-4</v>
      </c>
      <c r="X101" s="40">
        <f t="shared" si="8"/>
        <v>2.1186440677966102E-3</v>
      </c>
      <c r="Y101" s="2">
        <f t="shared" si="9"/>
        <v>0.58509316770186337</v>
      </c>
      <c r="Z101" s="2">
        <f t="shared" si="10"/>
        <v>0.99946949602122015</v>
      </c>
      <c r="AA101" s="2">
        <f t="shared" si="11"/>
        <v>0.58478277344844065</v>
      </c>
      <c r="AB101" s="23"/>
    </row>
    <row r="102" spans="1:28" x14ac:dyDescent="0.25">
      <c r="A102" s="9" t="s">
        <v>183</v>
      </c>
      <c r="B102" s="10" t="s">
        <v>409</v>
      </c>
      <c r="C102" s="10" t="s">
        <v>325</v>
      </c>
      <c r="D102" s="10" t="str">
        <f>VLOOKUP(C102,Setup!A:F,3,)</f>
        <v>Shaving foam SPORT STAR for sensitive skin women, 200 ml</v>
      </c>
      <c r="E102" s="10" t="str">
        <f>VLOOKUP(C102,Setup!A:F,4,)</f>
        <v>SPORT STAR</v>
      </c>
      <c r="F102" s="10" t="str">
        <f>VLOOKUP(C102,Setup!A:F,5,)</f>
        <v>BODY CARE</v>
      </c>
      <c r="G102" s="10" t="str">
        <f>VLOOKUP(C102,Setup!A:F,6,)</f>
        <v>Shaving foam</v>
      </c>
      <c r="H102" s="11" t="s">
        <v>410</v>
      </c>
      <c r="I102" s="31">
        <v>1800</v>
      </c>
      <c r="J102" s="12">
        <v>1824</v>
      </c>
      <c r="K102" s="13">
        <v>140</v>
      </c>
      <c r="L102" s="13">
        <v>15</v>
      </c>
      <c r="M102" s="13">
        <v>0</v>
      </c>
      <c r="N102" s="5"/>
      <c r="O102" s="1"/>
      <c r="P102" s="13">
        <v>29</v>
      </c>
      <c r="Q102" s="5">
        <v>4</v>
      </c>
      <c r="R102" s="5">
        <v>1</v>
      </c>
      <c r="S102" s="5"/>
      <c r="T102" s="5"/>
      <c r="U102" s="5">
        <v>4</v>
      </c>
      <c r="V102" s="40">
        <f t="shared" si="6"/>
        <v>2.1881838074398249E-3</v>
      </c>
      <c r="W102" s="40">
        <f t="shared" si="7"/>
        <v>5.4794520547945202E-4</v>
      </c>
      <c r="X102" s="40">
        <f t="shared" si="8"/>
        <v>2.1881838074398249E-3</v>
      </c>
      <c r="Y102" s="2">
        <f t="shared" si="9"/>
        <v>0.44926108374384238</v>
      </c>
      <c r="Z102" s="2">
        <f t="shared" si="10"/>
        <v>0.99945205479452059</v>
      </c>
      <c r="AA102" s="2">
        <f t="shared" si="11"/>
        <v>0.44901491328699644</v>
      </c>
      <c r="AB102" s="23"/>
    </row>
    <row r="103" spans="1:28" x14ac:dyDescent="0.25">
      <c r="A103" s="9" t="s">
        <v>183</v>
      </c>
      <c r="B103" s="10" t="s">
        <v>301</v>
      </c>
      <c r="C103" s="10" t="s">
        <v>302</v>
      </c>
      <c r="D103" s="10" t="str">
        <f>VLOOKUP(C103,Setup!A:F,3,)</f>
        <v>Shaving foam SPORT STAR Sensеtive for sensitive skin with menthol, 200 ml</v>
      </c>
      <c r="E103" s="10" t="str">
        <f>VLOOKUP(C103,Setup!A:F,4,)</f>
        <v>SPORT STAR</v>
      </c>
      <c r="F103" s="10" t="str">
        <f>VLOOKUP(C103,Setup!A:F,5,)</f>
        <v>BODY CARE</v>
      </c>
      <c r="G103" s="10" t="str">
        <f>VLOOKUP(C103,Setup!A:F,6,)</f>
        <v>Shaving foam</v>
      </c>
      <c r="H103" s="11" t="s">
        <v>411</v>
      </c>
      <c r="I103" s="31">
        <v>8200</v>
      </c>
      <c r="J103" s="12">
        <f>1632+6636</f>
        <v>8268</v>
      </c>
      <c r="K103" s="13">
        <v>140</v>
      </c>
      <c r="L103" s="13">
        <v>15</v>
      </c>
      <c r="M103" s="13">
        <v>0</v>
      </c>
      <c r="N103" s="5"/>
      <c r="O103" s="1"/>
      <c r="P103" s="13">
        <f>46-10+80</f>
        <v>116</v>
      </c>
      <c r="Q103" s="5">
        <f>1+2</f>
        <v>3</v>
      </c>
      <c r="R103" s="5">
        <f>1+28</f>
        <v>29</v>
      </c>
      <c r="S103" s="5"/>
      <c r="T103" s="5"/>
      <c r="U103" s="5">
        <v>6</v>
      </c>
      <c r="V103" s="40">
        <f t="shared" si="6"/>
        <v>3.6271309394269132E-4</v>
      </c>
      <c r="W103" s="40">
        <f t="shared" si="7"/>
        <v>3.4952392430999154E-3</v>
      </c>
      <c r="X103" s="40">
        <f t="shared" si="8"/>
        <v>7.2516316171138508E-4</v>
      </c>
      <c r="Y103" s="2">
        <f t="shared" si="9"/>
        <v>0.50911330049261083</v>
      </c>
      <c r="Z103" s="2">
        <f t="shared" si="10"/>
        <v>0.99650476075690009</v>
      </c>
      <c r="AA103" s="2">
        <f t="shared" si="11"/>
        <v>0.50733382770554492</v>
      </c>
      <c r="AB103" s="23"/>
    </row>
    <row r="104" spans="1:28" x14ac:dyDescent="0.25">
      <c r="A104" s="9" t="s">
        <v>183</v>
      </c>
      <c r="B104" s="10" t="s">
        <v>251</v>
      </c>
      <c r="C104" s="10" t="s">
        <v>252</v>
      </c>
      <c r="D104" s="10" t="str">
        <f>VLOOKUP(C104,Setup!A:F,3,)</f>
        <v>Shaving foam LA FRESH for sensitive skin, 200 ml</v>
      </c>
      <c r="E104" s="10" t="str">
        <f>VLOOKUP(C104,Setup!A:F,4,)</f>
        <v>LA FRESH</v>
      </c>
      <c r="F104" s="10" t="str">
        <f>VLOOKUP(C104,Setup!A:F,5,)</f>
        <v>BODY CARE</v>
      </c>
      <c r="G104" s="10" t="str">
        <f>VLOOKUP(C104,Setup!A:F,6,)</f>
        <v>Shaving foam</v>
      </c>
      <c r="H104" s="11" t="s">
        <v>412</v>
      </c>
      <c r="I104" s="31">
        <v>3500</v>
      </c>
      <c r="J104" s="12">
        <v>4406</v>
      </c>
      <c r="K104" s="13">
        <v>140</v>
      </c>
      <c r="L104" s="13">
        <v>15</v>
      </c>
      <c r="M104" s="13">
        <v>0</v>
      </c>
      <c r="N104" s="5"/>
      <c r="O104" s="1"/>
      <c r="P104" s="13">
        <v>46</v>
      </c>
      <c r="Q104" s="5">
        <v>1</v>
      </c>
      <c r="R104" s="5">
        <v>2</v>
      </c>
      <c r="S104" s="5"/>
      <c r="T104" s="5"/>
      <c r="U104" s="5">
        <v>6</v>
      </c>
      <c r="V104" s="40">
        <f t="shared" si="6"/>
        <v>2.2691173133651009E-4</v>
      </c>
      <c r="W104" s="40">
        <f t="shared" si="7"/>
        <v>4.5372050816696913E-4</v>
      </c>
      <c r="X104" s="40">
        <f t="shared" si="8"/>
        <v>1.3599274705349048E-3</v>
      </c>
      <c r="Y104" s="2">
        <f t="shared" si="9"/>
        <v>0.68416149068322984</v>
      </c>
      <c r="Z104" s="2">
        <f t="shared" si="10"/>
        <v>0.99954627949183306</v>
      </c>
      <c r="AA104" s="2">
        <f t="shared" si="11"/>
        <v>0.68385107258400879</v>
      </c>
      <c r="AB104" s="23"/>
    </row>
    <row r="105" spans="1:28" x14ac:dyDescent="0.25">
      <c r="A105" s="9" t="s">
        <v>183</v>
      </c>
      <c r="B105" s="10" t="s">
        <v>309</v>
      </c>
      <c r="C105" s="10" t="s">
        <v>310</v>
      </c>
      <c r="D105" s="10" t="str">
        <f>VLOOKUP(C105,Setup!A:F,3,)</f>
        <v>Shaving foam BRAVE DAVE for sensitive skin man, 200 ml</v>
      </c>
      <c r="E105" s="10" t="str">
        <f>VLOOKUP(C105,Setup!A:F,4,)</f>
        <v>BRAVE DAVE</v>
      </c>
      <c r="F105" s="10" t="str">
        <f>VLOOKUP(C105,Setup!A:F,5,)</f>
        <v>BODY CARE</v>
      </c>
      <c r="G105" s="10" t="str">
        <f>VLOOKUP(C105,Setup!A:F,6,)</f>
        <v>Shaving foam</v>
      </c>
      <c r="H105" s="11" t="s">
        <v>413</v>
      </c>
      <c r="I105" s="31">
        <v>840</v>
      </c>
      <c r="J105" s="12">
        <v>1080</v>
      </c>
      <c r="K105" s="13">
        <v>140</v>
      </c>
      <c r="L105" s="13">
        <v>15</v>
      </c>
      <c r="M105" s="13">
        <v>0</v>
      </c>
      <c r="N105" s="5"/>
      <c r="O105" s="1"/>
      <c r="P105" s="13">
        <v>30</v>
      </c>
      <c r="Q105" s="5">
        <v>1</v>
      </c>
      <c r="R105" s="5">
        <v>6</v>
      </c>
      <c r="S105" s="5"/>
      <c r="T105" s="5"/>
      <c r="U105" s="5">
        <v>4</v>
      </c>
      <c r="V105" s="40">
        <f t="shared" si="6"/>
        <v>9.2506938020351531E-4</v>
      </c>
      <c r="W105" s="40">
        <f t="shared" si="7"/>
        <v>5.5248618784530384E-3</v>
      </c>
      <c r="X105" s="40">
        <f t="shared" si="8"/>
        <v>3.6900369003690036E-3</v>
      </c>
      <c r="Y105" s="2">
        <f t="shared" si="9"/>
        <v>0.25714285714285712</v>
      </c>
      <c r="Z105" s="2">
        <f t="shared" si="10"/>
        <v>0.99447513812154698</v>
      </c>
      <c r="AA105" s="2">
        <f t="shared" si="11"/>
        <v>0.25572217837411204</v>
      </c>
      <c r="AB105" s="23"/>
    </row>
    <row r="106" spans="1:28" x14ac:dyDescent="0.25">
      <c r="A106" s="9" t="s">
        <v>183</v>
      </c>
      <c r="B106" s="10" t="s">
        <v>312</v>
      </c>
      <c r="C106" s="10" t="s">
        <v>313</v>
      </c>
      <c r="D106" s="10" t="str">
        <f>VLOOKUP(C106,Setup!A:F,3,)</f>
        <v>Shaving foam BRAVE DAVE moisturizing effect for all skin types man, 200 ml</v>
      </c>
      <c r="E106" s="10" t="str">
        <f>VLOOKUP(C106,Setup!A:F,4,)</f>
        <v>BRAVE DAVE</v>
      </c>
      <c r="F106" s="10" t="str">
        <f>VLOOKUP(C106,Setup!A:F,5,)</f>
        <v>BODY CARE</v>
      </c>
      <c r="G106" s="10" t="str">
        <f>VLOOKUP(C106,Setup!A:F,6,)</f>
        <v>Shaving foam</v>
      </c>
      <c r="H106" s="11" t="s">
        <v>414</v>
      </c>
      <c r="I106" s="31">
        <v>930</v>
      </c>
      <c r="J106" s="12">
        <v>936</v>
      </c>
      <c r="K106" s="13">
        <v>140</v>
      </c>
      <c r="L106" s="13">
        <v>15</v>
      </c>
      <c r="M106" s="13">
        <v>0</v>
      </c>
      <c r="N106" s="5"/>
      <c r="O106" s="1"/>
      <c r="P106" s="13">
        <v>21</v>
      </c>
      <c r="Q106" s="5"/>
      <c r="R106" s="5"/>
      <c r="S106" s="5"/>
      <c r="T106" s="5"/>
      <c r="U106" s="5">
        <v>4</v>
      </c>
      <c r="V106" s="40">
        <f t="shared" si="6"/>
        <v>0</v>
      </c>
      <c r="W106" s="40">
        <f t="shared" si="7"/>
        <v>0</v>
      </c>
      <c r="X106" s="40">
        <f t="shared" si="8"/>
        <v>4.2553191489361703E-3</v>
      </c>
      <c r="Y106" s="2">
        <f t="shared" si="9"/>
        <v>0.3183673469387755</v>
      </c>
      <c r="Z106" s="2">
        <f t="shared" si="10"/>
        <v>1</v>
      </c>
      <c r="AA106" s="2">
        <f t="shared" si="11"/>
        <v>0.3183673469387755</v>
      </c>
      <c r="AB106" s="23"/>
    </row>
    <row r="107" spans="1:28" x14ac:dyDescent="0.25">
      <c r="A107" s="9" t="s">
        <v>183</v>
      </c>
      <c r="B107" s="10" t="s">
        <v>415</v>
      </c>
      <c r="C107" s="10" t="s">
        <v>416</v>
      </c>
      <c r="D107" s="10" t="str">
        <f>VLOOKUP(C107,Setup!A:F,3,)</f>
        <v>Deodorant EVERY DAY Diving Charge of Freshness woman, 150 ml</v>
      </c>
      <c r="E107" s="10" t="str">
        <f>VLOOKUP(C107,Setup!A:F,4,)</f>
        <v>KAZHDYI DEN</v>
      </c>
      <c r="F107" s="10" t="str">
        <f>VLOOKUP(C107,Setup!A:F,5,)</f>
        <v>BODY CARE</v>
      </c>
      <c r="G107" s="10" t="str">
        <f>VLOOKUP(C107,Setup!A:F,6,)</f>
        <v>Deodorant</v>
      </c>
      <c r="H107" s="11" t="s">
        <v>417</v>
      </c>
      <c r="I107" s="31">
        <v>3000</v>
      </c>
      <c r="J107" s="12">
        <v>3000</v>
      </c>
      <c r="K107" s="13">
        <v>150</v>
      </c>
      <c r="L107" s="13">
        <v>120</v>
      </c>
      <c r="M107" s="13">
        <v>0</v>
      </c>
      <c r="N107" s="5"/>
      <c r="O107" s="1"/>
      <c r="P107" s="13">
        <v>104</v>
      </c>
      <c r="Q107" s="5">
        <v>13</v>
      </c>
      <c r="R107" s="5">
        <v>2</v>
      </c>
      <c r="S107" s="5"/>
      <c r="T107" s="5"/>
      <c r="U107" s="5">
        <v>6</v>
      </c>
      <c r="V107" s="40">
        <f t="shared" si="6"/>
        <v>4.3146365748423501E-3</v>
      </c>
      <c r="W107" s="40">
        <f t="shared" si="7"/>
        <v>6.6622251832111927E-4</v>
      </c>
      <c r="X107" s="40">
        <f t="shared" si="8"/>
        <v>1.996007984031936E-3</v>
      </c>
      <c r="Y107" s="2">
        <f t="shared" si="9"/>
        <v>0.19230769230769232</v>
      </c>
      <c r="Z107" s="2">
        <f t="shared" si="10"/>
        <v>0.99933377748167884</v>
      </c>
      <c r="AA107" s="2">
        <f t="shared" si="11"/>
        <v>0.19217957259263055</v>
      </c>
      <c r="AB107" s="23"/>
    </row>
    <row r="108" spans="1:28" x14ac:dyDescent="0.25">
      <c r="A108" s="9" t="s">
        <v>183</v>
      </c>
      <c r="B108" s="10" t="s">
        <v>418</v>
      </c>
      <c r="C108" s="10" t="s">
        <v>419</v>
      </c>
      <c r="D108" s="10" t="str">
        <f>VLOOKUP(C108,Setup!A:F,3,)</f>
        <v>Deodorant EVERY DAY Fruit woman, 150 ml, Sl</v>
      </c>
      <c r="E108" s="10" t="str">
        <f>VLOOKUP(C108,Setup!A:F,4,)</f>
        <v>KAZHDYI DEN</v>
      </c>
      <c r="F108" s="10" t="str">
        <f>VLOOKUP(C108,Setup!A:F,5,)</f>
        <v>BODY CARE</v>
      </c>
      <c r="G108" s="10" t="str">
        <f>VLOOKUP(C108,Setup!A:F,6,)</f>
        <v>Deodorant</v>
      </c>
      <c r="H108" s="11" t="s">
        <v>420</v>
      </c>
      <c r="I108" s="31">
        <v>768</v>
      </c>
      <c r="J108" s="12">
        <v>792</v>
      </c>
      <c r="K108" s="13">
        <v>150</v>
      </c>
      <c r="L108" s="13">
        <v>15</v>
      </c>
      <c r="M108" s="13">
        <v>0</v>
      </c>
      <c r="N108" s="5"/>
      <c r="O108" s="1"/>
      <c r="P108" s="13">
        <v>20</v>
      </c>
      <c r="Q108" s="5">
        <v>7</v>
      </c>
      <c r="R108" s="5">
        <v>2</v>
      </c>
      <c r="S108" s="5"/>
      <c r="T108" s="5"/>
      <c r="U108" s="5">
        <v>4</v>
      </c>
      <c r="V108" s="40">
        <f t="shared" si="6"/>
        <v>8.7609511889862324E-3</v>
      </c>
      <c r="W108" s="40">
        <f t="shared" si="7"/>
        <v>2.5188916876574307E-3</v>
      </c>
      <c r="X108" s="40">
        <f t="shared" si="8"/>
        <v>5.0251256281407036E-3</v>
      </c>
      <c r="Y108" s="2">
        <f t="shared" si="9"/>
        <v>0.26400000000000001</v>
      </c>
      <c r="Z108" s="2">
        <f t="shared" si="10"/>
        <v>0.9974811083123426</v>
      </c>
      <c r="AA108" s="2">
        <f t="shared" si="11"/>
        <v>0.26333501259445846</v>
      </c>
      <c r="AB108" s="23"/>
    </row>
    <row r="109" spans="1:28" x14ac:dyDescent="0.25">
      <c r="A109" s="9" t="s">
        <v>183</v>
      </c>
      <c r="B109" s="10" t="s">
        <v>421</v>
      </c>
      <c r="C109" s="10" t="s">
        <v>422</v>
      </c>
      <c r="D109" s="10" t="str">
        <f>VLOOKUP(C109,Setup!A:F,3,)</f>
        <v>Deodorant KRASNAYA TSENA Аква-Floral woman, 150 ml</v>
      </c>
      <c r="E109" s="10" t="str">
        <f>VLOOKUP(C109,Setup!A:F,4,)</f>
        <v>KRASNAYA TSENA</v>
      </c>
      <c r="F109" s="10" t="str">
        <f>VLOOKUP(C109,Setup!A:F,5,)</f>
        <v>BODY CARE</v>
      </c>
      <c r="G109" s="10" t="str">
        <f>VLOOKUP(C109,Setup!A:F,6,)</f>
        <v>Deodorant</v>
      </c>
      <c r="H109" s="11" t="s">
        <v>423</v>
      </c>
      <c r="I109" s="31">
        <v>24000</v>
      </c>
      <c r="J109" s="12">
        <v>24648</v>
      </c>
      <c r="K109" s="13">
        <v>150</v>
      </c>
      <c r="L109" s="13">
        <v>15</v>
      </c>
      <c r="M109" s="13">
        <v>45</v>
      </c>
      <c r="N109" s="5">
        <v>30</v>
      </c>
      <c r="O109" s="1" t="s">
        <v>4854</v>
      </c>
      <c r="P109" s="13">
        <v>279</v>
      </c>
      <c r="Q109" s="5">
        <v>6</v>
      </c>
      <c r="R109" s="5">
        <v>5</v>
      </c>
      <c r="S109" s="5"/>
      <c r="T109" s="5"/>
      <c r="U109" s="5">
        <v>6</v>
      </c>
      <c r="V109" s="40">
        <f t="shared" si="6"/>
        <v>2.4336821611097589E-4</v>
      </c>
      <c r="W109" s="40">
        <f t="shared" si="7"/>
        <v>2.0281507321624143E-4</v>
      </c>
      <c r="X109" s="40">
        <f t="shared" si="8"/>
        <v>2.4336821611097589E-4</v>
      </c>
      <c r="Y109" s="2">
        <f t="shared" si="9"/>
        <v>0.80549019607843142</v>
      </c>
      <c r="Z109" s="2">
        <f t="shared" si="10"/>
        <v>0.99979718492678371</v>
      </c>
      <c r="AA109" s="2">
        <f t="shared" si="11"/>
        <v>0.80532683052533882</v>
      </c>
      <c r="AB109" s="23"/>
    </row>
    <row r="110" spans="1:28" x14ac:dyDescent="0.25">
      <c r="A110" s="9" t="s">
        <v>183</v>
      </c>
      <c r="B110" s="10" t="s">
        <v>361</v>
      </c>
      <c r="C110" s="10" t="s">
        <v>362</v>
      </c>
      <c r="D110" s="10" t="str">
        <f>VLOOKUP(C110,Setup!A:F,3,)</f>
        <v>Hairspray KRASNAYA TSENA superstrong hold, 200 ml</v>
      </c>
      <c r="E110" s="10" t="str">
        <f>VLOOKUP(C110,Setup!A:F,4,)</f>
        <v>KRASNAYA TSENA</v>
      </c>
      <c r="F110" s="10" t="str">
        <f>VLOOKUP(C110,Setup!A:F,5,)</f>
        <v>HAIR CARE</v>
      </c>
      <c r="G110" s="10" t="str">
        <f>VLOOKUP(C110,Setup!A:F,6,)</f>
        <v>Hairspray</v>
      </c>
      <c r="H110" s="11" t="s">
        <v>424</v>
      </c>
      <c r="I110" s="31">
        <v>48000</v>
      </c>
      <c r="J110" s="12">
        <f>12516+35172</f>
        <v>47688</v>
      </c>
      <c r="K110" s="13">
        <v>150</v>
      </c>
      <c r="L110" s="13">
        <v>15</v>
      </c>
      <c r="M110" s="13">
        <v>15</v>
      </c>
      <c r="N110" s="5"/>
      <c r="O110" s="1"/>
      <c r="P110" s="13">
        <f>155-10+290</f>
        <v>435</v>
      </c>
      <c r="Q110" s="5">
        <f>3+1</f>
        <v>4</v>
      </c>
      <c r="R110" s="5">
        <f>7+12</f>
        <v>19</v>
      </c>
      <c r="S110" s="5"/>
      <c r="T110" s="5"/>
      <c r="U110" s="5">
        <v>6</v>
      </c>
      <c r="V110" s="40">
        <f t="shared" si="6"/>
        <v>8.3871508848444186E-5</v>
      </c>
      <c r="W110" s="40">
        <f t="shared" si="7"/>
        <v>3.9826440564277778E-4</v>
      </c>
      <c r="X110" s="40">
        <f t="shared" si="8"/>
        <v>1.258019876714052E-4</v>
      </c>
      <c r="Y110" s="2">
        <f t="shared" si="9"/>
        <v>0.75695238095238093</v>
      </c>
      <c r="Z110" s="2">
        <f t="shared" si="10"/>
        <v>0.99960173559435728</v>
      </c>
      <c r="AA110" s="2">
        <f t="shared" si="11"/>
        <v>0.75665091376228111</v>
      </c>
      <c r="AB110" s="23"/>
    </row>
    <row r="111" spans="1:28" x14ac:dyDescent="0.25">
      <c r="I111" s="22">
        <f t="shared" ref="I111:J111" si="12">SUM(I2:I110)</f>
        <v>1692085</v>
      </c>
      <c r="J111" s="22">
        <f t="shared" si="12"/>
        <v>1698297</v>
      </c>
      <c r="K111" s="22"/>
      <c r="L111" s="22">
        <f t="shared" ref="L111" si="13">SUM(L2:L110)</f>
        <v>3130</v>
      </c>
      <c r="M111" s="22">
        <f t="shared" ref="M111" si="14">SUM(M2:M110)</f>
        <v>745</v>
      </c>
      <c r="N111" s="22">
        <f t="shared" ref="N111:T111" si="15">SUM(N2:N110)</f>
        <v>1558</v>
      </c>
      <c r="O111" s="4"/>
      <c r="P111" s="22">
        <f t="shared" si="15"/>
        <v>19491</v>
      </c>
      <c r="Q111" s="22">
        <f t="shared" si="15"/>
        <v>1049</v>
      </c>
      <c r="R111" s="22">
        <f t="shared" si="15"/>
        <v>894</v>
      </c>
      <c r="S111" s="22">
        <f t="shared" si="15"/>
        <v>0</v>
      </c>
      <c r="T111" s="22">
        <f t="shared" si="15"/>
        <v>0</v>
      </c>
      <c r="U111" s="22">
        <f>SUM(U2:U110)</f>
        <v>656</v>
      </c>
      <c r="V111" s="41">
        <f t="shared" si="6"/>
        <v>6.1729630104757948E-4</v>
      </c>
      <c r="W111" s="41">
        <f t="shared" si="7"/>
        <v>5.2613273022279424E-4</v>
      </c>
      <c r="X111" s="41">
        <f t="shared" si="8"/>
        <v>3.8612015753231548E-4</v>
      </c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A429-9F72-4C69-8A4B-15B5FC7FF47A}">
  <sheetPr>
    <pageSetUpPr fitToPage="1"/>
  </sheetPr>
  <dimension ref="A1:AB170"/>
  <sheetViews>
    <sheetView topLeftCell="B1" zoomScale="54" zoomScaleNormal="54" workbookViewId="0">
      <pane ySplit="1" topLeftCell="A2" activePane="bottomLeft" state="frozen"/>
      <selection pane="bottomLeft" activeCell="K1" sqref="K1"/>
    </sheetView>
  </sheetViews>
  <sheetFormatPr defaultColWidth="9" defaultRowHeight="15.75" x14ac:dyDescent="0.25"/>
  <cols>
    <col min="1" max="1" width="4.42578125" style="3" customWidth="1"/>
    <col min="2" max="2" width="77.5703125" style="3" customWidth="1"/>
    <col min="3" max="3" width="16.85546875" style="3" customWidth="1"/>
    <col min="4" max="4" width="68.5703125" style="3" customWidth="1"/>
    <col min="5" max="5" width="32.42578125" style="3" customWidth="1"/>
    <col min="6" max="6" width="24.7109375" style="3" customWidth="1"/>
    <col min="7" max="7" width="25.5703125" style="3" customWidth="1"/>
    <col min="8" max="8" width="9" style="3"/>
    <col min="9" max="9" width="14.28515625" style="3" customWidth="1"/>
    <col min="10" max="10" width="15.140625" style="3" customWidth="1"/>
    <col min="11" max="11" width="12.7109375" style="3" customWidth="1"/>
    <col min="12" max="12" width="9" style="3" customWidth="1"/>
    <col min="13" max="13" width="10.7109375" style="3" customWidth="1"/>
    <col min="14" max="14" width="14.7109375" style="3" customWidth="1"/>
    <col min="15" max="15" width="51.85546875" style="3" customWidth="1"/>
    <col min="16" max="16" width="10.5703125" style="3" customWidth="1"/>
    <col min="17" max="17" width="11.28515625" style="3" customWidth="1"/>
    <col min="18" max="18" width="16.85546875" style="3" customWidth="1"/>
    <col min="19" max="20" width="10.28515625" style="3" hidden="1" customWidth="1"/>
    <col min="21" max="24" width="17" style="3" customWidth="1"/>
    <col min="25" max="25" width="9.5703125" style="3" customWidth="1"/>
    <col min="26" max="27" width="9" style="3" customWidth="1"/>
    <col min="28" max="28" width="11.85546875" style="3" customWidth="1"/>
    <col min="29" max="16384" width="9" style="3"/>
  </cols>
  <sheetData>
    <row r="1" spans="1:28" ht="96.75" customHeight="1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1" t="s">
        <v>8</v>
      </c>
      <c r="J1" s="21" t="s">
        <v>9</v>
      </c>
      <c r="K1" s="21" t="s">
        <v>4861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4856</v>
      </c>
      <c r="W1" s="21" t="s">
        <v>4857</v>
      </c>
      <c r="X1" s="21" t="s">
        <v>4858</v>
      </c>
      <c r="Y1" s="21" t="s">
        <v>20</v>
      </c>
      <c r="Z1" s="21" t="s">
        <v>21</v>
      </c>
      <c r="AA1" s="21" t="s">
        <v>22</v>
      </c>
      <c r="AB1" s="21" t="s">
        <v>23</v>
      </c>
    </row>
    <row r="2" spans="1:28" x14ac:dyDescent="0.25">
      <c r="A2" s="15" t="s">
        <v>425</v>
      </c>
      <c r="B2" s="16" t="s">
        <v>426</v>
      </c>
      <c r="C2" s="10" t="s">
        <v>427</v>
      </c>
      <c r="D2" s="10" t="str">
        <f>VLOOKUP(C2,Setup!A:F,3,)</f>
        <v>Air freshener LIBERHAUS Tropical island, 250 ml</v>
      </c>
      <c r="E2" s="10" t="str">
        <f>VLOOKUP(C2,Setup!A:F,4,)</f>
        <v>LIBERHAUS</v>
      </c>
      <c r="F2" s="10" t="str">
        <f>VLOOKUP(C2,Setup!A:F,5,)</f>
        <v>AIR FRESHENERS</v>
      </c>
      <c r="G2" s="10" t="str">
        <f>VLOOKUP(C2,Setup!A:F,6,)</f>
        <v xml:space="preserve">Air fresheners refill </v>
      </c>
      <c r="H2" s="11" t="s">
        <v>428</v>
      </c>
      <c r="I2" s="35">
        <v>35360</v>
      </c>
      <c r="J2" s="12">
        <f>15312+20040</f>
        <v>35352</v>
      </c>
      <c r="K2" s="13">
        <v>84</v>
      </c>
      <c r="L2" s="13">
        <v>15</v>
      </c>
      <c r="M2" s="13">
        <v>0</v>
      </c>
      <c r="N2" s="1"/>
      <c r="O2" s="1"/>
      <c r="P2" s="17">
        <f>229+275</f>
        <v>504</v>
      </c>
      <c r="Q2" s="1">
        <f>2+1</f>
        <v>3</v>
      </c>
      <c r="R2" s="1"/>
      <c r="S2" s="1"/>
      <c r="T2" s="1"/>
      <c r="U2" s="1">
        <v>6</v>
      </c>
      <c r="V2" s="40">
        <f>Q2/(Q2+J2)</f>
        <v>8.4853627492575311E-5</v>
      </c>
      <c r="W2" s="40">
        <f>R2/(R2+J2)</f>
        <v>0</v>
      </c>
      <c r="X2" s="40">
        <f>U2/(U2+J2)</f>
        <v>1.6969285593076533E-4</v>
      </c>
      <c r="Y2" s="2">
        <f>(J2/(K2*(P2-M2-N2)))</f>
        <v>0.83503401360544216</v>
      </c>
      <c r="Z2" s="2">
        <f>(J2/(J2+R2+S2-T2))</f>
        <v>1</v>
      </c>
      <c r="AA2" s="2">
        <f>Y2*Z2</f>
        <v>0.83503401360544216</v>
      </c>
      <c r="AB2" s="1"/>
    </row>
    <row r="3" spans="1:28" x14ac:dyDescent="0.25">
      <c r="A3" s="15" t="s">
        <v>425</v>
      </c>
      <c r="B3" s="16" t="s">
        <v>429</v>
      </c>
      <c r="C3" s="10" t="s">
        <v>430</v>
      </c>
      <c r="D3" s="10" t="str">
        <f>VLOOKUP(C3,Setup!A:F,3,)</f>
        <v>Air freshener GREEN COLLECTION BY PROVENCE Fruit dessert, 250 ml</v>
      </c>
      <c r="E3" s="10" t="str">
        <f>VLOOKUP(C3,Setup!A:F,4,)</f>
        <v>GREEN COLLECTION BY PROVENCE</v>
      </c>
      <c r="F3" s="10" t="str">
        <f>VLOOKUP(C3,Setup!A:F,5,)</f>
        <v>AIR FRESHENERS</v>
      </c>
      <c r="G3" s="10" t="str">
        <f>VLOOKUP(C3,Setup!A:F,6,)</f>
        <v xml:space="preserve">Air fresheners refill </v>
      </c>
      <c r="H3" s="11" t="s">
        <v>431</v>
      </c>
      <c r="I3" s="31">
        <v>4200</v>
      </c>
      <c r="J3" s="12">
        <v>4224</v>
      </c>
      <c r="K3" s="13">
        <v>84</v>
      </c>
      <c r="L3" s="13">
        <v>15</v>
      </c>
      <c r="M3" s="13">
        <v>0</v>
      </c>
      <c r="N3" s="1"/>
      <c r="O3" s="1"/>
      <c r="P3" s="17">
        <v>65</v>
      </c>
      <c r="Q3" s="1">
        <v>4</v>
      </c>
      <c r="R3" s="1">
        <v>5</v>
      </c>
      <c r="S3" s="1"/>
      <c r="T3" s="1"/>
      <c r="U3" s="1">
        <v>4</v>
      </c>
      <c r="V3" s="40">
        <f t="shared" ref="V3:V66" si="0">Q3/(Q3+J3)</f>
        <v>9.4607379375591296E-4</v>
      </c>
      <c r="W3" s="40">
        <f t="shared" ref="W3:W66" si="1">R3/(R3+J3)</f>
        <v>1.1823126034523528E-3</v>
      </c>
      <c r="X3" s="40">
        <f t="shared" ref="X3:X66" si="2">U3/(U3+J3)</f>
        <v>9.4607379375591296E-4</v>
      </c>
      <c r="Y3" s="2">
        <f t="shared" ref="Y3:Y66" si="3">(J3/(K3*(P3-M3-N3)))</f>
        <v>0.77362637362637365</v>
      </c>
      <c r="Z3" s="2">
        <f t="shared" ref="Z3:Z66" si="4">(J3/(J3+R3+S3-T3))</f>
        <v>0.99881768739654764</v>
      </c>
      <c r="AA3" s="2">
        <f t="shared" ref="AA3:AA66" si="5">Y3*Z3</f>
        <v>0.77271170541447209</v>
      </c>
      <c r="AB3" s="1"/>
    </row>
    <row r="4" spans="1:28" x14ac:dyDescent="0.25">
      <c r="A4" s="15" t="s">
        <v>425</v>
      </c>
      <c r="B4" s="16" t="s">
        <v>432</v>
      </c>
      <c r="C4" s="10" t="s">
        <v>433</v>
      </c>
      <c r="D4" s="10" t="str">
        <f>VLOOKUP(C4,Setup!A:F,3,)</f>
        <v>Air freshener GREEN COLLECTION BY PROVENCEParadise pleasure, 250 ml</v>
      </c>
      <c r="E4" s="10" t="str">
        <f>VLOOKUP(C4,Setup!A:F,4,)</f>
        <v>GREEN COLLECTION BY PROVENCE</v>
      </c>
      <c r="F4" s="10" t="str">
        <f>VLOOKUP(C4,Setup!A:F,5,)</f>
        <v>AIR FRESHENERS</v>
      </c>
      <c r="G4" s="10" t="str">
        <f>VLOOKUP(C4,Setup!A:F,6,)</f>
        <v xml:space="preserve">Air fresheners refill </v>
      </c>
      <c r="H4" s="11" t="s">
        <v>434</v>
      </c>
      <c r="I4" s="31">
        <v>6000</v>
      </c>
      <c r="J4" s="12">
        <v>6108</v>
      </c>
      <c r="K4" s="13">
        <v>84</v>
      </c>
      <c r="L4" s="13">
        <v>15</v>
      </c>
      <c r="M4" s="13">
        <v>0</v>
      </c>
      <c r="N4" s="1"/>
      <c r="O4" s="1"/>
      <c r="P4" s="17">
        <v>96</v>
      </c>
      <c r="Q4" s="1">
        <v>3</v>
      </c>
      <c r="R4" s="1">
        <v>1</v>
      </c>
      <c r="S4" s="1"/>
      <c r="T4" s="1"/>
      <c r="U4" s="1">
        <v>6</v>
      </c>
      <c r="V4" s="40">
        <f t="shared" si="0"/>
        <v>4.9091801669121256E-4</v>
      </c>
      <c r="W4" s="40">
        <f t="shared" si="1"/>
        <v>1.636929120969062E-4</v>
      </c>
      <c r="X4" s="40">
        <f t="shared" si="2"/>
        <v>9.813542688910696E-4</v>
      </c>
      <c r="Y4" s="2">
        <f t="shared" si="3"/>
        <v>0.75744047619047616</v>
      </c>
      <c r="Z4" s="2">
        <f t="shared" si="4"/>
        <v>0.99983630708790305</v>
      </c>
      <c r="AA4" s="2">
        <f t="shared" si="5"/>
        <v>0.75731648855318845</v>
      </c>
      <c r="AB4" s="1"/>
    </row>
    <row r="5" spans="1:28" x14ac:dyDescent="0.25">
      <c r="A5" s="15" t="s">
        <v>425</v>
      </c>
      <c r="B5" s="16" t="s">
        <v>435</v>
      </c>
      <c r="C5" s="10" t="s">
        <v>436</v>
      </c>
      <c r="D5" s="10" t="str">
        <f>VLOOKUP(C5,Setup!A:F,3,)</f>
        <v xml:space="preserve">Air freshener GREEN COLLECTION BY PROVENCE Invigorating Lime, 250 ml, Gatter group </v>
      </c>
      <c r="E5" s="10" t="str">
        <f>VLOOKUP(C5,Setup!A:F,4,)</f>
        <v>GREEN COLLECTION BY PROVENCE</v>
      </c>
      <c r="F5" s="10" t="str">
        <f>VLOOKUP(C5,Setup!A:F,5,)</f>
        <v>AIR FRESHENERS</v>
      </c>
      <c r="G5" s="10" t="str">
        <f>VLOOKUP(C5,Setup!A:F,6,)</f>
        <v xml:space="preserve">Air fresheners refill </v>
      </c>
      <c r="H5" s="11" t="s">
        <v>437</v>
      </c>
      <c r="I5" s="31">
        <v>1000</v>
      </c>
      <c r="J5" s="12">
        <v>1008</v>
      </c>
      <c r="K5" s="13">
        <v>84</v>
      </c>
      <c r="L5" s="13">
        <v>15</v>
      </c>
      <c r="M5" s="13">
        <v>0</v>
      </c>
      <c r="N5" s="1"/>
      <c r="O5" s="1"/>
      <c r="P5" s="17">
        <v>20</v>
      </c>
      <c r="Q5" s="1">
        <v>19</v>
      </c>
      <c r="R5" s="1"/>
      <c r="S5" s="1"/>
      <c r="T5" s="1"/>
      <c r="U5" s="1">
        <v>4</v>
      </c>
      <c r="V5" s="40">
        <f t="shared" si="0"/>
        <v>1.8500486854917234E-2</v>
      </c>
      <c r="W5" s="40">
        <f t="shared" si="1"/>
        <v>0</v>
      </c>
      <c r="X5" s="40">
        <f t="shared" si="2"/>
        <v>3.952569169960474E-3</v>
      </c>
      <c r="Y5" s="2">
        <f t="shared" si="3"/>
        <v>0.6</v>
      </c>
      <c r="Z5" s="2">
        <f t="shared" si="4"/>
        <v>1</v>
      </c>
      <c r="AA5" s="2">
        <f t="shared" si="5"/>
        <v>0.6</v>
      </c>
      <c r="AB5" s="1"/>
    </row>
    <row r="6" spans="1:28" x14ac:dyDescent="0.25">
      <c r="A6" s="15" t="s">
        <v>425</v>
      </c>
      <c r="B6" s="16" t="s">
        <v>438</v>
      </c>
      <c r="C6" s="10" t="s">
        <v>439</v>
      </c>
      <c r="D6" s="10" t="str">
        <f>VLOOKUP(C6,Setup!A:F,3,)</f>
        <v>Air freshener GREEN COLLECTION BY PROVENCE Invigorating Lime, 250 ml</v>
      </c>
      <c r="E6" s="10" t="str">
        <f>VLOOKUP(C6,Setup!A:F,4,)</f>
        <v>GREEN COLLECTION BY PROVENCE</v>
      </c>
      <c r="F6" s="10" t="str">
        <f>VLOOKUP(C6,Setup!A:F,5,)</f>
        <v>AIR FRESHENERS</v>
      </c>
      <c r="G6" s="10" t="str">
        <f>VLOOKUP(C6,Setup!A:F,6,)</f>
        <v xml:space="preserve">Air fresheners refill </v>
      </c>
      <c r="H6" s="11" t="s">
        <v>437</v>
      </c>
      <c r="I6" s="31">
        <v>2200</v>
      </c>
      <c r="J6" s="12">
        <v>2244</v>
      </c>
      <c r="K6" s="13">
        <v>84</v>
      </c>
      <c r="L6" s="13">
        <v>0</v>
      </c>
      <c r="M6" s="13">
        <v>0</v>
      </c>
      <c r="N6" s="1"/>
      <c r="O6" s="1"/>
      <c r="P6" s="17">
        <v>40</v>
      </c>
      <c r="Q6" s="1"/>
      <c r="R6" s="1"/>
      <c r="S6" s="1"/>
      <c r="T6" s="1"/>
      <c r="U6" s="1"/>
      <c r="V6" s="40">
        <f t="shared" si="0"/>
        <v>0</v>
      </c>
      <c r="W6" s="40">
        <f t="shared" si="1"/>
        <v>0</v>
      </c>
      <c r="X6" s="40">
        <f t="shared" si="2"/>
        <v>0</v>
      </c>
      <c r="Y6" s="2">
        <f t="shared" si="3"/>
        <v>0.66785714285714282</v>
      </c>
      <c r="Z6" s="2">
        <f t="shared" si="4"/>
        <v>1</v>
      </c>
      <c r="AA6" s="2">
        <f t="shared" si="5"/>
        <v>0.66785714285714282</v>
      </c>
      <c r="AB6" s="1"/>
    </row>
    <row r="7" spans="1:28" x14ac:dyDescent="0.25">
      <c r="A7" s="15" t="s">
        <v>425</v>
      </c>
      <c r="B7" s="16" t="s">
        <v>440</v>
      </c>
      <c r="C7" s="10" t="s">
        <v>441</v>
      </c>
      <c r="D7" s="10" t="str">
        <f>VLOOKUP(C7,Setup!A:F,3,)</f>
        <v>Air freshener GREEN COLLECTION BY PROVENCE Antitabacco. Mango and vanila. Odor blocker, 250 ml</v>
      </c>
      <c r="E7" s="10" t="str">
        <f>VLOOKUP(C7,Setup!A:F,4,)</f>
        <v>GREEN COLLECTION BY PROVENCE</v>
      </c>
      <c r="F7" s="10" t="str">
        <f>VLOOKUP(C7,Setup!A:F,5,)</f>
        <v>AIR FRESHENERS</v>
      </c>
      <c r="G7" s="10" t="str">
        <f>VLOOKUP(C7,Setup!A:F,6,)</f>
        <v xml:space="preserve">Air fresheners refill </v>
      </c>
      <c r="H7" s="11" t="s">
        <v>442</v>
      </c>
      <c r="I7" s="31">
        <v>3100</v>
      </c>
      <c r="J7" s="12">
        <v>2088</v>
      </c>
      <c r="K7" s="13">
        <v>84</v>
      </c>
      <c r="L7" s="13">
        <v>15</v>
      </c>
      <c r="M7" s="13">
        <v>15</v>
      </c>
      <c r="N7" s="1"/>
      <c r="O7" s="1"/>
      <c r="P7" s="17">
        <v>70</v>
      </c>
      <c r="Q7" s="1">
        <v>5</v>
      </c>
      <c r="R7" s="1">
        <v>5</v>
      </c>
      <c r="S7" s="1"/>
      <c r="T7" s="1"/>
      <c r="U7" s="1">
        <v>4</v>
      </c>
      <c r="V7" s="40">
        <f t="shared" si="0"/>
        <v>2.3889154323936935E-3</v>
      </c>
      <c r="W7" s="40">
        <f t="shared" si="1"/>
        <v>2.3889154323936935E-3</v>
      </c>
      <c r="X7" s="40">
        <f t="shared" si="2"/>
        <v>1.9120458891013384E-3</v>
      </c>
      <c r="Y7" s="2">
        <f t="shared" si="3"/>
        <v>0.45194805194805193</v>
      </c>
      <c r="Z7" s="2">
        <f t="shared" si="4"/>
        <v>0.99761108456760628</v>
      </c>
      <c r="AA7" s="2">
        <f t="shared" si="5"/>
        <v>0.45086838627211295</v>
      </c>
      <c r="AB7" s="1"/>
    </row>
    <row r="8" spans="1:28" x14ac:dyDescent="0.25">
      <c r="A8" s="15" t="s">
        <v>425</v>
      </c>
      <c r="B8" s="16" t="s">
        <v>443</v>
      </c>
      <c r="C8" s="10" t="s">
        <v>444</v>
      </c>
      <c r="D8" s="10" t="str">
        <f>VLOOKUP(C8,Setup!A:F,3,)</f>
        <v xml:space="preserve">Air freshener GREEN COLLECTION BY PROVENCE Antitabacco. Mango and vanila. Odor blocker, 250 ml, Gatter group </v>
      </c>
      <c r="E8" s="10" t="str">
        <f>VLOOKUP(C8,Setup!A:F,4,)</f>
        <v>GREEN COLLECTION BY PROVENCE</v>
      </c>
      <c r="F8" s="10" t="str">
        <f>VLOOKUP(C8,Setup!A:F,5,)</f>
        <v>AIR FRESHENERS</v>
      </c>
      <c r="G8" s="10" t="str">
        <f>VLOOKUP(C8,Setup!A:F,6,)</f>
        <v xml:space="preserve">Air fresheners refill </v>
      </c>
      <c r="H8" s="11" t="s">
        <v>442</v>
      </c>
      <c r="I8" s="31">
        <v>2100</v>
      </c>
      <c r="J8" s="12">
        <v>3108</v>
      </c>
      <c r="K8" s="13">
        <v>84</v>
      </c>
      <c r="L8" s="13">
        <v>0</v>
      </c>
      <c r="M8" s="13">
        <v>0</v>
      </c>
      <c r="N8" s="1"/>
      <c r="O8" s="1"/>
      <c r="P8" s="17">
        <v>74</v>
      </c>
      <c r="Q8" s="1"/>
      <c r="R8" s="1"/>
      <c r="S8" s="1"/>
      <c r="T8" s="1"/>
      <c r="U8" s="1"/>
      <c r="V8" s="40">
        <f t="shared" si="0"/>
        <v>0</v>
      </c>
      <c r="W8" s="40">
        <f t="shared" si="1"/>
        <v>0</v>
      </c>
      <c r="X8" s="40">
        <f t="shared" si="2"/>
        <v>0</v>
      </c>
      <c r="Y8" s="2">
        <f t="shared" si="3"/>
        <v>0.5</v>
      </c>
      <c r="Z8" s="2">
        <f t="shared" si="4"/>
        <v>1</v>
      </c>
      <c r="AA8" s="2">
        <f t="shared" si="5"/>
        <v>0.5</v>
      </c>
      <c r="AB8" s="1"/>
    </row>
    <row r="9" spans="1:28" x14ac:dyDescent="0.25">
      <c r="A9" s="15" t="s">
        <v>425</v>
      </c>
      <c r="B9" s="16" t="s">
        <v>445</v>
      </c>
      <c r="C9" s="10" t="s">
        <v>446</v>
      </c>
      <c r="D9" s="10" t="str">
        <f>VLOOKUP(C9,Setup!A:F,3,)</f>
        <v xml:space="preserve">Air freshener GREEN COLLECTION BY PROVENCE Berry Delight, 250 ml, Gatter group </v>
      </c>
      <c r="E9" s="10" t="str">
        <f>VLOOKUP(C9,Setup!A:F,4,)</f>
        <v>GREEN COLLECTION BY PROVENCE</v>
      </c>
      <c r="F9" s="10" t="str">
        <f>VLOOKUP(C9,Setup!A:F,5,)</f>
        <v>AIR FRESHENERS</v>
      </c>
      <c r="G9" s="10" t="str">
        <f>VLOOKUP(C9,Setup!A:F,6,)</f>
        <v xml:space="preserve">Air fresheners refill </v>
      </c>
      <c r="H9" s="11" t="s">
        <v>447</v>
      </c>
      <c r="I9" s="31">
        <v>1000</v>
      </c>
      <c r="J9" s="12">
        <v>1008</v>
      </c>
      <c r="K9" s="13">
        <v>84</v>
      </c>
      <c r="L9" s="13">
        <v>15</v>
      </c>
      <c r="M9" s="13">
        <v>0</v>
      </c>
      <c r="N9" s="1"/>
      <c r="O9" s="1"/>
      <c r="P9" s="17">
        <v>30</v>
      </c>
      <c r="Q9" s="1">
        <v>2</v>
      </c>
      <c r="R9" s="1">
        <v>1</v>
      </c>
      <c r="S9" s="1"/>
      <c r="T9" s="1"/>
      <c r="U9" s="1">
        <v>4</v>
      </c>
      <c r="V9" s="40">
        <f t="shared" si="0"/>
        <v>1.9801980198019802E-3</v>
      </c>
      <c r="W9" s="40">
        <f t="shared" si="1"/>
        <v>9.9108027750247768E-4</v>
      </c>
      <c r="X9" s="40">
        <f t="shared" si="2"/>
        <v>3.952569169960474E-3</v>
      </c>
      <c r="Y9" s="2">
        <f t="shared" si="3"/>
        <v>0.4</v>
      </c>
      <c r="Z9" s="2">
        <f t="shared" si="4"/>
        <v>0.9990089197224975</v>
      </c>
      <c r="AA9" s="2">
        <f t="shared" si="5"/>
        <v>0.39960356788899903</v>
      </c>
      <c r="AB9" s="1"/>
    </row>
    <row r="10" spans="1:28" x14ac:dyDescent="0.25">
      <c r="A10" s="15" t="s">
        <v>425</v>
      </c>
      <c r="B10" s="16" t="s">
        <v>448</v>
      </c>
      <c r="C10" s="10" t="s">
        <v>449</v>
      </c>
      <c r="D10" s="10" t="str">
        <f>VLOOKUP(C10,Setup!A:F,3,)</f>
        <v>Air freshener GREEN COLLECTION BY PROVENCE Berry Delight, 250 ml</v>
      </c>
      <c r="E10" s="10" t="str">
        <f>VLOOKUP(C10,Setup!A:F,4,)</f>
        <v>GREEN COLLECTION BY PROVENCE</v>
      </c>
      <c r="F10" s="10" t="str">
        <f>VLOOKUP(C10,Setup!A:F,5,)</f>
        <v>AIR FRESHENERS</v>
      </c>
      <c r="G10" s="10" t="str">
        <f>VLOOKUP(C10,Setup!A:F,6,)</f>
        <v xml:space="preserve">Air fresheners refill </v>
      </c>
      <c r="H10" s="11" t="s">
        <v>447</v>
      </c>
      <c r="I10" s="31">
        <v>2000</v>
      </c>
      <c r="J10" s="12">
        <v>2040</v>
      </c>
      <c r="K10" s="13">
        <v>84</v>
      </c>
      <c r="L10" s="13">
        <v>0</v>
      </c>
      <c r="M10" s="13">
        <v>0</v>
      </c>
      <c r="N10" s="1"/>
      <c r="O10" s="1"/>
      <c r="P10" s="17">
        <v>50</v>
      </c>
      <c r="Q10" s="1"/>
      <c r="R10" s="1"/>
      <c r="S10" s="1"/>
      <c r="T10" s="1"/>
      <c r="U10" s="1"/>
      <c r="V10" s="40">
        <f t="shared" si="0"/>
        <v>0</v>
      </c>
      <c r="W10" s="40">
        <f t="shared" si="1"/>
        <v>0</v>
      </c>
      <c r="X10" s="40">
        <f t="shared" si="2"/>
        <v>0</v>
      </c>
      <c r="Y10" s="2">
        <f t="shared" si="3"/>
        <v>0.48571428571428571</v>
      </c>
      <c r="Z10" s="2">
        <f t="shared" si="4"/>
        <v>1</v>
      </c>
      <c r="AA10" s="2">
        <f t="shared" si="5"/>
        <v>0.48571428571428571</v>
      </c>
      <c r="AB10" s="1"/>
    </row>
    <row r="11" spans="1:28" x14ac:dyDescent="0.25">
      <c r="A11" s="15" t="s">
        <v>425</v>
      </c>
      <c r="B11" s="16" t="s">
        <v>450</v>
      </c>
      <c r="C11" s="10" t="s">
        <v>451</v>
      </c>
      <c r="D11" s="10" t="str">
        <f>VLOOKUP(C11,Setup!A:F,3,)</f>
        <v>Air freshener AIR PURE Home Aroma Imperial Garden, 230 ml</v>
      </c>
      <c r="E11" s="10" t="str">
        <f>VLOOKUP(C11,Setup!A:F,4,)</f>
        <v>AIR PURE</v>
      </c>
      <c r="F11" s="10" t="str">
        <f>VLOOKUP(C11,Setup!A:F,5,)</f>
        <v>AIR FRESHENERS</v>
      </c>
      <c r="G11" s="10" t="str">
        <f>VLOOKUP(C11,Setup!A:F,6,)</f>
        <v xml:space="preserve">Air fresheners refill </v>
      </c>
      <c r="H11" s="11" t="s">
        <v>452</v>
      </c>
      <c r="I11" s="31">
        <v>15470</v>
      </c>
      <c r="J11" s="12">
        <v>15246</v>
      </c>
      <c r="K11" s="13">
        <v>84</v>
      </c>
      <c r="L11" s="13">
        <v>15</v>
      </c>
      <c r="M11" s="13">
        <f>60</f>
        <v>60</v>
      </c>
      <c r="N11" s="1"/>
      <c r="O11" s="1"/>
      <c r="P11" s="17">
        <v>250</v>
      </c>
      <c r="Q11" s="1">
        <v>4</v>
      </c>
      <c r="R11" s="1"/>
      <c r="S11" s="1"/>
      <c r="T11" s="1"/>
      <c r="U11" s="1">
        <v>6</v>
      </c>
      <c r="V11" s="40">
        <f t="shared" si="0"/>
        <v>2.6229508196721314E-4</v>
      </c>
      <c r="W11" s="40">
        <f t="shared" si="1"/>
        <v>0</v>
      </c>
      <c r="X11" s="40">
        <f t="shared" si="2"/>
        <v>3.9339103068450039E-4</v>
      </c>
      <c r="Y11" s="2">
        <f t="shared" si="3"/>
        <v>0.95526315789473681</v>
      </c>
      <c r="Z11" s="2">
        <f t="shared" si="4"/>
        <v>1</v>
      </c>
      <c r="AA11" s="2">
        <f t="shared" si="5"/>
        <v>0.95526315789473681</v>
      </c>
      <c r="AB11" s="1"/>
    </row>
    <row r="12" spans="1:28" x14ac:dyDescent="0.25">
      <c r="A12" s="15" t="s">
        <v>425</v>
      </c>
      <c r="B12" s="16" t="s">
        <v>160</v>
      </c>
      <c r="C12" s="10" t="s">
        <v>161</v>
      </c>
      <c r="D12" s="10" t="str">
        <f>VLOOKUP(C12,Setup!A:F,3,)</f>
        <v>Air freshener AIR PURE Home Aroma Breath of the taiga, 230 ml</v>
      </c>
      <c r="E12" s="10" t="str">
        <f>VLOOKUP(C12,Setup!A:F,4,)</f>
        <v>AIR PURE</v>
      </c>
      <c r="F12" s="10" t="str">
        <f>VLOOKUP(C12,Setup!A:F,5,)</f>
        <v>AIR FRESHENERS</v>
      </c>
      <c r="G12" s="10" t="str">
        <f>VLOOKUP(C12,Setup!A:F,6,)</f>
        <v xml:space="preserve">Air fresheners refill </v>
      </c>
      <c r="H12" s="11" t="s">
        <v>453</v>
      </c>
      <c r="I12" s="31">
        <v>15470</v>
      </c>
      <c r="J12" s="12">
        <v>15060</v>
      </c>
      <c r="K12" s="13">
        <v>84</v>
      </c>
      <c r="L12" s="13">
        <v>15</v>
      </c>
      <c r="M12" s="13">
        <v>0</v>
      </c>
      <c r="N12" s="1">
        <v>90</v>
      </c>
      <c r="O12" s="1" t="s">
        <v>4847</v>
      </c>
      <c r="P12" s="17">
        <v>275</v>
      </c>
      <c r="Q12" s="1"/>
      <c r="R12" s="1">
        <v>1</v>
      </c>
      <c r="S12" s="1"/>
      <c r="T12" s="1"/>
      <c r="U12" s="1">
        <v>6</v>
      </c>
      <c r="V12" s="40">
        <f t="shared" si="0"/>
        <v>0</v>
      </c>
      <c r="W12" s="40">
        <f t="shared" si="1"/>
        <v>6.6396653608658129E-5</v>
      </c>
      <c r="X12" s="40">
        <f t="shared" si="2"/>
        <v>3.9824771007566706E-4</v>
      </c>
      <c r="Y12" s="2">
        <f t="shared" si="3"/>
        <v>0.96911196911196906</v>
      </c>
      <c r="Z12" s="2">
        <f t="shared" si="4"/>
        <v>0.99993360334639136</v>
      </c>
      <c r="AA12" s="2">
        <f t="shared" si="5"/>
        <v>0.96904762332024796</v>
      </c>
      <c r="AB12" s="1"/>
    </row>
    <row r="13" spans="1:28" x14ac:dyDescent="0.25">
      <c r="A13" s="15" t="s">
        <v>425</v>
      </c>
      <c r="B13" s="16" t="s">
        <v>454</v>
      </c>
      <c r="C13" s="10" t="s">
        <v>455</v>
      </c>
      <c r="D13" s="10" t="str">
        <f>VLOOKUP(C13,Setup!A:F,3,)</f>
        <v>Air freshener AIR PURE Home Aroma Pineapple punch, 230 ml</v>
      </c>
      <c r="E13" s="10" t="str">
        <f>VLOOKUP(C13,Setup!A:F,4,)</f>
        <v>AIR PURE</v>
      </c>
      <c r="F13" s="10" t="str">
        <f>VLOOKUP(C13,Setup!A:F,5,)</f>
        <v>AIR FRESHENERS</v>
      </c>
      <c r="G13" s="10" t="str">
        <f>VLOOKUP(C13,Setup!A:F,6,)</f>
        <v xml:space="preserve">Air fresheners refill </v>
      </c>
      <c r="H13" s="11" t="s">
        <v>456</v>
      </c>
      <c r="I13" s="31">
        <v>15470</v>
      </c>
      <c r="J13" s="12">
        <f>11520+786+3360</f>
        <v>15666</v>
      </c>
      <c r="K13" s="13">
        <v>84</v>
      </c>
      <c r="L13" s="13">
        <v>15</v>
      </c>
      <c r="M13" s="13">
        <f>70</f>
        <v>70</v>
      </c>
      <c r="N13" s="1"/>
      <c r="O13" s="1"/>
      <c r="P13" s="17">
        <f>210-10+100</f>
        <v>300</v>
      </c>
      <c r="Q13" s="1">
        <v>10</v>
      </c>
      <c r="R13" s="1">
        <f>4+1</f>
        <v>5</v>
      </c>
      <c r="S13" s="1"/>
      <c r="T13" s="1"/>
      <c r="U13" s="1">
        <f>6</f>
        <v>6</v>
      </c>
      <c r="V13" s="40">
        <f t="shared" si="0"/>
        <v>6.3791783618269969E-4</v>
      </c>
      <c r="W13" s="40">
        <f t="shared" si="1"/>
        <v>3.1906068534235212E-4</v>
      </c>
      <c r="X13" s="40">
        <f t="shared" si="2"/>
        <v>3.8284839203675346E-4</v>
      </c>
      <c r="Y13" s="2">
        <f t="shared" si="3"/>
        <v>0.81086956521739129</v>
      </c>
      <c r="Z13" s="2">
        <f t="shared" si="4"/>
        <v>0.99968093931465762</v>
      </c>
      <c r="AA13" s="2">
        <f t="shared" si="5"/>
        <v>0.81061084861818977</v>
      </c>
      <c r="AB13" s="1"/>
    </row>
    <row r="14" spans="1:28" x14ac:dyDescent="0.25">
      <c r="A14" s="15" t="s">
        <v>425</v>
      </c>
      <c r="B14" s="16" t="s">
        <v>457</v>
      </c>
      <c r="C14" s="10" t="s">
        <v>458</v>
      </c>
      <c r="D14" s="10" t="str">
        <f>VLOOKUP(C14,Setup!A:F,3,)</f>
        <v>Air freshener AIR PURE Odor blocker Mohito, 230 ml</v>
      </c>
      <c r="E14" s="10" t="str">
        <f>VLOOKUP(C14,Setup!A:F,4,)</f>
        <v>AIR PURE</v>
      </c>
      <c r="F14" s="10" t="str">
        <f>VLOOKUP(C14,Setup!A:F,5,)</f>
        <v>AIR FRESHENERS</v>
      </c>
      <c r="G14" s="10" t="str">
        <f>VLOOKUP(C14,Setup!A:F,6,)</f>
        <v xml:space="preserve">Air fresheners refill </v>
      </c>
      <c r="H14" s="11" t="s">
        <v>459</v>
      </c>
      <c r="I14" s="31">
        <v>15470</v>
      </c>
      <c r="J14" s="12">
        <v>15456</v>
      </c>
      <c r="K14" s="13">
        <v>84</v>
      </c>
      <c r="L14" s="13">
        <v>15</v>
      </c>
      <c r="M14" s="13">
        <v>0</v>
      </c>
      <c r="N14" s="1"/>
      <c r="O14" s="1"/>
      <c r="P14" s="17">
        <v>210</v>
      </c>
      <c r="Q14" s="1">
        <v>4</v>
      </c>
      <c r="R14" s="1">
        <v>1</v>
      </c>
      <c r="S14" s="1"/>
      <c r="T14" s="1"/>
      <c r="U14" s="1">
        <v>6</v>
      </c>
      <c r="V14" s="40">
        <f t="shared" si="0"/>
        <v>2.5873221216041398E-4</v>
      </c>
      <c r="W14" s="40">
        <f t="shared" si="1"/>
        <v>6.4695607168273277E-5</v>
      </c>
      <c r="X14" s="40">
        <f t="shared" si="2"/>
        <v>3.8804811796662784E-4</v>
      </c>
      <c r="Y14" s="2">
        <f t="shared" si="3"/>
        <v>0.87619047619047619</v>
      </c>
      <c r="Z14" s="2">
        <f t="shared" si="4"/>
        <v>0.99993530439283174</v>
      </c>
      <c r="AA14" s="2">
        <f t="shared" si="5"/>
        <v>0.87613379051562401</v>
      </c>
      <c r="AB14" s="1"/>
    </row>
    <row r="15" spans="1:28" x14ac:dyDescent="0.25">
      <c r="A15" s="15" t="s">
        <v>425</v>
      </c>
      <c r="B15" s="16" t="s">
        <v>52</v>
      </c>
      <c r="C15" s="10" t="s">
        <v>53</v>
      </c>
      <c r="D15" s="10" t="str">
        <f>VLOOKUP(C15,Setup!A:F,3,)</f>
        <v>Air freshener AROMA VOYAGE Hello Aroma Verti , Tropical smoothie, 250 ml</v>
      </c>
      <c r="E15" s="10" t="str">
        <f>VLOOKUP(C15,Setup!A:F,4,)</f>
        <v>VERTI</v>
      </c>
      <c r="F15" s="10" t="str">
        <f>VLOOKUP(C15,Setup!A:F,5,)</f>
        <v>AIR FRESHENERS</v>
      </c>
      <c r="G15" s="10" t="str">
        <f>VLOOKUP(C15,Setup!A:F,6,)</f>
        <v xml:space="preserve">Air fresheners refill </v>
      </c>
      <c r="H15" s="11" t="s">
        <v>460</v>
      </c>
      <c r="I15" s="31">
        <v>8500</v>
      </c>
      <c r="J15" s="12">
        <v>8610</v>
      </c>
      <c r="K15" s="13">
        <v>84</v>
      </c>
      <c r="L15" s="13">
        <v>15</v>
      </c>
      <c r="M15" s="13">
        <v>0</v>
      </c>
      <c r="N15" s="1"/>
      <c r="O15" s="1"/>
      <c r="P15" s="17">
        <v>145</v>
      </c>
      <c r="Q15" s="1"/>
      <c r="R15" s="1"/>
      <c r="S15" s="1"/>
      <c r="T15" s="1"/>
      <c r="U15" s="1">
        <v>6</v>
      </c>
      <c r="V15" s="40">
        <f t="shared" si="0"/>
        <v>0</v>
      </c>
      <c r="W15" s="40">
        <f t="shared" si="1"/>
        <v>0</v>
      </c>
      <c r="X15" s="40">
        <f t="shared" si="2"/>
        <v>6.9637883008356546E-4</v>
      </c>
      <c r="Y15" s="2">
        <f t="shared" si="3"/>
        <v>0.7068965517241379</v>
      </c>
      <c r="Z15" s="2">
        <f t="shared" si="4"/>
        <v>1</v>
      </c>
      <c r="AA15" s="2">
        <f t="shared" si="5"/>
        <v>0.7068965517241379</v>
      </c>
      <c r="AB15" s="1"/>
    </row>
    <row r="16" spans="1:28" x14ac:dyDescent="0.25">
      <c r="A16" s="15" t="s">
        <v>425</v>
      </c>
      <c r="B16" s="16" t="s">
        <v>55</v>
      </c>
      <c r="C16" s="10" t="s">
        <v>56</v>
      </c>
      <c r="D16" s="10" t="str">
        <f>VLOOKUP(C16,Setup!A:F,3,)</f>
        <v>Air freshener AROMA VOYAGE Hello Aroma Verti , Altai freshness, 250 ml</v>
      </c>
      <c r="E16" s="10" t="str">
        <f>VLOOKUP(C16,Setup!A:F,4,)</f>
        <v>VERTI</v>
      </c>
      <c r="F16" s="10" t="str">
        <f>VLOOKUP(C16,Setup!A:F,5,)</f>
        <v>AIR FRESHENERS</v>
      </c>
      <c r="G16" s="10" t="str">
        <f>VLOOKUP(C16,Setup!A:F,6,)</f>
        <v xml:space="preserve">Air fresheners refill </v>
      </c>
      <c r="H16" s="11" t="s">
        <v>461</v>
      </c>
      <c r="I16" s="31">
        <v>8500</v>
      </c>
      <c r="J16" s="12">
        <v>8610</v>
      </c>
      <c r="K16" s="13">
        <v>84</v>
      </c>
      <c r="L16" s="13">
        <v>15</v>
      </c>
      <c r="M16" s="13">
        <v>0</v>
      </c>
      <c r="N16" s="1"/>
      <c r="O16" s="1"/>
      <c r="P16" s="17">
        <v>120</v>
      </c>
      <c r="Q16" s="1"/>
      <c r="R16" s="1"/>
      <c r="S16" s="1"/>
      <c r="T16" s="1"/>
      <c r="U16" s="1">
        <v>6</v>
      </c>
      <c r="V16" s="40">
        <f t="shared" si="0"/>
        <v>0</v>
      </c>
      <c r="W16" s="40">
        <f t="shared" si="1"/>
        <v>0</v>
      </c>
      <c r="X16" s="40">
        <f t="shared" si="2"/>
        <v>6.9637883008356546E-4</v>
      </c>
      <c r="Y16" s="2">
        <f t="shared" si="3"/>
        <v>0.85416666666666663</v>
      </c>
      <c r="Z16" s="2">
        <f t="shared" si="4"/>
        <v>1</v>
      </c>
      <c r="AA16" s="2">
        <f t="shared" si="5"/>
        <v>0.85416666666666663</v>
      </c>
      <c r="AB16" s="1"/>
    </row>
    <row r="17" spans="1:28" x14ac:dyDescent="0.25">
      <c r="A17" s="15" t="s">
        <v>425</v>
      </c>
      <c r="B17" s="16" t="s">
        <v>61</v>
      </c>
      <c r="C17" s="10" t="s">
        <v>62</v>
      </c>
      <c r="D17" s="10" t="str">
        <f>VLOOKUP(C17,Setup!A:F,3,)</f>
        <v>Air freshener AROMA VOYAGE Hello Aroma Verti , Karelian berries, 250 ml</v>
      </c>
      <c r="E17" s="10" t="str">
        <f>VLOOKUP(C17,Setup!A:F,4,)</f>
        <v>VERTI</v>
      </c>
      <c r="F17" s="10" t="str">
        <f>VLOOKUP(C17,Setup!A:F,5,)</f>
        <v>AIR FRESHENERS</v>
      </c>
      <c r="G17" s="10" t="str">
        <f>VLOOKUP(C17,Setup!A:F,6,)</f>
        <v xml:space="preserve">Air fresheners refill </v>
      </c>
      <c r="H17" s="11" t="s">
        <v>462</v>
      </c>
      <c r="I17" s="31">
        <v>8500</v>
      </c>
      <c r="J17" s="12">
        <v>9054</v>
      </c>
      <c r="K17" s="13">
        <v>84</v>
      </c>
      <c r="L17" s="13">
        <v>15</v>
      </c>
      <c r="M17" s="13">
        <v>0</v>
      </c>
      <c r="N17" s="1"/>
      <c r="O17" s="1"/>
      <c r="P17" s="17">
        <v>125</v>
      </c>
      <c r="Q17" s="1">
        <v>2</v>
      </c>
      <c r="R17" s="1">
        <v>1</v>
      </c>
      <c r="S17" s="1"/>
      <c r="T17" s="1"/>
      <c r="U17" s="1">
        <v>6</v>
      </c>
      <c r="V17" s="40">
        <f t="shared" si="0"/>
        <v>2.2084805653710247E-4</v>
      </c>
      <c r="W17" s="40">
        <f t="shared" si="1"/>
        <v>1.1043622308117063E-4</v>
      </c>
      <c r="X17" s="40">
        <f t="shared" si="2"/>
        <v>6.6225165562913907E-4</v>
      </c>
      <c r="Y17" s="2">
        <f t="shared" si="3"/>
        <v>0.86228571428571432</v>
      </c>
      <c r="Z17" s="2">
        <f t="shared" si="4"/>
        <v>0.99988956377691884</v>
      </c>
      <c r="AA17" s="2">
        <f t="shared" si="5"/>
        <v>0.86219048670821175</v>
      </c>
      <c r="AB17" s="1"/>
    </row>
    <row r="18" spans="1:28" x14ac:dyDescent="0.25">
      <c r="A18" s="15" t="s">
        <v>425</v>
      </c>
      <c r="B18" s="16" t="s">
        <v>58</v>
      </c>
      <c r="C18" s="10" t="s">
        <v>59</v>
      </c>
      <c r="D18" s="10" t="str">
        <f>VLOOKUP(C18,Setup!A:F,3,)</f>
        <v>Air freshener AROMA VOYAGE Hello Aroma Verti , Chinese orchid, 250 ml</v>
      </c>
      <c r="E18" s="10" t="str">
        <f>VLOOKUP(C18,Setup!A:F,4,)</f>
        <v>VERTI</v>
      </c>
      <c r="F18" s="10" t="str">
        <f>VLOOKUP(C18,Setup!A:F,5,)</f>
        <v>AIR FRESHENERS</v>
      </c>
      <c r="G18" s="10" t="str">
        <f>VLOOKUP(C18,Setup!A:F,6,)</f>
        <v xml:space="preserve">Air fresheners refill </v>
      </c>
      <c r="H18" s="11" t="s">
        <v>463</v>
      </c>
      <c r="I18" s="31">
        <v>8500</v>
      </c>
      <c r="J18" s="12">
        <v>8610</v>
      </c>
      <c r="K18" s="13">
        <v>84</v>
      </c>
      <c r="L18" s="13">
        <v>15</v>
      </c>
      <c r="M18" s="13">
        <f>50</f>
        <v>50</v>
      </c>
      <c r="N18" s="1"/>
      <c r="O18" s="1"/>
      <c r="P18" s="17">
        <f>35-10+205</f>
        <v>230</v>
      </c>
      <c r="Q18" s="1">
        <v>2</v>
      </c>
      <c r="R18" s="1">
        <v>4</v>
      </c>
      <c r="S18" s="1"/>
      <c r="T18" s="1"/>
      <c r="U18" s="1">
        <v>6</v>
      </c>
      <c r="V18" s="40">
        <f t="shared" si="0"/>
        <v>2.3223409196470042E-4</v>
      </c>
      <c r="W18" s="40">
        <f t="shared" si="1"/>
        <v>4.6436034362665429E-4</v>
      </c>
      <c r="X18" s="40">
        <f t="shared" si="2"/>
        <v>6.9637883008356546E-4</v>
      </c>
      <c r="Y18" s="2">
        <f t="shared" si="3"/>
        <v>0.56944444444444442</v>
      </c>
      <c r="Z18" s="2">
        <f t="shared" si="4"/>
        <v>0.99953563965637338</v>
      </c>
      <c r="AA18" s="2">
        <f t="shared" si="5"/>
        <v>0.56918001702654597</v>
      </c>
      <c r="AB18" s="1"/>
    </row>
    <row r="19" spans="1:28" x14ac:dyDescent="0.25">
      <c r="A19" s="15" t="s">
        <v>425</v>
      </c>
      <c r="B19" s="16" t="s">
        <v>168</v>
      </c>
      <c r="C19" s="10" t="s">
        <v>169</v>
      </c>
      <c r="D19" s="10" t="str">
        <f>VLOOKUP(C19,Setup!A:F,3,)</f>
        <v>Air freshener AIR PURE ALPEN FRESH Tropical flowers, 250 ml</v>
      </c>
      <c r="E19" s="10" t="str">
        <f>VLOOKUP(C19,Setup!A:F,4,)</f>
        <v>ALPEN</v>
      </c>
      <c r="F19" s="10" t="str">
        <f>VLOOKUP(C19,Setup!A:F,5,)</f>
        <v>AIR FRESHENERS</v>
      </c>
      <c r="G19" s="10" t="str">
        <f>VLOOKUP(C19,Setup!A:F,6,)</f>
        <v xml:space="preserve">Air fresheners refill </v>
      </c>
      <c r="H19" s="11" t="s">
        <v>464</v>
      </c>
      <c r="I19" s="31">
        <v>6500</v>
      </c>
      <c r="J19" s="12">
        <v>6528</v>
      </c>
      <c r="K19" s="13">
        <v>84</v>
      </c>
      <c r="L19" s="13">
        <v>15</v>
      </c>
      <c r="M19" s="13">
        <v>0</v>
      </c>
      <c r="N19" s="1"/>
      <c r="O19" s="1"/>
      <c r="P19" s="17">
        <v>105</v>
      </c>
      <c r="Q19" s="1">
        <v>4</v>
      </c>
      <c r="R19" s="1"/>
      <c r="S19" s="1"/>
      <c r="T19" s="1"/>
      <c r="U19" s="1">
        <v>6</v>
      </c>
      <c r="V19" s="40">
        <f t="shared" si="0"/>
        <v>6.1236987140232701E-4</v>
      </c>
      <c r="W19" s="40">
        <f t="shared" si="1"/>
        <v>0</v>
      </c>
      <c r="X19" s="40">
        <f t="shared" si="2"/>
        <v>9.1827364554637281E-4</v>
      </c>
      <c r="Y19" s="2">
        <f t="shared" si="3"/>
        <v>0.74013605442176866</v>
      </c>
      <c r="Z19" s="2">
        <f t="shared" si="4"/>
        <v>1</v>
      </c>
      <c r="AA19" s="2">
        <f t="shared" si="5"/>
        <v>0.74013605442176866</v>
      </c>
      <c r="AB19" s="1"/>
    </row>
    <row r="20" spans="1:28" x14ac:dyDescent="0.25">
      <c r="A20" s="15" t="s">
        <v>425</v>
      </c>
      <c r="B20" s="16" t="s">
        <v>171</v>
      </c>
      <c r="C20" s="10" t="s">
        <v>172</v>
      </c>
      <c r="D20" s="10" t="str">
        <f>VLOOKUP(C20,Setup!A:F,3,)</f>
        <v>Air freshener AIR PURE ALPEN FRESH Freshness of a waterfall, 250 ml</v>
      </c>
      <c r="E20" s="10" t="str">
        <f>VLOOKUP(C20,Setup!A:F,4,)</f>
        <v>ALPEN</v>
      </c>
      <c r="F20" s="10" t="str">
        <f>VLOOKUP(C20,Setup!A:F,5,)</f>
        <v>AIR FRESHENERS</v>
      </c>
      <c r="G20" s="10" t="str">
        <f>VLOOKUP(C20,Setup!A:F,6,)</f>
        <v xml:space="preserve">Air fresheners refill </v>
      </c>
      <c r="H20" s="11" t="s">
        <v>465</v>
      </c>
      <c r="I20" s="31">
        <v>4200</v>
      </c>
      <c r="J20" s="12">
        <v>4164</v>
      </c>
      <c r="K20" s="13">
        <v>84</v>
      </c>
      <c r="L20" s="13">
        <v>15</v>
      </c>
      <c r="M20" s="13">
        <v>0</v>
      </c>
      <c r="N20" s="1"/>
      <c r="O20" s="1"/>
      <c r="P20" s="17">
        <v>65</v>
      </c>
      <c r="Q20" s="1">
        <v>3</v>
      </c>
      <c r="R20" s="1">
        <v>1</v>
      </c>
      <c r="S20" s="1"/>
      <c r="T20" s="1"/>
      <c r="U20" s="1">
        <v>4</v>
      </c>
      <c r="V20" s="40">
        <f t="shared" si="0"/>
        <v>7.1994240460763136E-4</v>
      </c>
      <c r="W20" s="40">
        <f t="shared" si="1"/>
        <v>2.4009603841536616E-4</v>
      </c>
      <c r="X20" s="40">
        <f t="shared" si="2"/>
        <v>9.5969289827255275E-4</v>
      </c>
      <c r="Y20" s="2">
        <f t="shared" si="3"/>
        <v>0.76263736263736259</v>
      </c>
      <c r="Z20" s="2">
        <f t="shared" si="4"/>
        <v>0.99975990396158465</v>
      </c>
      <c r="AA20" s="2">
        <f t="shared" si="5"/>
        <v>0.76245425642784581</v>
      </c>
      <c r="AB20" s="1"/>
    </row>
    <row r="21" spans="1:28" x14ac:dyDescent="0.25">
      <c r="A21" s="15" t="s">
        <v>425</v>
      </c>
      <c r="B21" s="16" t="s">
        <v>177</v>
      </c>
      <c r="C21" s="10" t="s">
        <v>178</v>
      </c>
      <c r="D21" s="10" t="str">
        <f>VLOOKUP(C21,Setup!A:F,3,)</f>
        <v>Air freshener AIR PURE ALPEN FRESH Aromatic vernissage, 250 ml</v>
      </c>
      <c r="E21" s="10" t="str">
        <f>VLOOKUP(C21,Setup!A:F,4,)</f>
        <v>ALPEN</v>
      </c>
      <c r="F21" s="10" t="str">
        <f>VLOOKUP(C21,Setup!A:F,5,)</f>
        <v>AIR FRESHENERS</v>
      </c>
      <c r="G21" s="10" t="str">
        <f>VLOOKUP(C21,Setup!A:F,6,)</f>
        <v xml:space="preserve">Air fresheners refill </v>
      </c>
      <c r="H21" s="11" t="s">
        <v>466</v>
      </c>
      <c r="I21" s="31">
        <v>6800</v>
      </c>
      <c r="J21" s="12">
        <v>6816</v>
      </c>
      <c r="K21" s="13">
        <v>84</v>
      </c>
      <c r="L21" s="13">
        <v>15</v>
      </c>
      <c r="M21" s="13">
        <v>0</v>
      </c>
      <c r="N21" s="1"/>
      <c r="O21" s="1"/>
      <c r="P21" s="17">
        <v>100</v>
      </c>
      <c r="Q21" s="1">
        <v>5</v>
      </c>
      <c r="R21" s="1">
        <v>2</v>
      </c>
      <c r="S21" s="1"/>
      <c r="T21" s="1"/>
      <c r="U21" s="1">
        <v>6</v>
      </c>
      <c r="V21" s="40">
        <f t="shared" si="0"/>
        <v>7.330303474563847E-4</v>
      </c>
      <c r="W21" s="40">
        <f t="shared" si="1"/>
        <v>2.9334115576415371E-4</v>
      </c>
      <c r="X21" s="40">
        <f t="shared" si="2"/>
        <v>8.7950747581354446E-4</v>
      </c>
      <c r="Y21" s="2">
        <f t="shared" si="3"/>
        <v>0.81142857142857139</v>
      </c>
      <c r="Z21" s="2">
        <f t="shared" si="4"/>
        <v>0.99970665884423582</v>
      </c>
      <c r="AA21" s="2">
        <f t="shared" si="5"/>
        <v>0.81119054603360841</v>
      </c>
      <c r="AB21" s="1"/>
    </row>
    <row r="22" spans="1:28" x14ac:dyDescent="0.25">
      <c r="A22" s="15" t="s">
        <v>425</v>
      </c>
      <c r="B22" s="16" t="s">
        <v>174</v>
      </c>
      <c r="C22" s="10" t="s">
        <v>175</v>
      </c>
      <c r="D22" s="10" t="str">
        <f>VLOOKUP(C22,Setup!A:F,3,)</f>
        <v>Air freshener AIR PURE ALPEN FRESH Sea breeze, 250 ml</v>
      </c>
      <c r="E22" s="10" t="str">
        <f>VLOOKUP(C22,Setup!A:F,4,)</f>
        <v>ALPEN</v>
      </c>
      <c r="F22" s="10" t="str">
        <f>VLOOKUP(C22,Setup!A:F,5,)</f>
        <v>AIR FRESHENERS</v>
      </c>
      <c r="G22" s="10" t="str">
        <f>VLOOKUP(C22,Setup!A:F,6,)</f>
        <v xml:space="preserve">Air fresheners refill </v>
      </c>
      <c r="H22" s="11" t="s">
        <v>467</v>
      </c>
      <c r="I22" s="31">
        <v>1300</v>
      </c>
      <c r="J22" s="12">
        <v>1296</v>
      </c>
      <c r="K22" s="13">
        <v>84</v>
      </c>
      <c r="L22" s="13">
        <v>15</v>
      </c>
      <c r="M22" s="13">
        <v>0</v>
      </c>
      <c r="N22" s="1"/>
      <c r="O22" s="1"/>
      <c r="P22" s="17">
        <v>25</v>
      </c>
      <c r="Q22" s="1">
        <v>2</v>
      </c>
      <c r="R22" s="1"/>
      <c r="S22" s="1"/>
      <c r="T22" s="1"/>
      <c r="U22" s="1">
        <v>4</v>
      </c>
      <c r="V22" s="40">
        <f t="shared" si="0"/>
        <v>1.5408320493066256E-3</v>
      </c>
      <c r="W22" s="40">
        <f t="shared" si="1"/>
        <v>0</v>
      </c>
      <c r="X22" s="40">
        <f t="shared" si="2"/>
        <v>3.0769230769230769E-3</v>
      </c>
      <c r="Y22" s="2">
        <f t="shared" si="3"/>
        <v>0.6171428571428571</v>
      </c>
      <c r="Z22" s="2">
        <f t="shared" si="4"/>
        <v>1</v>
      </c>
      <c r="AA22" s="2">
        <f t="shared" si="5"/>
        <v>0.6171428571428571</v>
      </c>
      <c r="AB22" s="1"/>
    </row>
    <row r="23" spans="1:28" x14ac:dyDescent="0.25">
      <c r="A23" s="15" t="s">
        <v>425</v>
      </c>
      <c r="B23" s="16" t="s">
        <v>468</v>
      </c>
      <c r="C23" s="10" t="s">
        <v>469</v>
      </c>
      <c r="D23" s="10" t="str">
        <f>VLOOKUP(C23,Setup!A:F,3,)</f>
        <v>Air freshener GREEN COLLECTION BY PROVENCE Pomegranate Lemonade, 250 ml</v>
      </c>
      <c r="E23" s="10" t="str">
        <f>VLOOKUP(C23,Setup!A:F,4,)</f>
        <v>GREEN COLLECTION BY PROVENCE</v>
      </c>
      <c r="F23" s="10" t="str">
        <f>VLOOKUP(C23,Setup!A:F,5,)</f>
        <v>AIR FRESHENERS</v>
      </c>
      <c r="G23" s="10" t="str">
        <f>VLOOKUP(C23,Setup!A:F,6,)</f>
        <v xml:space="preserve">Air fresheners refill </v>
      </c>
      <c r="H23" s="11" t="s">
        <v>470</v>
      </c>
      <c r="I23" s="31">
        <v>1600</v>
      </c>
      <c r="J23" s="12">
        <v>1608</v>
      </c>
      <c r="K23" s="13">
        <v>84</v>
      </c>
      <c r="L23" s="13">
        <v>15</v>
      </c>
      <c r="M23" s="13">
        <v>0</v>
      </c>
      <c r="N23" s="1"/>
      <c r="O23" s="1"/>
      <c r="P23" s="17">
        <v>25</v>
      </c>
      <c r="Q23" s="1">
        <f>7+5</f>
        <v>12</v>
      </c>
      <c r="R23" s="1">
        <v>1</v>
      </c>
      <c r="S23" s="1"/>
      <c r="T23" s="1"/>
      <c r="U23" s="1">
        <v>4</v>
      </c>
      <c r="V23" s="40">
        <f t="shared" si="0"/>
        <v>7.4074074074074077E-3</v>
      </c>
      <c r="W23" s="40">
        <f t="shared" si="1"/>
        <v>6.215040397762585E-4</v>
      </c>
      <c r="X23" s="40">
        <f t="shared" si="2"/>
        <v>2.4813895781637717E-3</v>
      </c>
      <c r="Y23" s="2">
        <f t="shared" si="3"/>
        <v>0.76571428571428568</v>
      </c>
      <c r="Z23" s="2">
        <f t="shared" si="4"/>
        <v>0.99937849596022377</v>
      </c>
      <c r="AA23" s="2">
        <f t="shared" si="5"/>
        <v>0.76523839119239989</v>
      </c>
      <c r="AB23" s="1"/>
    </row>
    <row r="24" spans="1:28" x14ac:dyDescent="0.25">
      <c r="A24" s="15" t="s">
        <v>425</v>
      </c>
      <c r="B24" s="16" t="s">
        <v>471</v>
      </c>
      <c r="C24" s="10" t="s">
        <v>472</v>
      </c>
      <c r="D24" s="10" t="str">
        <f>VLOOKUP(C24,Setup!A:F,3,)</f>
        <v>Air freshener GREEN COLLECTION BY PROVENCE Azure Alps, 250 ml</v>
      </c>
      <c r="E24" s="10" t="str">
        <f>VLOOKUP(C24,Setup!A:F,4,)</f>
        <v>GREEN COLLECTION BY PROVENCE</v>
      </c>
      <c r="F24" s="10" t="str">
        <f>VLOOKUP(C24,Setup!A:F,5,)</f>
        <v>AIR FRESHENERS</v>
      </c>
      <c r="G24" s="10" t="str">
        <f>VLOOKUP(C24,Setup!A:F,6,)</f>
        <v xml:space="preserve">Air fresheners refill </v>
      </c>
      <c r="H24" s="11" t="s">
        <v>473</v>
      </c>
      <c r="I24" s="31">
        <v>6200</v>
      </c>
      <c r="J24" s="12">
        <v>6180</v>
      </c>
      <c r="K24" s="13">
        <v>84</v>
      </c>
      <c r="L24" s="13">
        <v>15</v>
      </c>
      <c r="M24" s="13">
        <v>0</v>
      </c>
      <c r="N24" s="1"/>
      <c r="O24" s="1"/>
      <c r="P24" s="17">
        <v>100</v>
      </c>
      <c r="Q24" s="1">
        <v>1</v>
      </c>
      <c r="R24" s="1"/>
      <c r="S24" s="1"/>
      <c r="T24" s="1"/>
      <c r="U24" s="1">
        <f>6</f>
        <v>6</v>
      </c>
      <c r="V24" s="40">
        <f t="shared" si="0"/>
        <v>1.6178611875101117E-4</v>
      </c>
      <c r="W24" s="40">
        <f t="shared" si="1"/>
        <v>0</v>
      </c>
      <c r="X24" s="40">
        <f t="shared" si="2"/>
        <v>9.6993210475266732E-4</v>
      </c>
      <c r="Y24" s="2">
        <f t="shared" si="3"/>
        <v>0.73571428571428577</v>
      </c>
      <c r="Z24" s="2">
        <f t="shared" si="4"/>
        <v>1</v>
      </c>
      <c r="AA24" s="2">
        <f t="shared" si="5"/>
        <v>0.73571428571428577</v>
      </c>
      <c r="AB24" s="1"/>
    </row>
    <row r="25" spans="1:28" x14ac:dyDescent="0.25">
      <c r="A25" s="15" t="s">
        <v>425</v>
      </c>
      <c r="B25" s="16" t="s">
        <v>474</v>
      </c>
      <c r="C25" s="10" t="s">
        <v>475</v>
      </c>
      <c r="D25" s="10" t="str">
        <f>VLOOKUP(C25,Setup!A:F,3,)</f>
        <v>Air freshener GREEN COLLECTION BY PROVENCE Blooming cherry , 250 ml</v>
      </c>
      <c r="E25" s="10" t="str">
        <f>VLOOKUP(C25,Setup!A:F,4,)</f>
        <v>GREEN COLLECTION BY PROVENCE</v>
      </c>
      <c r="F25" s="10" t="str">
        <f>VLOOKUP(C25,Setup!A:F,5,)</f>
        <v>AIR FRESHENERS</v>
      </c>
      <c r="G25" s="10" t="str">
        <f>VLOOKUP(C25,Setup!A:F,6,)</f>
        <v xml:space="preserve">Air fresheners refill </v>
      </c>
      <c r="H25" s="11" t="s">
        <v>476</v>
      </c>
      <c r="I25" s="31">
        <v>3800</v>
      </c>
      <c r="J25" s="12">
        <v>3816</v>
      </c>
      <c r="K25" s="13">
        <v>84</v>
      </c>
      <c r="L25" s="13">
        <v>15</v>
      </c>
      <c r="M25" s="13">
        <v>0</v>
      </c>
      <c r="N25" s="1"/>
      <c r="O25" s="1"/>
      <c r="P25" s="17">
        <v>55</v>
      </c>
      <c r="Q25" s="1">
        <v>3</v>
      </c>
      <c r="R25" s="1">
        <v>2</v>
      </c>
      <c r="S25" s="1"/>
      <c r="T25" s="1"/>
      <c r="U25" s="1">
        <v>6</v>
      </c>
      <c r="V25" s="40">
        <f t="shared" si="0"/>
        <v>7.855459544383347E-4</v>
      </c>
      <c r="W25" s="40">
        <f t="shared" si="1"/>
        <v>5.2383446830801469E-4</v>
      </c>
      <c r="X25" s="40">
        <f t="shared" si="2"/>
        <v>1.5698587127158557E-3</v>
      </c>
      <c r="Y25" s="2">
        <f t="shared" si="3"/>
        <v>0.82597402597402603</v>
      </c>
      <c r="Z25" s="2">
        <f t="shared" si="4"/>
        <v>0.99947616553169194</v>
      </c>
      <c r="AA25" s="2">
        <f t="shared" si="5"/>
        <v>0.82554135230929371</v>
      </c>
      <c r="AB25" s="1"/>
    </row>
    <row r="26" spans="1:28" x14ac:dyDescent="0.25">
      <c r="A26" s="15" t="s">
        <v>425</v>
      </c>
      <c r="B26" s="16" t="s">
        <v>429</v>
      </c>
      <c r="C26" s="10" t="s">
        <v>430</v>
      </c>
      <c r="D26" s="10" t="str">
        <f>VLOOKUP(C26,Setup!A:F,3,)</f>
        <v>Air freshener GREEN COLLECTION BY PROVENCE Fruit dessert, 250 ml</v>
      </c>
      <c r="E26" s="10" t="str">
        <f>VLOOKUP(C26,Setup!A:F,4,)</f>
        <v>GREEN COLLECTION BY PROVENCE</v>
      </c>
      <c r="F26" s="10" t="str">
        <f>VLOOKUP(C26,Setup!A:F,5,)</f>
        <v>AIR FRESHENERS</v>
      </c>
      <c r="G26" s="10" t="str">
        <f>VLOOKUP(C26,Setup!A:F,6,)</f>
        <v xml:space="preserve">Air fresheners refill </v>
      </c>
      <c r="H26" s="11" t="s">
        <v>477</v>
      </c>
      <c r="I26" s="31">
        <v>3500</v>
      </c>
      <c r="J26" s="12">
        <v>3516</v>
      </c>
      <c r="K26" s="13">
        <v>84</v>
      </c>
      <c r="L26" s="13">
        <v>15</v>
      </c>
      <c r="M26" s="13">
        <v>0</v>
      </c>
      <c r="N26" s="1"/>
      <c r="O26" s="1"/>
      <c r="P26" s="17">
        <f>55</f>
        <v>55</v>
      </c>
      <c r="Q26" s="1"/>
      <c r="R26" s="1"/>
      <c r="S26" s="1"/>
      <c r="T26" s="1"/>
      <c r="U26" s="1">
        <f>6</f>
        <v>6</v>
      </c>
      <c r="V26" s="40">
        <f t="shared" si="0"/>
        <v>0</v>
      </c>
      <c r="W26" s="40">
        <f t="shared" si="1"/>
        <v>0</v>
      </c>
      <c r="X26" s="40">
        <f t="shared" si="2"/>
        <v>1.7035775127768314E-3</v>
      </c>
      <c r="Y26" s="2">
        <f t="shared" si="3"/>
        <v>0.76103896103896107</v>
      </c>
      <c r="Z26" s="2">
        <f t="shared" si="4"/>
        <v>1</v>
      </c>
      <c r="AA26" s="2">
        <f t="shared" si="5"/>
        <v>0.76103896103896107</v>
      </c>
      <c r="AB26" s="1"/>
    </row>
    <row r="27" spans="1:28" x14ac:dyDescent="0.25">
      <c r="A27" s="15" t="s">
        <v>425</v>
      </c>
      <c r="B27" s="16" t="s">
        <v>432</v>
      </c>
      <c r="C27" s="10" t="s">
        <v>433</v>
      </c>
      <c r="D27" s="10" t="str">
        <f>VLOOKUP(C27,Setup!A:F,3,)</f>
        <v>Air freshener GREEN COLLECTION BY PROVENCEParadise pleasure, 250 ml</v>
      </c>
      <c r="E27" s="10" t="str">
        <f>VLOOKUP(C27,Setup!A:F,4,)</f>
        <v>GREEN COLLECTION BY PROVENCE</v>
      </c>
      <c r="F27" s="10" t="str">
        <f>VLOOKUP(C27,Setup!A:F,5,)</f>
        <v>AIR FRESHENERS</v>
      </c>
      <c r="G27" s="10" t="str">
        <f>VLOOKUP(C27,Setup!A:F,6,)</f>
        <v xml:space="preserve">Air fresheners refill </v>
      </c>
      <c r="H27" s="11" t="s">
        <v>478</v>
      </c>
      <c r="I27" s="31">
        <v>1488</v>
      </c>
      <c r="J27" s="12">
        <v>1416</v>
      </c>
      <c r="K27" s="13">
        <v>84</v>
      </c>
      <c r="L27" s="13">
        <v>15</v>
      </c>
      <c r="M27" s="13">
        <v>0</v>
      </c>
      <c r="N27" s="1"/>
      <c r="O27" s="1"/>
      <c r="P27" s="17">
        <v>33</v>
      </c>
      <c r="Q27" s="1"/>
      <c r="R27" s="1"/>
      <c r="S27" s="1"/>
      <c r="T27" s="1"/>
      <c r="U27" s="1">
        <f>4</f>
        <v>4</v>
      </c>
      <c r="V27" s="40">
        <f t="shared" si="0"/>
        <v>0</v>
      </c>
      <c r="W27" s="40">
        <f t="shared" si="1"/>
        <v>0</v>
      </c>
      <c r="X27" s="40">
        <f t="shared" si="2"/>
        <v>2.8169014084507044E-3</v>
      </c>
      <c r="Y27" s="2">
        <f t="shared" si="3"/>
        <v>0.51082251082251084</v>
      </c>
      <c r="Z27" s="2">
        <f t="shared" si="4"/>
        <v>1</v>
      </c>
      <c r="AA27" s="2">
        <f t="shared" si="5"/>
        <v>0.51082251082251084</v>
      </c>
      <c r="AB27" s="1"/>
    </row>
    <row r="28" spans="1:28" x14ac:dyDescent="0.25">
      <c r="A28" s="15" t="s">
        <v>425</v>
      </c>
      <c r="B28" s="16" t="s">
        <v>479</v>
      </c>
      <c r="C28" s="10" t="s">
        <v>480</v>
      </c>
      <c r="D28" s="10" t="str">
        <f>VLOOKUP(C28,Setup!A:F,3,)</f>
        <v>Air freshener GREEN COLLECTION BY PROVENCE Blooming Provence, 250 ml</v>
      </c>
      <c r="E28" s="10" t="str">
        <f>VLOOKUP(C28,Setup!A:F,4,)</f>
        <v>GREEN COLLECTION BY PROVENCE</v>
      </c>
      <c r="F28" s="10" t="str">
        <f>VLOOKUP(C28,Setup!A:F,5,)</f>
        <v>AIR FRESHENERS</v>
      </c>
      <c r="G28" s="10" t="str">
        <f>VLOOKUP(C28,Setup!A:F,6,)</f>
        <v xml:space="preserve">Air fresheners refill </v>
      </c>
      <c r="H28" s="11" t="s">
        <v>481</v>
      </c>
      <c r="I28" s="31">
        <v>2300</v>
      </c>
      <c r="J28" s="12">
        <f>1860+360</f>
        <v>2220</v>
      </c>
      <c r="K28" s="13">
        <v>84</v>
      </c>
      <c r="L28" s="13">
        <v>15</v>
      </c>
      <c r="M28" s="13">
        <v>0</v>
      </c>
      <c r="N28" s="1"/>
      <c r="O28" s="1"/>
      <c r="P28" s="17">
        <f>48-10+4</f>
        <v>42</v>
      </c>
      <c r="Q28" s="1"/>
      <c r="R28" s="1"/>
      <c r="S28" s="1"/>
      <c r="T28" s="1"/>
      <c r="U28" s="1">
        <f>6+6</f>
        <v>12</v>
      </c>
      <c r="V28" s="40">
        <f t="shared" si="0"/>
        <v>0</v>
      </c>
      <c r="W28" s="40">
        <f t="shared" si="1"/>
        <v>0</v>
      </c>
      <c r="X28" s="40">
        <f t="shared" si="2"/>
        <v>5.3763440860215058E-3</v>
      </c>
      <c r="Y28" s="2">
        <f t="shared" si="3"/>
        <v>0.62925170068027214</v>
      </c>
      <c r="Z28" s="2">
        <f t="shared" si="4"/>
        <v>1</v>
      </c>
      <c r="AA28" s="2">
        <f t="shared" si="5"/>
        <v>0.62925170068027214</v>
      </c>
      <c r="AB28" s="1"/>
    </row>
    <row r="29" spans="1:28" x14ac:dyDescent="0.25">
      <c r="A29" s="15" t="s">
        <v>425</v>
      </c>
      <c r="B29" s="16" t="s">
        <v>64</v>
      </c>
      <c r="C29" s="10" t="s">
        <v>65</v>
      </c>
      <c r="D29" s="10" t="str">
        <f>VLOOKUP(C29,Setup!A:F,3,)</f>
        <v>Air freshener VERTI Vetiver and bamboo, 250 ml</v>
      </c>
      <c r="E29" s="10" t="str">
        <f>VLOOKUP(C29,Setup!A:F,4,)</f>
        <v>VERTI</v>
      </c>
      <c r="F29" s="10" t="str">
        <f>VLOOKUP(C29,Setup!A:F,5,)</f>
        <v>AIR FRESHENERS</v>
      </c>
      <c r="G29" s="10" t="str">
        <f>VLOOKUP(C29,Setup!A:F,6,)</f>
        <v xml:space="preserve">Air fresheners refill </v>
      </c>
      <c r="H29" s="11" t="s">
        <v>482</v>
      </c>
      <c r="I29" s="31">
        <v>7000</v>
      </c>
      <c r="J29" s="12">
        <v>7038</v>
      </c>
      <c r="K29" s="13">
        <v>84</v>
      </c>
      <c r="L29" s="13">
        <v>15</v>
      </c>
      <c r="M29" s="13">
        <v>0</v>
      </c>
      <c r="N29" s="1"/>
      <c r="O29" s="1"/>
      <c r="P29" s="17">
        <v>131</v>
      </c>
      <c r="Q29" s="1">
        <v>3</v>
      </c>
      <c r="R29" s="1">
        <v>4</v>
      </c>
      <c r="S29" s="1"/>
      <c r="T29" s="1"/>
      <c r="U29" s="1">
        <v>6</v>
      </c>
      <c r="V29" s="40">
        <f t="shared" si="0"/>
        <v>4.2607584149978694E-4</v>
      </c>
      <c r="W29" s="40">
        <f t="shared" si="1"/>
        <v>5.6802044873615449E-4</v>
      </c>
      <c r="X29" s="40">
        <f t="shared" si="2"/>
        <v>8.5178875638841568E-4</v>
      </c>
      <c r="Y29" s="2">
        <f t="shared" si="3"/>
        <v>0.63958560523446017</v>
      </c>
      <c r="Z29" s="2">
        <f t="shared" si="4"/>
        <v>0.99943197955126384</v>
      </c>
      <c r="AA29" s="2">
        <f t="shared" si="5"/>
        <v>0.63922230753196974</v>
      </c>
      <c r="AB29" s="1"/>
    </row>
    <row r="30" spans="1:28" x14ac:dyDescent="0.25">
      <c r="A30" s="15" t="s">
        <v>425</v>
      </c>
      <c r="B30" s="16" t="s">
        <v>73</v>
      </c>
      <c r="C30" s="10" t="s">
        <v>74</v>
      </c>
      <c r="D30" s="10" t="str">
        <f>VLOOKUP(C30,Setup!A:F,3,)</f>
        <v>Air freshener VERTI Magnolia, 250 ml</v>
      </c>
      <c r="E30" s="10" t="str">
        <f>VLOOKUP(C30,Setup!A:F,4,)</f>
        <v>VERTI</v>
      </c>
      <c r="F30" s="10" t="str">
        <f>VLOOKUP(C30,Setup!A:F,5,)</f>
        <v>AIR FRESHENERS</v>
      </c>
      <c r="G30" s="10" t="str">
        <f>VLOOKUP(C30,Setup!A:F,6,)</f>
        <v xml:space="preserve">Air fresheners refill </v>
      </c>
      <c r="H30" s="11" t="s">
        <v>483</v>
      </c>
      <c r="I30" s="31">
        <v>7000</v>
      </c>
      <c r="J30" s="12">
        <v>7122</v>
      </c>
      <c r="K30" s="13">
        <v>84</v>
      </c>
      <c r="L30" s="13">
        <v>15</v>
      </c>
      <c r="M30" s="13">
        <v>0</v>
      </c>
      <c r="N30" s="1"/>
      <c r="O30" s="1"/>
      <c r="P30" s="17">
        <v>100</v>
      </c>
      <c r="Q30" s="1"/>
      <c r="R30" s="1"/>
      <c r="S30" s="1"/>
      <c r="T30" s="1"/>
      <c r="U30" s="1">
        <v>6</v>
      </c>
      <c r="V30" s="40">
        <f t="shared" si="0"/>
        <v>0</v>
      </c>
      <c r="W30" s="40">
        <f t="shared" si="1"/>
        <v>0</v>
      </c>
      <c r="X30" s="40">
        <f t="shared" si="2"/>
        <v>8.4175084175084171E-4</v>
      </c>
      <c r="Y30" s="2">
        <f t="shared" si="3"/>
        <v>0.84785714285714286</v>
      </c>
      <c r="Z30" s="2">
        <f t="shared" si="4"/>
        <v>1</v>
      </c>
      <c r="AA30" s="2">
        <f t="shared" si="5"/>
        <v>0.84785714285714286</v>
      </c>
      <c r="AB30" s="1"/>
    </row>
    <row r="31" spans="1:28" x14ac:dyDescent="0.25">
      <c r="A31" s="15" t="s">
        <v>425</v>
      </c>
      <c r="B31" s="16" t="s">
        <v>67</v>
      </c>
      <c r="C31" s="10" t="s">
        <v>68</v>
      </c>
      <c r="D31" s="10" t="str">
        <f>VLOOKUP(C31,Setup!A:F,3,)</f>
        <v>Air freshener VERTI Sea salt and white tree, 250 ml</v>
      </c>
      <c r="E31" s="10" t="str">
        <f>VLOOKUP(C31,Setup!A:F,4,)</f>
        <v>VERTI</v>
      </c>
      <c r="F31" s="10" t="str">
        <f>VLOOKUP(C31,Setup!A:F,5,)</f>
        <v>AIR FRESHENERS</v>
      </c>
      <c r="G31" s="10" t="str">
        <f>VLOOKUP(C31,Setup!A:F,6,)</f>
        <v xml:space="preserve">Air fresheners refill </v>
      </c>
      <c r="H31" s="11" t="s">
        <v>484</v>
      </c>
      <c r="I31" s="31">
        <v>7000</v>
      </c>
      <c r="J31" s="12">
        <v>7062</v>
      </c>
      <c r="K31" s="13">
        <v>84</v>
      </c>
      <c r="L31" s="13">
        <v>15</v>
      </c>
      <c r="M31" s="13">
        <v>0</v>
      </c>
      <c r="N31" s="1"/>
      <c r="O31" s="1"/>
      <c r="P31" s="17">
        <v>102</v>
      </c>
      <c r="Q31" s="1">
        <v>4</v>
      </c>
      <c r="R31" s="1"/>
      <c r="S31" s="1"/>
      <c r="T31" s="1"/>
      <c r="U31" s="1">
        <v>6</v>
      </c>
      <c r="V31" s="40">
        <f t="shared" si="0"/>
        <v>5.6609114067364841E-4</v>
      </c>
      <c r="W31" s="40">
        <f t="shared" si="1"/>
        <v>0</v>
      </c>
      <c r="X31" s="40">
        <f t="shared" si="2"/>
        <v>8.4889643463497452E-4</v>
      </c>
      <c r="Y31" s="2">
        <f t="shared" si="3"/>
        <v>0.82422969187675066</v>
      </c>
      <c r="Z31" s="2">
        <f t="shared" si="4"/>
        <v>1</v>
      </c>
      <c r="AA31" s="2">
        <f t="shared" si="5"/>
        <v>0.82422969187675066</v>
      </c>
      <c r="AB31" s="1"/>
    </row>
    <row r="32" spans="1:28" x14ac:dyDescent="0.25">
      <c r="A32" s="15" t="s">
        <v>425</v>
      </c>
      <c r="B32" s="16" t="s">
        <v>70</v>
      </c>
      <c r="C32" s="10" t="s">
        <v>71</v>
      </c>
      <c r="D32" s="10" t="str">
        <f>VLOOKUP(C32,Setup!A:F,3,)</f>
        <v>Air freshener VERTI Black pepper and orange blossom, 250 ml</v>
      </c>
      <c r="E32" s="10" t="str">
        <f>VLOOKUP(C32,Setup!A:F,4,)</f>
        <v>VERTI</v>
      </c>
      <c r="F32" s="10" t="str">
        <f>VLOOKUP(C32,Setup!A:F,5,)</f>
        <v>AIR FRESHENERS</v>
      </c>
      <c r="G32" s="10" t="str">
        <f>VLOOKUP(C32,Setup!A:F,6,)</f>
        <v xml:space="preserve">Air fresheners refill </v>
      </c>
      <c r="H32" s="11" t="s">
        <v>485</v>
      </c>
      <c r="I32" s="31">
        <v>7000</v>
      </c>
      <c r="J32" s="12">
        <v>7068</v>
      </c>
      <c r="K32" s="13">
        <v>84</v>
      </c>
      <c r="L32" s="13">
        <v>15</v>
      </c>
      <c r="M32" s="13">
        <v>0</v>
      </c>
      <c r="N32" s="1"/>
      <c r="O32" s="1"/>
      <c r="P32" s="17">
        <v>93</v>
      </c>
      <c r="Q32" s="1"/>
      <c r="R32" s="1"/>
      <c r="S32" s="1"/>
      <c r="T32" s="1"/>
      <c r="U32" s="1">
        <v>6</v>
      </c>
      <c r="V32" s="40">
        <f t="shared" si="0"/>
        <v>0</v>
      </c>
      <c r="W32" s="40">
        <f t="shared" si="1"/>
        <v>0</v>
      </c>
      <c r="X32" s="40">
        <f t="shared" si="2"/>
        <v>8.4817642069550466E-4</v>
      </c>
      <c r="Y32" s="2">
        <f t="shared" si="3"/>
        <v>0.90476190476190477</v>
      </c>
      <c r="Z32" s="2">
        <f t="shared" si="4"/>
        <v>1</v>
      </c>
      <c r="AA32" s="2">
        <f t="shared" si="5"/>
        <v>0.90476190476190477</v>
      </c>
      <c r="AB32" s="1"/>
    </row>
    <row r="33" spans="1:28" x14ac:dyDescent="0.25">
      <c r="A33" s="15" t="s">
        <v>425</v>
      </c>
      <c r="B33" s="16" t="s">
        <v>486</v>
      </c>
      <c r="C33" s="10" t="s">
        <v>487</v>
      </c>
      <c r="D33" s="10" t="str">
        <f>VLOOKUP(C33,Setup!A:F,3,)</f>
        <v>Silicone Grease BIG D, 500 ml, Sl</v>
      </c>
      <c r="E33" s="10" t="str">
        <f>VLOOKUP(C33,Setup!A:F,4,)</f>
        <v>BIG D</v>
      </c>
      <c r="F33" s="10" t="str">
        <f>VLOOKUP(C33,Setup!A:F,5,)</f>
        <v>AUTO CARE</v>
      </c>
      <c r="G33" s="10" t="str">
        <f>VLOOKUP(C33,Setup!A:F,6,)</f>
        <v>Silicone grease</v>
      </c>
      <c r="H33" s="11" t="s">
        <v>488</v>
      </c>
      <c r="I33" s="31">
        <v>3000</v>
      </c>
      <c r="J33" s="12">
        <v>3096</v>
      </c>
      <c r="K33" s="13">
        <v>40</v>
      </c>
      <c r="L33" s="13">
        <v>120</v>
      </c>
      <c r="M33" s="13">
        <v>0</v>
      </c>
      <c r="N33" s="1"/>
      <c r="O33" s="1"/>
      <c r="P33" s="17">
        <v>200</v>
      </c>
      <c r="Q33" s="1">
        <v>2</v>
      </c>
      <c r="R33" s="1">
        <v>1</v>
      </c>
      <c r="S33" s="1"/>
      <c r="T33" s="1"/>
      <c r="U33" s="1">
        <v>6</v>
      </c>
      <c r="V33" s="40">
        <f t="shared" si="0"/>
        <v>6.4557779212395089E-4</v>
      </c>
      <c r="W33" s="40">
        <f t="shared" si="1"/>
        <v>3.2289312237649337E-4</v>
      </c>
      <c r="X33" s="40">
        <f t="shared" si="2"/>
        <v>1.9342359767891683E-3</v>
      </c>
      <c r="Y33" s="2">
        <f t="shared" si="3"/>
        <v>0.38700000000000001</v>
      </c>
      <c r="Z33" s="2">
        <f t="shared" si="4"/>
        <v>0.99967710687762346</v>
      </c>
      <c r="AA33" s="2">
        <f t="shared" si="5"/>
        <v>0.38687504036164028</v>
      </c>
      <c r="AB33" s="1"/>
    </row>
    <row r="34" spans="1:28" x14ac:dyDescent="0.25">
      <c r="A34" s="15" t="s">
        <v>425</v>
      </c>
      <c r="B34" s="16" t="s">
        <v>489</v>
      </c>
      <c r="C34" s="10" t="s">
        <v>490</v>
      </c>
      <c r="D34" s="10" t="str">
        <f>VLOOKUP(C34,Setup!A:F,3,)</f>
        <v>Polish TURTLE WAX Cherry , 500 ml</v>
      </c>
      <c r="E34" s="10" t="str">
        <f>VLOOKUP(C34,Setup!A:F,4,)</f>
        <v>TURTLE WAX</v>
      </c>
      <c r="F34" s="10" t="str">
        <f>VLOOKUP(C34,Setup!A:F,5,)</f>
        <v>AUTO CARE</v>
      </c>
      <c r="G34" s="10" t="str">
        <f>VLOOKUP(C34,Setup!A:F,6,)</f>
        <v>Polisher for interior</v>
      </c>
      <c r="H34" s="11" t="s">
        <v>491</v>
      </c>
      <c r="I34" s="31">
        <v>400</v>
      </c>
      <c r="J34" s="12">
        <v>348</v>
      </c>
      <c r="K34" s="13">
        <v>40</v>
      </c>
      <c r="L34" s="13">
        <v>60</v>
      </c>
      <c r="M34" s="13">
        <v>0</v>
      </c>
      <c r="N34" s="1"/>
      <c r="O34" s="1"/>
      <c r="P34" s="17">
        <v>45</v>
      </c>
      <c r="Q34" s="1">
        <v>4</v>
      </c>
      <c r="R34" s="1"/>
      <c r="S34" s="1"/>
      <c r="T34" s="1"/>
      <c r="U34" s="1"/>
      <c r="V34" s="40">
        <f t="shared" si="0"/>
        <v>1.1363636363636364E-2</v>
      </c>
      <c r="W34" s="40">
        <f t="shared" si="1"/>
        <v>0</v>
      </c>
      <c r="X34" s="40">
        <f t="shared" si="2"/>
        <v>0</v>
      </c>
      <c r="Y34" s="2">
        <f t="shared" si="3"/>
        <v>0.19333333333333333</v>
      </c>
      <c r="Z34" s="2">
        <f t="shared" si="4"/>
        <v>1</v>
      </c>
      <c r="AA34" s="2">
        <f t="shared" si="5"/>
        <v>0.19333333333333333</v>
      </c>
      <c r="AB34" s="1"/>
    </row>
    <row r="35" spans="1:28" x14ac:dyDescent="0.25">
      <c r="A35" s="15" t="s">
        <v>425</v>
      </c>
      <c r="B35" s="16" t="s">
        <v>492</v>
      </c>
      <c r="C35" s="10" t="s">
        <v>493</v>
      </c>
      <c r="D35" s="10" t="str">
        <f>VLOOKUP(C35,Setup!A:F,3,)</f>
        <v>Polish TURTLE WAX Lemon, 500 ml</v>
      </c>
      <c r="E35" s="10" t="str">
        <f>VLOOKUP(C35,Setup!A:F,4,)</f>
        <v>TURTLE WAX</v>
      </c>
      <c r="F35" s="10" t="str">
        <f>VLOOKUP(C35,Setup!A:F,5,)</f>
        <v>AUTO CARE</v>
      </c>
      <c r="G35" s="10" t="str">
        <f>VLOOKUP(C35,Setup!A:F,6,)</f>
        <v>Polisher for interior</v>
      </c>
      <c r="H35" s="11" t="s">
        <v>494</v>
      </c>
      <c r="I35" s="31">
        <v>500</v>
      </c>
      <c r="J35" s="12">
        <v>498</v>
      </c>
      <c r="K35" s="13">
        <v>40</v>
      </c>
      <c r="L35" s="13">
        <v>30</v>
      </c>
      <c r="M35" s="13">
        <v>0</v>
      </c>
      <c r="N35" s="1"/>
      <c r="O35" s="1"/>
      <c r="P35" s="17">
        <v>25</v>
      </c>
      <c r="Q35" s="1">
        <v>4</v>
      </c>
      <c r="R35" s="1">
        <v>1</v>
      </c>
      <c r="S35" s="1"/>
      <c r="T35" s="1"/>
      <c r="U35" s="1"/>
      <c r="V35" s="40">
        <f t="shared" si="0"/>
        <v>7.9681274900398405E-3</v>
      </c>
      <c r="W35" s="40">
        <f t="shared" si="1"/>
        <v>2.004008016032064E-3</v>
      </c>
      <c r="X35" s="40">
        <f t="shared" si="2"/>
        <v>0</v>
      </c>
      <c r="Y35" s="2">
        <f t="shared" si="3"/>
        <v>0.498</v>
      </c>
      <c r="Z35" s="2">
        <f t="shared" si="4"/>
        <v>0.99799599198396793</v>
      </c>
      <c r="AA35" s="2">
        <f t="shared" si="5"/>
        <v>0.49700200400801603</v>
      </c>
      <c r="AB35" s="1"/>
    </row>
    <row r="36" spans="1:28" x14ac:dyDescent="0.25">
      <c r="A36" s="15" t="s">
        <v>425</v>
      </c>
      <c r="B36" s="16" t="s">
        <v>495</v>
      </c>
      <c r="C36" s="10" t="s">
        <v>496</v>
      </c>
      <c r="D36" s="10" t="str">
        <f>VLOOKUP(C36,Setup!A:F,3,)</f>
        <v>Air freshener AIR PURE Floral veil, 230 ml, N</v>
      </c>
      <c r="E36" s="10" t="str">
        <f>VLOOKUP(C36,Setup!A:F,4,)</f>
        <v>AIR PURE</v>
      </c>
      <c r="F36" s="10" t="str">
        <f>VLOOKUP(C36,Setup!A:F,5,)</f>
        <v>AIR FRESHENERS</v>
      </c>
      <c r="G36" s="10" t="str">
        <f>VLOOKUP(C36,Setup!A:F,6,)</f>
        <v xml:space="preserve">Air fresheners refill </v>
      </c>
      <c r="H36" s="11" t="s">
        <v>497</v>
      </c>
      <c r="I36" s="31">
        <v>30940</v>
      </c>
      <c r="J36" s="12">
        <v>31044</v>
      </c>
      <c r="K36" s="13">
        <v>84</v>
      </c>
      <c r="L36" s="13">
        <v>60</v>
      </c>
      <c r="M36" s="13">
        <v>0</v>
      </c>
      <c r="N36" s="1"/>
      <c r="O36" s="1"/>
      <c r="P36" s="17">
        <f>35-15+431</f>
        <v>451</v>
      </c>
      <c r="Q36" s="1">
        <v>3</v>
      </c>
      <c r="R36" s="1"/>
      <c r="S36" s="1"/>
      <c r="T36" s="1"/>
      <c r="U36" s="1">
        <v>6</v>
      </c>
      <c r="V36" s="40">
        <f t="shared" si="0"/>
        <v>9.6627693496956226E-5</v>
      </c>
      <c r="W36" s="40">
        <f t="shared" si="1"/>
        <v>0</v>
      </c>
      <c r="X36" s="40">
        <f t="shared" si="2"/>
        <v>1.9323671497584541E-4</v>
      </c>
      <c r="Y36" s="2">
        <f t="shared" si="3"/>
        <v>0.81944884383908778</v>
      </c>
      <c r="Z36" s="2">
        <f t="shared" si="4"/>
        <v>1</v>
      </c>
      <c r="AA36" s="2">
        <f t="shared" si="5"/>
        <v>0.81944884383908778</v>
      </c>
      <c r="AB36" s="1"/>
    </row>
    <row r="37" spans="1:28" x14ac:dyDescent="0.25">
      <c r="A37" s="15" t="s">
        <v>425</v>
      </c>
      <c r="B37" s="16" t="s">
        <v>457</v>
      </c>
      <c r="C37" s="10" t="s">
        <v>458</v>
      </c>
      <c r="D37" s="10" t="str">
        <f>VLOOKUP(C37,Setup!A:F,3,)</f>
        <v>Air freshener AIR PURE Odor blocker Mohito, 230 ml</v>
      </c>
      <c r="E37" s="10" t="str">
        <f>VLOOKUP(C37,Setup!A:F,4,)</f>
        <v>AIR PURE</v>
      </c>
      <c r="F37" s="10" t="str">
        <f>VLOOKUP(C37,Setup!A:F,5,)</f>
        <v>AIR FRESHENERS</v>
      </c>
      <c r="G37" s="10" t="str">
        <f>VLOOKUP(C37,Setup!A:F,6,)</f>
        <v xml:space="preserve">Air fresheners refill </v>
      </c>
      <c r="H37" s="11" t="s">
        <v>498</v>
      </c>
      <c r="I37" s="31">
        <v>30940</v>
      </c>
      <c r="J37" s="12">
        <f>21120+192+9830+4</f>
        <v>31146</v>
      </c>
      <c r="K37" s="13">
        <v>84</v>
      </c>
      <c r="L37" s="13">
        <v>15</v>
      </c>
      <c r="M37" s="13">
        <v>0</v>
      </c>
      <c r="N37" s="1"/>
      <c r="O37" s="1"/>
      <c r="P37" s="17">
        <f>304-15+120</f>
        <v>409</v>
      </c>
      <c r="Q37" s="1">
        <f>1+2</f>
        <v>3</v>
      </c>
      <c r="R37" s="1">
        <v>1</v>
      </c>
      <c r="S37" s="1"/>
      <c r="T37" s="1"/>
      <c r="U37" s="1">
        <v>6</v>
      </c>
      <c r="V37" s="40">
        <f t="shared" si="0"/>
        <v>9.6311278050659733E-5</v>
      </c>
      <c r="W37" s="40">
        <f t="shared" si="1"/>
        <v>3.2105820785308377E-5</v>
      </c>
      <c r="X37" s="40">
        <f t="shared" si="2"/>
        <v>1.926040061633282E-4</v>
      </c>
      <c r="Y37" s="2">
        <f t="shared" si="3"/>
        <v>0.90656653859587844</v>
      </c>
      <c r="Z37" s="2">
        <f t="shared" si="4"/>
        <v>0.99996789417921472</v>
      </c>
      <c r="AA37" s="2">
        <f t="shared" si="5"/>
        <v>0.90653743253306029</v>
      </c>
      <c r="AB37" s="1"/>
    </row>
    <row r="38" spans="1:28" x14ac:dyDescent="0.25">
      <c r="A38" s="15" t="s">
        <v>425</v>
      </c>
      <c r="B38" s="16" t="s">
        <v>499</v>
      </c>
      <c r="C38" s="10" t="s">
        <v>500</v>
      </c>
      <c r="D38" s="10" t="str">
        <f>VLOOKUP(C38,Setup!A:F,3,)</f>
        <v>Air freshener AIR PURE Blooming mountains, 230 ml</v>
      </c>
      <c r="E38" s="10" t="str">
        <f>VLOOKUP(C38,Setup!A:F,4,)</f>
        <v>AIR PURE</v>
      </c>
      <c r="F38" s="10" t="str">
        <f>VLOOKUP(C38,Setup!A:F,5,)</f>
        <v>AIR FRESHENERS</v>
      </c>
      <c r="G38" s="10" t="str">
        <f>VLOOKUP(C38,Setup!A:F,6,)</f>
        <v xml:space="preserve">Air fresheners refill </v>
      </c>
      <c r="H38" s="11" t="s">
        <v>501</v>
      </c>
      <c r="I38" s="31">
        <v>15470</v>
      </c>
      <c r="J38" s="12">
        <v>15480</v>
      </c>
      <c r="K38" s="13">
        <v>84</v>
      </c>
      <c r="L38" s="13">
        <v>15</v>
      </c>
      <c r="M38" s="13">
        <v>0</v>
      </c>
      <c r="N38" s="1"/>
      <c r="O38" s="1"/>
      <c r="P38" s="17">
        <v>210</v>
      </c>
      <c r="Q38" s="1">
        <v>2</v>
      </c>
      <c r="R38" s="1">
        <v>3</v>
      </c>
      <c r="S38" s="1"/>
      <c r="T38" s="1"/>
      <c r="U38" s="1">
        <v>6</v>
      </c>
      <c r="V38" s="40">
        <f t="shared" si="0"/>
        <v>1.2918227619170651E-4</v>
      </c>
      <c r="W38" s="40">
        <f t="shared" si="1"/>
        <v>1.9376089905057158E-4</v>
      </c>
      <c r="X38" s="40">
        <f t="shared" si="2"/>
        <v>3.8744672607516468E-4</v>
      </c>
      <c r="Y38" s="2">
        <f t="shared" si="3"/>
        <v>0.87755102040816324</v>
      </c>
      <c r="Z38" s="2">
        <f t="shared" si="4"/>
        <v>0.99980623910094946</v>
      </c>
      <c r="AA38" s="2">
        <f t="shared" si="5"/>
        <v>0.87738098533348619</v>
      </c>
      <c r="AB38" s="1"/>
    </row>
    <row r="39" spans="1:28" x14ac:dyDescent="0.25">
      <c r="A39" s="15" t="s">
        <v>425</v>
      </c>
      <c r="B39" s="16" t="s">
        <v>454</v>
      </c>
      <c r="C39" s="10" t="s">
        <v>455</v>
      </c>
      <c r="D39" s="10" t="str">
        <f>VLOOKUP(C39,Setup!A:F,3,)</f>
        <v>Air freshener AIR PURE Home Aroma Pineapple punch, 230 ml</v>
      </c>
      <c r="E39" s="10" t="str">
        <f>VLOOKUP(C39,Setup!A:F,4,)</f>
        <v>AIR PURE</v>
      </c>
      <c r="F39" s="10" t="str">
        <f>VLOOKUP(C39,Setup!A:F,5,)</f>
        <v>AIR FRESHENERS</v>
      </c>
      <c r="G39" s="10" t="str">
        <f>VLOOKUP(C39,Setup!A:F,6,)</f>
        <v xml:space="preserve">Air fresheners refill </v>
      </c>
      <c r="H39" s="11" t="s">
        <v>502</v>
      </c>
      <c r="I39" s="31">
        <v>15470</v>
      </c>
      <c r="J39" s="12">
        <v>15474</v>
      </c>
      <c r="K39" s="13">
        <v>84</v>
      </c>
      <c r="L39" s="13">
        <v>15</v>
      </c>
      <c r="M39" s="13">
        <v>0</v>
      </c>
      <c r="N39" s="1"/>
      <c r="O39" s="1"/>
      <c r="P39" s="17">
        <v>215</v>
      </c>
      <c r="Q39" s="1"/>
      <c r="R39" s="1"/>
      <c r="S39" s="1"/>
      <c r="T39" s="1"/>
      <c r="U39" s="1">
        <v>6</v>
      </c>
      <c r="V39" s="40">
        <f t="shared" si="0"/>
        <v>0</v>
      </c>
      <c r="W39" s="40">
        <f t="shared" si="1"/>
        <v>0</v>
      </c>
      <c r="X39" s="40">
        <f t="shared" si="2"/>
        <v>3.875968992248062E-4</v>
      </c>
      <c r="Y39" s="2">
        <f t="shared" si="3"/>
        <v>0.85681063122923584</v>
      </c>
      <c r="Z39" s="2">
        <f t="shared" si="4"/>
        <v>1</v>
      </c>
      <c r="AA39" s="2">
        <f t="shared" si="5"/>
        <v>0.85681063122923584</v>
      </c>
      <c r="AB39" s="1"/>
    </row>
    <row r="40" spans="1:28" x14ac:dyDescent="0.25">
      <c r="A40" s="15" t="s">
        <v>425</v>
      </c>
      <c r="B40" s="16" t="s">
        <v>503</v>
      </c>
      <c r="C40" s="10" t="s">
        <v>504</v>
      </c>
      <c r="D40" s="10" t="str">
        <f>VLOOKUP(C40,Setup!A:F,3,)</f>
        <v>Air freshener MOYA TSENA Typhoon, 250 ml</v>
      </c>
      <c r="E40" s="10" t="str">
        <f>VLOOKUP(C40,Setup!A:F,4,)</f>
        <v>MOYA TSENA</v>
      </c>
      <c r="F40" s="10" t="str">
        <f>VLOOKUP(C40,Setup!A:F,5,)</f>
        <v>AIR FRESHENERS</v>
      </c>
      <c r="G40" s="10" t="str">
        <f>VLOOKUP(C40,Setup!A:F,6,)</f>
        <v xml:space="preserve">Air fresheners refill </v>
      </c>
      <c r="H40" s="11" t="s">
        <v>505</v>
      </c>
      <c r="I40" s="31">
        <v>5203</v>
      </c>
      <c r="J40" s="12">
        <v>5196</v>
      </c>
      <c r="K40" s="13">
        <v>84</v>
      </c>
      <c r="L40" s="13">
        <v>15</v>
      </c>
      <c r="M40" s="13">
        <v>0</v>
      </c>
      <c r="N40" s="1"/>
      <c r="O40" s="1"/>
      <c r="P40" s="17">
        <v>95</v>
      </c>
      <c r="Q40" s="1">
        <v>5</v>
      </c>
      <c r="R40" s="1">
        <v>4</v>
      </c>
      <c r="S40" s="1"/>
      <c r="T40" s="1"/>
      <c r="U40" s="1">
        <v>6</v>
      </c>
      <c r="V40" s="40">
        <f t="shared" si="0"/>
        <v>9.6135358584887524E-4</v>
      </c>
      <c r="W40" s="40">
        <f t="shared" si="1"/>
        <v>7.6923076923076923E-4</v>
      </c>
      <c r="X40" s="40">
        <f t="shared" si="2"/>
        <v>1.1534025374855825E-3</v>
      </c>
      <c r="Y40" s="2">
        <f t="shared" si="3"/>
        <v>0.65112781954887222</v>
      </c>
      <c r="Z40" s="2">
        <f t="shared" si="4"/>
        <v>0.99923076923076926</v>
      </c>
      <c r="AA40" s="2">
        <f t="shared" si="5"/>
        <v>0.65062695199537313</v>
      </c>
      <c r="AB40" s="1"/>
    </row>
    <row r="41" spans="1:28" x14ac:dyDescent="0.25">
      <c r="A41" s="15" t="s">
        <v>425</v>
      </c>
      <c r="B41" s="16" t="s">
        <v>506</v>
      </c>
      <c r="C41" s="10" t="s">
        <v>507</v>
      </c>
      <c r="D41" s="10" t="str">
        <f>VLOOKUP(C41,Setup!A:F,3,)</f>
        <v>Air freshener NUZHNIE VESHI Juicy lime, 250 ml, N</v>
      </c>
      <c r="E41" s="10" t="str">
        <f>VLOOKUP(C41,Setup!A:F,4,)</f>
        <v>NUZHNYE VESHI</v>
      </c>
      <c r="F41" s="10" t="str">
        <f>VLOOKUP(C41,Setup!A:F,5,)</f>
        <v>AIR FRESHENERS</v>
      </c>
      <c r="G41" s="10" t="str">
        <f>VLOOKUP(C41,Setup!A:F,6,)</f>
        <v xml:space="preserve">Air fresheners refill </v>
      </c>
      <c r="H41" s="11" t="s">
        <v>508</v>
      </c>
      <c r="I41" s="31">
        <v>4043</v>
      </c>
      <c r="J41" s="12">
        <f>4056+8</f>
        <v>4064</v>
      </c>
      <c r="K41" s="13">
        <v>84</v>
      </c>
      <c r="L41" s="13">
        <v>15</v>
      </c>
      <c r="M41" s="13">
        <v>0</v>
      </c>
      <c r="N41" s="1"/>
      <c r="O41" s="1"/>
      <c r="P41" s="17">
        <v>62</v>
      </c>
      <c r="Q41" s="1">
        <v>2</v>
      </c>
      <c r="R41" s="1"/>
      <c r="S41" s="1"/>
      <c r="T41" s="1"/>
      <c r="U41" s="1">
        <v>6</v>
      </c>
      <c r="V41" s="40">
        <f t="shared" si="0"/>
        <v>4.9188391539596653E-4</v>
      </c>
      <c r="W41" s="40">
        <f t="shared" si="1"/>
        <v>0</v>
      </c>
      <c r="X41" s="40">
        <f t="shared" si="2"/>
        <v>1.4742014742014742E-3</v>
      </c>
      <c r="Y41" s="2">
        <f t="shared" si="3"/>
        <v>0.7803379416282642</v>
      </c>
      <c r="Z41" s="2">
        <f t="shared" si="4"/>
        <v>1</v>
      </c>
      <c r="AA41" s="2">
        <f t="shared" si="5"/>
        <v>0.7803379416282642</v>
      </c>
      <c r="AB41" s="1"/>
    </row>
    <row r="42" spans="1:28" x14ac:dyDescent="0.25">
      <c r="A42" s="15" t="s">
        <v>425</v>
      </c>
      <c r="B42" s="16" t="s">
        <v>509</v>
      </c>
      <c r="C42" s="10" t="s">
        <v>510</v>
      </c>
      <c r="D42" s="10" t="str">
        <f>VLOOKUP(C42,Setup!A:F,3,)</f>
        <v>Air freshener NUZHNIE VESHI Tropical orchid, 250 ml, N</v>
      </c>
      <c r="E42" s="10" t="str">
        <f>VLOOKUP(C42,Setup!A:F,4,)</f>
        <v>NUZHNYE VESHI</v>
      </c>
      <c r="F42" s="10" t="str">
        <f>VLOOKUP(C42,Setup!A:F,5,)</f>
        <v>AIR FRESHENERS</v>
      </c>
      <c r="G42" s="10" t="str">
        <f>VLOOKUP(C42,Setup!A:F,6,)</f>
        <v xml:space="preserve">Air fresheners refill </v>
      </c>
      <c r="H42" s="11" t="s">
        <v>511</v>
      </c>
      <c r="I42" s="31">
        <v>4420</v>
      </c>
      <c r="J42" s="12">
        <f>1152+3252+6</f>
        <v>4410</v>
      </c>
      <c r="K42" s="13">
        <v>84</v>
      </c>
      <c r="L42" s="13">
        <v>15</v>
      </c>
      <c r="M42" s="13">
        <v>0</v>
      </c>
      <c r="N42" s="1"/>
      <c r="O42" s="1"/>
      <c r="P42" s="17">
        <f>33-10+45</f>
        <v>68</v>
      </c>
      <c r="Q42" s="1">
        <v>1</v>
      </c>
      <c r="R42" s="1">
        <f>1</f>
        <v>1</v>
      </c>
      <c r="S42" s="1"/>
      <c r="T42" s="1"/>
      <c r="U42" s="1">
        <v>6</v>
      </c>
      <c r="V42" s="40">
        <f t="shared" si="0"/>
        <v>2.2670596236681024E-4</v>
      </c>
      <c r="W42" s="40">
        <f t="shared" si="1"/>
        <v>2.2670596236681024E-4</v>
      </c>
      <c r="X42" s="40">
        <f t="shared" si="2"/>
        <v>1.358695652173913E-3</v>
      </c>
      <c r="Y42" s="2">
        <f t="shared" si="3"/>
        <v>0.7720588235294118</v>
      </c>
      <c r="Z42" s="2">
        <f t="shared" si="4"/>
        <v>0.99977329403763315</v>
      </c>
      <c r="AA42" s="2">
        <f t="shared" si="5"/>
        <v>0.77188379319081979</v>
      </c>
      <c r="AB42" s="1"/>
    </row>
    <row r="43" spans="1:28" x14ac:dyDescent="0.25">
      <c r="A43" s="15" t="s">
        <v>425</v>
      </c>
      <c r="B43" s="16" t="s">
        <v>512</v>
      </c>
      <c r="C43" s="10" t="s">
        <v>513</v>
      </c>
      <c r="D43" s="10" t="str">
        <f>VLOOKUP(C43,Setup!A:F,3,)</f>
        <v>Air freshener NUZHNIE VESHI Blooming sakura, 250 ml, N</v>
      </c>
      <c r="E43" s="10" t="str">
        <f>VLOOKUP(C43,Setup!A:F,4,)</f>
        <v>NUZHNYE VESHI</v>
      </c>
      <c r="F43" s="10" t="str">
        <f>VLOOKUP(C43,Setup!A:F,5,)</f>
        <v>AIR FRESHENERS</v>
      </c>
      <c r="G43" s="10" t="str">
        <f>VLOOKUP(C43,Setup!A:F,6,)</f>
        <v xml:space="preserve">Air fresheners refill </v>
      </c>
      <c r="H43" s="11" t="s">
        <v>514</v>
      </c>
      <c r="I43" s="31">
        <v>13260</v>
      </c>
      <c r="J43" s="12">
        <v>13262</v>
      </c>
      <c r="K43" s="13">
        <v>60</v>
      </c>
      <c r="L43" s="13">
        <v>30</v>
      </c>
      <c r="M43" s="13">
        <v>0</v>
      </c>
      <c r="N43" s="1"/>
      <c r="O43" s="1"/>
      <c r="P43" s="17">
        <v>220</v>
      </c>
      <c r="Q43" s="1">
        <v>3</v>
      </c>
      <c r="R43" s="1">
        <v>2</v>
      </c>
      <c r="S43" s="1"/>
      <c r="T43" s="1"/>
      <c r="U43" s="1">
        <v>6</v>
      </c>
      <c r="V43" s="40">
        <f t="shared" si="0"/>
        <v>2.2615906520919715E-4</v>
      </c>
      <c r="W43" s="40">
        <f t="shared" si="1"/>
        <v>1.5078407720144752E-4</v>
      </c>
      <c r="X43" s="40">
        <f t="shared" si="2"/>
        <v>4.5221585770274342E-4</v>
      </c>
      <c r="Y43" s="2">
        <f t="shared" si="3"/>
        <v>1.0046969696969696</v>
      </c>
      <c r="Z43" s="2">
        <f t="shared" si="4"/>
        <v>0.99984921592279852</v>
      </c>
      <c r="AA43" s="2">
        <f t="shared" si="5"/>
        <v>1.0045454773915268</v>
      </c>
      <c r="AB43" s="1" t="s">
        <v>4859</v>
      </c>
    </row>
    <row r="44" spans="1:28" x14ac:dyDescent="0.25">
      <c r="A44" s="15" t="s">
        <v>425</v>
      </c>
      <c r="B44" s="16" t="s">
        <v>515</v>
      </c>
      <c r="C44" s="10" t="s">
        <v>516</v>
      </c>
      <c r="D44" s="10" t="str">
        <f>VLOOKUP(C44,Setup!A:F,3,)</f>
        <v>Air freshener MOYA TSENA Pomegranate, 250 ml</v>
      </c>
      <c r="E44" s="10" t="str">
        <f>VLOOKUP(C44,Setup!A:F,4,)</f>
        <v>MOYA TSENA</v>
      </c>
      <c r="F44" s="10" t="str">
        <f>VLOOKUP(C44,Setup!A:F,5,)</f>
        <v>AIR FRESHENERS</v>
      </c>
      <c r="G44" s="10" t="str">
        <f>VLOOKUP(C44,Setup!A:F,6,)</f>
        <v xml:space="preserve">Air fresheners refill </v>
      </c>
      <c r="H44" s="11" t="s">
        <v>517</v>
      </c>
      <c r="I44" s="31">
        <v>4420</v>
      </c>
      <c r="J44" s="12">
        <v>4422</v>
      </c>
      <c r="K44" s="13">
        <v>84</v>
      </c>
      <c r="L44" s="13">
        <v>15</v>
      </c>
      <c r="M44" s="13">
        <v>0</v>
      </c>
      <c r="N44" s="1"/>
      <c r="O44" s="1"/>
      <c r="P44" s="17">
        <v>60</v>
      </c>
      <c r="Q44" s="1"/>
      <c r="R44" s="1"/>
      <c r="S44" s="1"/>
      <c r="T44" s="1"/>
      <c r="U44" s="1">
        <v>6</v>
      </c>
      <c r="V44" s="40">
        <f t="shared" si="0"/>
        <v>0</v>
      </c>
      <c r="W44" s="40">
        <f t="shared" si="1"/>
        <v>0</v>
      </c>
      <c r="X44" s="40">
        <f t="shared" si="2"/>
        <v>1.3550135501355014E-3</v>
      </c>
      <c r="Y44" s="2">
        <f t="shared" si="3"/>
        <v>0.87738095238095237</v>
      </c>
      <c r="Z44" s="2">
        <f t="shared" si="4"/>
        <v>1</v>
      </c>
      <c r="AA44" s="2">
        <f t="shared" si="5"/>
        <v>0.87738095238095237</v>
      </c>
      <c r="AB44" s="1" t="s">
        <v>4859</v>
      </c>
    </row>
    <row r="45" spans="1:28" x14ac:dyDescent="0.25">
      <c r="A45" s="15" t="s">
        <v>425</v>
      </c>
      <c r="B45" s="16" t="s">
        <v>518</v>
      </c>
      <c r="C45" s="10" t="s">
        <v>519</v>
      </c>
      <c r="D45" s="10" t="str">
        <f>VLOOKUP(C45,Setup!A:F,3,)</f>
        <v>Air freshener LIBERHAUS Sunny mood, 250 ml</v>
      </c>
      <c r="E45" s="10" t="str">
        <f>VLOOKUP(C45,Setup!A:F,4,)</f>
        <v>LIBERHAUS</v>
      </c>
      <c r="F45" s="10" t="str">
        <f>VLOOKUP(C45,Setup!A:F,5,)</f>
        <v>AIR FRESHENERS</v>
      </c>
      <c r="G45" s="10" t="str">
        <f>VLOOKUP(C45,Setup!A:F,6,)</f>
        <v xml:space="preserve">Air fresheners refill </v>
      </c>
      <c r="H45" s="11" t="s">
        <v>520</v>
      </c>
      <c r="I45" s="31">
        <v>15000</v>
      </c>
      <c r="J45" s="12">
        <f>15056+99</f>
        <v>15155</v>
      </c>
      <c r="K45" s="13">
        <v>84</v>
      </c>
      <c r="L45" s="13">
        <v>30</v>
      </c>
      <c r="M45" s="13">
        <v>0</v>
      </c>
      <c r="N45" s="1"/>
      <c r="O45" s="1"/>
      <c r="P45" s="17">
        <v>275</v>
      </c>
      <c r="Q45" s="1">
        <v>4</v>
      </c>
      <c r="R45" s="1">
        <v>2</v>
      </c>
      <c r="S45" s="1"/>
      <c r="T45" s="1"/>
      <c r="U45" s="1">
        <v>6</v>
      </c>
      <c r="V45" s="40">
        <f t="shared" si="0"/>
        <v>2.6386964839369352E-4</v>
      </c>
      <c r="W45" s="40">
        <f t="shared" si="1"/>
        <v>1.3195223329154845E-4</v>
      </c>
      <c r="X45" s="40">
        <f t="shared" si="2"/>
        <v>3.9575225908581229E-4</v>
      </c>
      <c r="Y45" s="2">
        <f t="shared" si="3"/>
        <v>0.65606060606060601</v>
      </c>
      <c r="Z45" s="2">
        <f t="shared" si="4"/>
        <v>0.99986804776670846</v>
      </c>
      <c r="AA45" s="2">
        <f t="shared" si="5"/>
        <v>0.65597403739846172</v>
      </c>
      <c r="AB45" s="1"/>
    </row>
    <row r="46" spans="1:28" x14ac:dyDescent="0.25">
      <c r="A46" s="15" t="s">
        <v>425</v>
      </c>
      <c r="B46" s="16" t="s">
        <v>521</v>
      </c>
      <c r="C46" s="10" t="s">
        <v>427</v>
      </c>
      <c r="D46" s="10" t="str">
        <f>VLOOKUP(C46,Setup!A:F,3,)</f>
        <v>Air freshener LIBERHAUS Tropical island, 250 ml</v>
      </c>
      <c r="E46" s="10" t="str">
        <f>VLOOKUP(C46,Setup!A:F,4,)</f>
        <v>LIBERHAUS</v>
      </c>
      <c r="F46" s="10" t="str">
        <f>VLOOKUP(C46,Setup!A:F,5,)</f>
        <v>AIR FRESHENERS</v>
      </c>
      <c r="G46" s="10" t="str">
        <f>VLOOKUP(C46,Setup!A:F,6,)</f>
        <v xml:space="preserve">Air fresheners refill </v>
      </c>
      <c r="H46" s="11" t="s">
        <v>522</v>
      </c>
      <c r="I46" s="32">
        <v>28730</v>
      </c>
      <c r="J46" s="12">
        <f>6948+7992+13560</f>
        <v>28500</v>
      </c>
      <c r="K46" s="13">
        <v>84</v>
      </c>
      <c r="L46" s="13">
        <f>15+15</f>
        <v>30</v>
      </c>
      <c r="M46" s="13">
        <v>0</v>
      </c>
      <c r="N46" s="1"/>
      <c r="O46" s="1"/>
      <c r="P46" s="17">
        <f>135-10+100+230</f>
        <v>455</v>
      </c>
      <c r="Q46" s="1">
        <f>4+1</f>
        <v>5</v>
      </c>
      <c r="R46" s="1">
        <f>3</f>
        <v>3</v>
      </c>
      <c r="S46" s="1"/>
      <c r="T46" s="1"/>
      <c r="U46" s="1">
        <v>6</v>
      </c>
      <c r="V46" s="40">
        <f t="shared" si="0"/>
        <v>1.7540782318891423E-4</v>
      </c>
      <c r="W46" s="40">
        <f t="shared" si="1"/>
        <v>1.0525207872855489E-4</v>
      </c>
      <c r="X46" s="40">
        <f t="shared" si="2"/>
        <v>2.1048200378867606E-4</v>
      </c>
      <c r="Y46" s="2">
        <f t="shared" si="3"/>
        <v>0.7456828885400314</v>
      </c>
      <c r="Z46" s="2">
        <f t="shared" si="4"/>
        <v>0.99989474792127142</v>
      </c>
      <c r="AA46" s="2">
        <f t="shared" si="5"/>
        <v>0.74560440386594018</v>
      </c>
      <c r="AB46" s="1"/>
    </row>
    <row r="47" spans="1:28" x14ac:dyDescent="0.25">
      <c r="A47" s="15" t="s">
        <v>425</v>
      </c>
      <c r="B47" s="16" t="s">
        <v>512</v>
      </c>
      <c r="C47" s="10" t="s">
        <v>513</v>
      </c>
      <c r="D47" s="10" t="str">
        <f>VLOOKUP(C47,Setup!A:F,3,)</f>
        <v>Air freshener NUZHNIE VESHI Blooming sakura, 250 ml, N</v>
      </c>
      <c r="E47" s="10" t="str">
        <f>VLOOKUP(C47,Setup!A:F,4,)</f>
        <v>NUZHNYE VESHI</v>
      </c>
      <c r="F47" s="10" t="str">
        <f>VLOOKUP(C47,Setup!A:F,5,)</f>
        <v>AIR FRESHENERS</v>
      </c>
      <c r="G47" s="10" t="str">
        <f>VLOOKUP(C47,Setup!A:F,6,)</f>
        <v xml:space="preserve">Air fresheners refill </v>
      </c>
      <c r="H47" s="11" t="s">
        <v>523</v>
      </c>
      <c r="I47" s="31">
        <v>7972</v>
      </c>
      <c r="J47" s="12">
        <v>8824</v>
      </c>
      <c r="K47" s="13">
        <v>84</v>
      </c>
      <c r="L47" s="13">
        <v>15</v>
      </c>
      <c r="M47" s="13">
        <v>0</v>
      </c>
      <c r="N47" s="1"/>
      <c r="O47" s="1"/>
      <c r="P47" s="17">
        <v>125</v>
      </c>
      <c r="Q47" s="1">
        <v>5</v>
      </c>
      <c r="R47" s="1">
        <v>2</v>
      </c>
      <c r="S47" s="1"/>
      <c r="T47" s="1"/>
      <c r="U47" s="1">
        <v>6</v>
      </c>
      <c r="V47" s="40">
        <f t="shared" si="0"/>
        <v>5.6631555102503112E-4</v>
      </c>
      <c r="W47" s="40">
        <f t="shared" si="1"/>
        <v>2.2660321776569228E-4</v>
      </c>
      <c r="X47" s="40">
        <f t="shared" si="2"/>
        <v>6.7950169875424684E-4</v>
      </c>
      <c r="Y47" s="2">
        <f t="shared" si="3"/>
        <v>0.84038095238095234</v>
      </c>
      <c r="Z47" s="2">
        <f t="shared" si="4"/>
        <v>0.99977339678223431</v>
      </c>
      <c r="AA47" s="2">
        <f t="shared" si="5"/>
        <v>0.84019051935299383</v>
      </c>
      <c r="AB47" s="1"/>
    </row>
    <row r="48" spans="1:28" x14ac:dyDescent="0.25">
      <c r="A48" s="15" t="s">
        <v>425</v>
      </c>
      <c r="B48" s="16" t="s">
        <v>509</v>
      </c>
      <c r="C48" s="10" t="s">
        <v>510</v>
      </c>
      <c r="D48" s="10" t="str">
        <f>VLOOKUP(C48,Setup!A:F,3,)</f>
        <v>Air freshener NUZHNIE VESHI Tropical orchid, 250 ml, N</v>
      </c>
      <c r="E48" s="10" t="str">
        <f>VLOOKUP(C48,Setup!A:F,4,)</f>
        <v>NUZHNYE VESHI</v>
      </c>
      <c r="F48" s="10" t="str">
        <f>VLOOKUP(C48,Setup!A:F,5,)</f>
        <v>AIR FRESHENERS</v>
      </c>
      <c r="G48" s="10" t="str">
        <f>VLOOKUP(C48,Setup!A:F,6,)</f>
        <v xml:space="preserve">Air fresheners refill </v>
      </c>
      <c r="H48" s="11" t="s">
        <v>524</v>
      </c>
      <c r="I48" s="31">
        <v>16214</v>
      </c>
      <c r="J48" s="12">
        <f>8823+8628</f>
        <v>17451</v>
      </c>
      <c r="K48" s="13">
        <v>84</v>
      </c>
      <c r="L48" s="13">
        <v>15</v>
      </c>
      <c r="M48" s="13">
        <v>0</v>
      </c>
      <c r="N48" s="1"/>
      <c r="O48" s="1"/>
      <c r="P48" s="17">
        <v>240</v>
      </c>
      <c r="Q48" s="1">
        <v>3</v>
      </c>
      <c r="R48" s="1"/>
      <c r="S48" s="1"/>
      <c r="T48" s="1"/>
      <c r="U48" s="1">
        <v>6</v>
      </c>
      <c r="V48" s="40">
        <f t="shared" si="0"/>
        <v>1.7188037126160193E-4</v>
      </c>
      <c r="W48" s="40">
        <f t="shared" si="1"/>
        <v>0</v>
      </c>
      <c r="X48" s="40">
        <f t="shared" si="2"/>
        <v>3.4370166695308474E-4</v>
      </c>
      <c r="Y48" s="2">
        <f t="shared" si="3"/>
        <v>0.86562499999999998</v>
      </c>
      <c r="Z48" s="2">
        <f t="shared" si="4"/>
        <v>1</v>
      </c>
      <c r="AA48" s="2">
        <f t="shared" si="5"/>
        <v>0.86562499999999998</v>
      </c>
      <c r="AB48" s="1"/>
    </row>
    <row r="49" spans="1:28" x14ac:dyDescent="0.25">
      <c r="A49" s="15" t="s">
        <v>425</v>
      </c>
      <c r="B49" s="16" t="s">
        <v>506</v>
      </c>
      <c r="C49" s="10" t="s">
        <v>507</v>
      </c>
      <c r="D49" s="10" t="str">
        <f>VLOOKUP(C49,Setup!A:F,3,)</f>
        <v>Air freshener NUZHNIE VESHI Juicy lime, 250 ml, N</v>
      </c>
      <c r="E49" s="10" t="str">
        <f>VLOOKUP(C49,Setup!A:F,4,)</f>
        <v>NUZHNYE VESHI</v>
      </c>
      <c r="F49" s="10" t="str">
        <f>VLOOKUP(C49,Setup!A:F,5,)</f>
        <v>AIR FRESHENERS</v>
      </c>
      <c r="G49" s="10" t="str">
        <f>VLOOKUP(C49,Setup!A:F,6,)</f>
        <v xml:space="preserve">Air fresheners refill </v>
      </c>
      <c r="H49" s="11" t="s">
        <v>525</v>
      </c>
      <c r="I49" s="31">
        <v>16452</v>
      </c>
      <c r="J49" s="12">
        <f>8832+7128+424</f>
        <v>16384</v>
      </c>
      <c r="K49" s="13">
        <v>60</v>
      </c>
      <c r="L49" s="13">
        <v>15</v>
      </c>
      <c r="M49" s="13">
        <v>0</v>
      </c>
      <c r="N49" s="1"/>
      <c r="O49" s="1"/>
      <c r="P49" s="17">
        <f>270-10</f>
        <v>260</v>
      </c>
      <c r="Q49" s="1">
        <v>2</v>
      </c>
      <c r="R49" s="1">
        <v>3</v>
      </c>
      <c r="S49" s="1"/>
      <c r="T49" s="1"/>
      <c r="U49" s="1">
        <v>6</v>
      </c>
      <c r="V49" s="40">
        <f t="shared" si="0"/>
        <v>1.2205541315757354E-4</v>
      </c>
      <c r="W49" s="40">
        <f t="shared" si="1"/>
        <v>1.830719472752792E-4</v>
      </c>
      <c r="X49" s="40">
        <f t="shared" si="2"/>
        <v>3.6607687614399021E-4</v>
      </c>
      <c r="Y49" s="2">
        <f t="shared" si="3"/>
        <v>1.0502564102564103</v>
      </c>
      <c r="Z49" s="2">
        <f t="shared" si="4"/>
        <v>0.99981692805272471</v>
      </c>
      <c r="AA49" s="2">
        <f t="shared" si="5"/>
        <v>1.0500641377702462</v>
      </c>
      <c r="AB49" s="1" t="s">
        <v>4859</v>
      </c>
    </row>
    <row r="50" spans="1:28" x14ac:dyDescent="0.25">
      <c r="A50" s="15" t="s">
        <v>425</v>
      </c>
      <c r="B50" s="16" t="s">
        <v>438</v>
      </c>
      <c r="C50" s="10" t="s">
        <v>439</v>
      </c>
      <c r="D50" s="10" t="str">
        <f>VLOOKUP(C50,Setup!A:F,3,)</f>
        <v>Air freshener GREEN COLLECTION BY PROVENCE Invigorating Lime, 250 ml</v>
      </c>
      <c r="E50" s="10" t="str">
        <f>VLOOKUP(C50,Setup!A:F,4,)</f>
        <v>GREEN COLLECTION BY PROVENCE</v>
      </c>
      <c r="F50" s="10" t="str">
        <f>VLOOKUP(C50,Setup!A:F,5,)</f>
        <v>AIR FRESHENERS</v>
      </c>
      <c r="G50" s="10" t="str">
        <f>VLOOKUP(C50,Setup!A:F,6,)</f>
        <v xml:space="preserve">Air fresheners refill </v>
      </c>
      <c r="H50" s="11" t="s">
        <v>526</v>
      </c>
      <c r="I50" s="31">
        <v>4300</v>
      </c>
      <c r="J50" s="12">
        <v>4212</v>
      </c>
      <c r="K50" s="13">
        <v>84</v>
      </c>
      <c r="L50" s="13">
        <v>15</v>
      </c>
      <c r="M50" s="13">
        <v>0</v>
      </c>
      <c r="N50" s="1"/>
      <c r="O50" s="1"/>
      <c r="P50" s="17">
        <v>70</v>
      </c>
      <c r="Q50" s="1">
        <v>1</v>
      </c>
      <c r="R50" s="1">
        <v>1</v>
      </c>
      <c r="S50" s="1"/>
      <c r="T50" s="1"/>
      <c r="U50" s="1">
        <v>6</v>
      </c>
      <c r="V50" s="40">
        <f t="shared" si="0"/>
        <v>2.3736055067647758E-4</v>
      </c>
      <c r="W50" s="40">
        <f t="shared" si="1"/>
        <v>2.3736055067647758E-4</v>
      </c>
      <c r="X50" s="40">
        <f t="shared" si="2"/>
        <v>1.4224751066856331E-3</v>
      </c>
      <c r="Y50" s="2">
        <f t="shared" si="3"/>
        <v>0.71632653061224494</v>
      </c>
      <c r="Z50" s="2">
        <f t="shared" si="4"/>
        <v>0.99976263944932353</v>
      </c>
      <c r="AA50" s="2">
        <f t="shared" si="5"/>
        <v>0.71615650295247468</v>
      </c>
      <c r="AB50" s="1"/>
    </row>
    <row r="51" spans="1:28" x14ac:dyDescent="0.25">
      <c r="A51" s="15" t="s">
        <v>425</v>
      </c>
      <c r="B51" s="16" t="s">
        <v>440</v>
      </c>
      <c r="C51" s="10" t="s">
        <v>441</v>
      </c>
      <c r="D51" s="10" t="str">
        <f>VLOOKUP(C51,Setup!A:F,3,)</f>
        <v>Air freshener GREEN COLLECTION BY PROVENCE Antitabacco. Mango and vanila. Odor blocker, 250 ml</v>
      </c>
      <c r="E51" s="10" t="str">
        <f>VLOOKUP(C51,Setup!A:F,4,)</f>
        <v>GREEN COLLECTION BY PROVENCE</v>
      </c>
      <c r="F51" s="10" t="str">
        <f>VLOOKUP(C51,Setup!A:F,5,)</f>
        <v>AIR FRESHENERS</v>
      </c>
      <c r="G51" s="10" t="str">
        <f>VLOOKUP(C51,Setup!A:F,6,)</f>
        <v xml:space="preserve">Air fresheners refill </v>
      </c>
      <c r="H51" s="11" t="s">
        <v>527</v>
      </c>
      <c r="I51" s="31">
        <v>5700</v>
      </c>
      <c r="J51" s="12">
        <v>5652</v>
      </c>
      <c r="K51" s="13">
        <v>84</v>
      </c>
      <c r="L51" s="13">
        <v>15</v>
      </c>
      <c r="M51" s="13">
        <v>0</v>
      </c>
      <c r="N51" s="1"/>
      <c r="O51" s="1"/>
      <c r="P51" s="17">
        <v>78</v>
      </c>
      <c r="Q51" s="1">
        <v>1</v>
      </c>
      <c r="R51" s="1">
        <v>1</v>
      </c>
      <c r="S51" s="1"/>
      <c r="T51" s="1"/>
      <c r="U51" s="1">
        <v>6</v>
      </c>
      <c r="V51" s="40">
        <f t="shared" si="0"/>
        <v>1.7689722271360339E-4</v>
      </c>
      <c r="W51" s="40">
        <f t="shared" si="1"/>
        <v>1.7689722271360339E-4</v>
      </c>
      <c r="X51" s="40">
        <f t="shared" si="2"/>
        <v>1.0604453870625664E-3</v>
      </c>
      <c r="Y51" s="2">
        <f t="shared" si="3"/>
        <v>0.86263736263736268</v>
      </c>
      <c r="Z51" s="2">
        <f t="shared" si="4"/>
        <v>0.99982310277728637</v>
      </c>
      <c r="AA51" s="2">
        <f t="shared" si="5"/>
        <v>0.86248476448370315</v>
      </c>
      <c r="AB51" s="1"/>
    </row>
    <row r="52" spans="1:28" x14ac:dyDescent="0.25">
      <c r="A52" s="15" t="s">
        <v>425</v>
      </c>
      <c r="B52" s="16" t="s">
        <v>468</v>
      </c>
      <c r="C52" s="10" t="s">
        <v>469</v>
      </c>
      <c r="D52" s="10" t="str">
        <f>VLOOKUP(C52,Setup!A:F,3,)</f>
        <v>Air freshener GREEN COLLECTION BY PROVENCE Pomegranate Lemonade, 250 ml</v>
      </c>
      <c r="E52" s="10" t="str">
        <f>VLOOKUP(C52,Setup!A:F,4,)</f>
        <v>GREEN COLLECTION BY PROVENCE</v>
      </c>
      <c r="F52" s="10" t="str">
        <f>VLOOKUP(C52,Setup!A:F,5,)</f>
        <v>AIR FRESHENERS</v>
      </c>
      <c r="G52" s="10" t="str">
        <f>VLOOKUP(C52,Setup!A:F,6,)</f>
        <v xml:space="preserve">Air fresheners refill </v>
      </c>
      <c r="H52" s="11" t="s">
        <v>528</v>
      </c>
      <c r="I52" s="31">
        <v>4300</v>
      </c>
      <c r="J52" s="12">
        <v>4236</v>
      </c>
      <c r="K52" s="13">
        <v>84</v>
      </c>
      <c r="L52" s="13">
        <v>15</v>
      </c>
      <c r="M52" s="13">
        <v>0</v>
      </c>
      <c r="N52" s="1"/>
      <c r="O52" s="1"/>
      <c r="P52" s="17">
        <v>65</v>
      </c>
      <c r="Q52" s="1"/>
      <c r="R52" s="1"/>
      <c r="S52" s="1"/>
      <c r="T52" s="1"/>
      <c r="U52" s="1">
        <v>6</v>
      </c>
      <c r="V52" s="40">
        <f t="shared" si="0"/>
        <v>0</v>
      </c>
      <c r="W52" s="40">
        <f t="shared" si="1"/>
        <v>0</v>
      </c>
      <c r="X52" s="40">
        <f t="shared" si="2"/>
        <v>1.4144271570014145E-3</v>
      </c>
      <c r="Y52" s="2">
        <f t="shared" si="3"/>
        <v>0.77582417582417584</v>
      </c>
      <c r="Z52" s="2">
        <f t="shared" si="4"/>
        <v>1</v>
      </c>
      <c r="AA52" s="2">
        <f t="shared" si="5"/>
        <v>0.77582417582417584</v>
      </c>
      <c r="AB52" s="1"/>
    </row>
    <row r="53" spans="1:28" x14ac:dyDescent="0.25">
      <c r="A53" s="15" t="s">
        <v>425</v>
      </c>
      <c r="B53" s="16" t="s">
        <v>471</v>
      </c>
      <c r="C53" s="10" t="s">
        <v>472</v>
      </c>
      <c r="D53" s="10" t="str">
        <f>VLOOKUP(C53,Setup!A:F,3,)</f>
        <v>Air freshener GREEN COLLECTION BY PROVENCE Azure Alps, 250 ml</v>
      </c>
      <c r="E53" s="10" t="str">
        <f>VLOOKUP(C53,Setup!A:F,4,)</f>
        <v>GREEN COLLECTION BY PROVENCE</v>
      </c>
      <c r="F53" s="10" t="str">
        <f>VLOOKUP(C53,Setup!A:F,5,)</f>
        <v>AIR FRESHENERS</v>
      </c>
      <c r="G53" s="10" t="str">
        <f>VLOOKUP(C53,Setup!A:F,6,)</f>
        <v xml:space="preserve">Air fresheners refill </v>
      </c>
      <c r="H53" s="11" t="s">
        <v>529</v>
      </c>
      <c r="I53" s="31">
        <v>6400</v>
      </c>
      <c r="J53" s="12">
        <v>6180</v>
      </c>
      <c r="K53" s="13">
        <v>84</v>
      </c>
      <c r="L53" s="13">
        <v>15</v>
      </c>
      <c r="M53" s="13">
        <v>0</v>
      </c>
      <c r="N53" s="1"/>
      <c r="O53" s="1"/>
      <c r="P53" s="17">
        <v>100</v>
      </c>
      <c r="Q53" s="1">
        <v>1</v>
      </c>
      <c r="R53" s="1">
        <v>2</v>
      </c>
      <c r="S53" s="1"/>
      <c r="T53" s="1"/>
      <c r="U53" s="1">
        <v>6</v>
      </c>
      <c r="V53" s="40">
        <f t="shared" si="0"/>
        <v>1.6178611875101117E-4</v>
      </c>
      <c r="W53" s="40">
        <f t="shared" si="1"/>
        <v>3.2351989647363315E-4</v>
      </c>
      <c r="X53" s="40">
        <f t="shared" si="2"/>
        <v>9.6993210475266732E-4</v>
      </c>
      <c r="Y53" s="2">
        <f t="shared" si="3"/>
        <v>0.73571428571428577</v>
      </c>
      <c r="Z53" s="2">
        <f t="shared" si="4"/>
        <v>0.99967648010352639</v>
      </c>
      <c r="AA53" s="2">
        <f t="shared" si="5"/>
        <v>0.73547626750473727</v>
      </c>
      <c r="AB53" s="1"/>
    </row>
    <row r="54" spans="1:28" x14ac:dyDescent="0.25">
      <c r="A54" s="15" t="s">
        <v>425</v>
      </c>
      <c r="B54" s="16" t="s">
        <v>530</v>
      </c>
      <c r="C54" s="10" t="s">
        <v>531</v>
      </c>
      <c r="D54" s="10" t="str">
        <f>VLOOKUP(C54,Setup!A:F,3,)</f>
        <v>Air freshener GREEN COLLECTION BY PROVENCE Maritime Riviera, 250 ml</v>
      </c>
      <c r="E54" s="10" t="str">
        <f>VLOOKUP(C54,Setup!A:F,4,)</f>
        <v>GREEN COLLECTION BY PROVENCE</v>
      </c>
      <c r="F54" s="10" t="str">
        <f>VLOOKUP(C54,Setup!A:F,5,)</f>
        <v>AIR FRESHENERS</v>
      </c>
      <c r="G54" s="10" t="str">
        <f>VLOOKUP(C54,Setup!A:F,6,)</f>
        <v xml:space="preserve">Air fresheners refill </v>
      </c>
      <c r="H54" s="11" t="s">
        <v>532</v>
      </c>
      <c r="I54" s="31">
        <v>2500</v>
      </c>
      <c r="J54" s="12">
        <v>2616</v>
      </c>
      <c r="K54" s="13">
        <v>84</v>
      </c>
      <c r="L54" s="13">
        <v>15</v>
      </c>
      <c r="M54" s="13">
        <v>0</v>
      </c>
      <c r="N54" s="1"/>
      <c r="O54" s="1"/>
      <c r="P54" s="17">
        <v>47</v>
      </c>
      <c r="Q54" s="1">
        <v>3</v>
      </c>
      <c r="R54" s="1"/>
      <c r="S54" s="1"/>
      <c r="T54" s="1"/>
      <c r="U54" s="1">
        <v>6</v>
      </c>
      <c r="V54" s="40">
        <f t="shared" si="0"/>
        <v>1.145475372279496E-3</v>
      </c>
      <c r="W54" s="40">
        <f t="shared" si="1"/>
        <v>0</v>
      </c>
      <c r="X54" s="40">
        <f t="shared" si="2"/>
        <v>2.2883295194508009E-3</v>
      </c>
      <c r="Y54" s="2">
        <f t="shared" si="3"/>
        <v>0.66261398176291797</v>
      </c>
      <c r="Z54" s="2">
        <f t="shared" si="4"/>
        <v>1</v>
      </c>
      <c r="AA54" s="2">
        <f t="shared" si="5"/>
        <v>0.66261398176291797</v>
      </c>
      <c r="AB54" s="1"/>
    </row>
    <row r="55" spans="1:28" x14ac:dyDescent="0.25">
      <c r="A55" s="15" t="s">
        <v>425</v>
      </c>
      <c r="B55" s="16" t="s">
        <v>479</v>
      </c>
      <c r="C55" s="10" t="s">
        <v>480</v>
      </c>
      <c r="D55" s="10" t="str">
        <f>VLOOKUP(C55,Setup!A:F,3,)</f>
        <v>Air freshener GREEN COLLECTION BY PROVENCE Blooming Provence, 250 ml</v>
      </c>
      <c r="E55" s="10" t="str">
        <f>VLOOKUP(C55,Setup!A:F,4,)</f>
        <v>GREEN COLLECTION BY PROVENCE</v>
      </c>
      <c r="F55" s="10" t="str">
        <f>VLOOKUP(C55,Setup!A:F,5,)</f>
        <v>AIR FRESHENERS</v>
      </c>
      <c r="G55" s="10" t="str">
        <f>VLOOKUP(C55,Setup!A:F,6,)</f>
        <v xml:space="preserve">Air fresheners refill </v>
      </c>
      <c r="H55" s="11" t="s">
        <v>533</v>
      </c>
      <c r="I55" s="31">
        <v>3885</v>
      </c>
      <c r="J55" s="12">
        <v>3672</v>
      </c>
      <c r="K55" s="13">
        <v>84</v>
      </c>
      <c r="L55" s="13">
        <v>15</v>
      </c>
      <c r="M55" s="13">
        <v>0</v>
      </c>
      <c r="N55" s="1"/>
      <c r="O55" s="1"/>
      <c r="P55" s="17">
        <v>59</v>
      </c>
      <c r="Q55" s="1"/>
      <c r="R55" s="1"/>
      <c r="S55" s="1"/>
      <c r="T55" s="1"/>
      <c r="U55" s="1">
        <v>6</v>
      </c>
      <c r="V55" s="40">
        <f t="shared" si="0"/>
        <v>0</v>
      </c>
      <c r="W55" s="40">
        <f t="shared" si="1"/>
        <v>0</v>
      </c>
      <c r="X55" s="40">
        <f t="shared" si="2"/>
        <v>1.6313213703099511E-3</v>
      </c>
      <c r="Y55" s="2">
        <f t="shared" si="3"/>
        <v>0.7409200968523002</v>
      </c>
      <c r="Z55" s="2">
        <f t="shared" si="4"/>
        <v>1</v>
      </c>
      <c r="AA55" s="2">
        <f t="shared" si="5"/>
        <v>0.7409200968523002</v>
      </c>
      <c r="AB55" s="1"/>
    </row>
    <row r="56" spans="1:28" x14ac:dyDescent="0.25">
      <c r="A56" s="15" t="s">
        <v>425</v>
      </c>
      <c r="B56" s="16" t="s">
        <v>534</v>
      </c>
      <c r="C56" s="10" t="s">
        <v>535</v>
      </c>
      <c r="D56" s="10" t="str">
        <f>VLOOKUP(C56,Setup!A:F,3,)</f>
        <v xml:space="preserve">Air freshener GREEN COLLECTION BY PROVENCE Fruit dessert, 250 ml, Gatter group </v>
      </c>
      <c r="E56" s="10" t="str">
        <f>VLOOKUP(C56,Setup!A:F,4,)</f>
        <v>GREEN COLLECTION BY PROVENCE</v>
      </c>
      <c r="F56" s="10" t="str">
        <f>VLOOKUP(C56,Setup!A:F,5,)</f>
        <v>AIR FRESHENERS</v>
      </c>
      <c r="G56" s="10" t="str">
        <f>VLOOKUP(C56,Setup!A:F,6,)</f>
        <v xml:space="preserve">Air fresheners refill </v>
      </c>
      <c r="H56" s="11" t="s">
        <v>536</v>
      </c>
      <c r="I56" s="31">
        <v>800</v>
      </c>
      <c r="J56" s="12">
        <v>804</v>
      </c>
      <c r="K56" s="13">
        <v>84</v>
      </c>
      <c r="L56" s="13">
        <v>15</v>
      </c>
      <c r="M56" s="13">
        <v>0</v>
      </c>
      <c r="N56" s="1"/>
      <c r="O56" s="1"/>
      <c r="P56" s="17">
        <v>15</v>
      </c>
      <c r="Q56" s="1">
        <f>11+2</f>
        <v>13</v>
      </c>
      <c r="R56" s="1"/>
      <c r="S56" s="1"/>
      <c r="T56" s="1"/>
      <c r="U56" s="1">
        <v>6</v>
      </c>
      <c r="V56" s="40">
        <f t="shared" si="0"/>
        <v>1.591187270501836E-2</v>
      </c>
      <c r="W56" s="40">
        <f t="shared" si="1"/>
        <v>0</v>
      </c>
      <c r="X56" s="40">
        <f t="shared" si="2"/>
        <v>7.4074074074074077E-3</v>
      </c>
      <c r="Y56" s="2">
        <f t="shared" si="3"/>
        <v>0.63809523809523805</v>
      </c>
      <c r="Z56" s="2">
        <f t="shared" si="4"/>
        <v>1</v>
      </c>
      <c r="AA56" s="2">
        <f t="shared" si="5"/>
        <v>0.63809523809523805</v>
      </c>
      <c r="AB56" s="1"/>
    </row>
    <row r="57" spans="1:28" x14ac:dyDescent="0.25">
      <c r="A57" s="15" t="s">
        <v>425</v>
      </c>
      <c r="B57" s="16" t="s">
        <v>429</v>
      </c>
      <c r="C57" s="10" t="s">
        <v>430</v>
      </c>
      <c r="D57" s="10" t="str">
        <f>VLOOKUP(C57,Setup!A:F,3,)</f>
        <v>Air freshener GREEN COLLECTION BY PROVENCE Fruit dessert, 250 ml</v>
      </c>
      <c r="E57" s="10" t="str">
        <f>VLOOKUP(C57,Setup!A:F,4,)</f>
        <v>GREEN COLLECTION BY PROVENCE</v>
      </c>
      <c r="F57" s="10" t="str">
        <f>VLOOKUP(C57,Setup!A:F,5,)</f>
        <v>AIR FRESHENERS</v>
      </c>
      <c r="G57" s="10" t="str">
        <f>VLOOKUP(C57,Setup!A:F,6,)</f>
        <v xml:space="preserve">Air fresheners refill </v>
      </c>
      <c r="H57" s="11" t="s">
        <v>536</v>
      </c>
      <c r="I57" s="31">
        <v>9409</v>
      </c>
      <c r="J57" s="12">
        <f>2112+6792</f>
        <v>8904</v>
      </c>
      <c r="K57" s="13">
        <v>84</v>
      </c>
      <c r="L57" s="13">
        <v>0</v>
      </c>
      <c r="M57" s="13">
        <v>0</v>
      </c>
      <c r="N57" s="1"/>
      <c r="O57" s="1"/>
      <c r="P57" s="17">
        <v>130</v>
      </c>
      <c r="Q57" s="1"/>
      <c r="R57" s="1"/>
      <c r="S57" s="1"/>
      <c r="T57" s="1"/>
      <c r="U57" s="1"/>
      <c r="V57" s="40">
        <f t="shared" si="0"/>
        <v>0</v>
      </c>
      <c r="W57" s="40">
        <f t="shared" si="1"/>
        <v>0</v>
      </c>
      <c r="X57" s="40">
        <f t="shared" si="2"/>
        <v>0</v>
      </c>
      <c r="Y57" s="2">
        <f t="shared" si="3"/>
        <v>0.81538461538461537</v>
      </c>
      <c r="Z57" s="2">
        <f t="shared" si="4"/>
        <v>1</v>
      </c>
      <c r="AA57" s="2">
        <f t="shared" si="5"/>
        <v>0.81538461538461537</v>
      </c>
      <c r="AB57" s="1"/>
    </row>
    <row r="58" spans="1:28" x14ac:dyDescent="0.25">
      <c r="A58" s="15" t="s">
        <v>425</v>
      </c>
      <c r="B58" s="16" t="s">
        <v>432</v>
      </c>
      <c r="C58" s="10" t="s">
        <v>433</v>
      </c>
      <c r="D58" s="10" t="str">
        <f>VLOOKUP(C58,Setup!A:F,3,)</f>
        <v>Air freshener GREEN COLLECTION BY PROVENCEParadise pleasure, 250 ml</v>
      </c>
      <c r="E58" s="10" t="str">
        <f>VLOOKUP(C58,Setup!A:F,4,)</f>
        <v>GREEN COLLECTION BY PROVENCE</v>
      </c>
      <c r="F58" s="10" t="str">
        <f>VLOOKUP(C58,Setup!A:F,5,)</f>
        <v>AIR FRESHENERS</v>
      </c>
      <c r="G58" s="10" t="str">
        <f>VLOOKUP(C58,Setup!A:F,6,)</f>
        <v xml:space="preserve">Air fresheners refill </v>
      </c>
      <c r="H58" s="11" t="s">
        <v>537</v>
      </c>
      <c r="I58" s="31">
        <v>13041</v>
      </c>
      <c r="J58" s="12">
        <v>13356</v>
      </c>
      <c r="K58" s="13">
        <v>84</v>
      </c>
      <c r="L58" s="13">
        <v>15</v>
      </c>
      <c r="M58" s="13">
        <v>0</v>
      </c>
      <c r="N58" s="1"/>
      <c r="O58" s="1"/>
      <c r="P58" s="17">
        <v>199</v>
      </c>
      <c r="Q58" s="1">
        <v>5</v>
      </c>
      <c r="R58" s="1">
        <v>1</v>
      </c>
      <c r="S58" s="1"/>
      <c r="T58" s="1"/>
      <c r="U58" s="1">
        <v>6</v>
      </c>
      <c r="V58" s="40">
        <f t="shared" si="0"/>
        <v>3.7422348626599803E-4</v>
      </c>
      <c r="W58" s="40">
        <f t="shared" si="1"/>
        <v>7.4867110878191204E-5</v>
      </c>
      <c r="X58" s="40">
        <f t="shared" si="2"/>
        <v>4.4903457566232598E-4</v>
      </c>
      <c r="Y58" s="2">
        <f t="shared" si="3"/>
        <v>0.79899497487437188</v>
      </c>
      <c r="Z58" s="2">
        <f t="shared" si="4"/>
        <v>0.99992513288912177</v>
      </c>
      <c r="AA58" s="2">
        <f t="shared" si="5"/>
        <v>0.79893515642899682</v>
      </c>
      <c r="AB58" s="1"/>
    </row>
    <row r="59" spans="1:28" x14ac:dyDescent="0.25">
      <c r="A59" s="15" t="s">
        <v>425</v>
      </c>
      <c r="B59" s="16" t="s">
        <v>474</v>
      </c>
      <c r="C59" s="10" t="s">
        <v>475</v>
      </c>
      <c r="D59" s="10" t="str">
        <f>VLOOKUP(C59,Setup!A:F,3,)</f>
        <v>Air freshener GREEN COLLECTION BY PROVENCE Blooming cherry , 250 ml</v>
      </c>
      <c r="E59" s="10" t="str">
        <f>VLOOKUP(C59,Setup!A:F,4,)</f>
        <v>GREEN COLLECTION BY PROVENCE</v>
      </c>
      <c r="F59" s="10" t="str">
        <f>VLOOKUP(C59,Setup!A:F,5,)</f>
        <v>AIR FRESHENERS</v>
      </c>
      <c r="G59" s="10" t="str">
        <f>VLOOKUP(C59,Setup!A:F,6,)</f>
        <v xml:space="preserve">Air fresheners refill </v>
      </c>
      <c r="H59" s="11" t="s">
        <v>538</v>
      </c>
      <c r="I59" s="31">
        <v>3687</v>
      </c>
      <c r="J59" s="12">
        <v>3672</v>
      </c>
      <c r="K59" s="13">
        <v>84</v>
      </c>
      <c r="L59" s="13">
        <v>15</v>
      </c>
      <c r="M59" s="13">
        <v>0</v>
      </c>
      <c r="N59" s="1"/>
      <c r="O59" s="1"/>
      <c r="P59" s="17">
        <v>69</v>
      </c>
      <c r="Q59" s="1"/>
      <c r="R59" s="1"/>
      <c r="S59" s="1"/>
      <c r="T59" s="1"/>
      <c r="U59" s="1">
        <v>6</v>
      </c>
      <c r="V59" s="40">
        <f t="shared" si="0"/>
        <v>0</v>
      </c>
      <c r="W59" s="40">
        <f t="shared" si="1"/>
        <v>0</v>
      </c>
      <c r="X59" s="40">
        <f t="shared" si="2"/>
        <v>1.6313213703099511E-3</v>
      </c>
      <c r="Y59" s="2">
        <f t="shared" si="3"/>
        <v>0.63354037267080743</v>
      </c>
      <c r="Z59" s="2">
        <f t="shared" si="4"/>
        <v>1</v>
      </c>
      <c r="AA59" s="2">
        <f t="shared" si="5"/>
        <v>0.63354037267080743</v>
      </c>
      <c r="AB59" s="1"/>
    </row>
    <row r="60" spans="1:28" x14ac:dyDescent="0.25">
      <c r="A60" s="15" t="s">
        <v>425</v>
      </c>
      <c r="B60" s="16" t="s">
        <v>448</v>
      </c>
      <c r="C60" s="10" t="s">
        <v>449</v>
      </c>
      <c r="D60" s="10" t="str">
        <f>VLOOKUP(C60,Setup!A:F,3,)</f>
        <v>Air freshener GREEN COLLECTION BY PROVENCE Berry Delight, 250 ml</v>
      </c>
      <c r="E60" s="10" t="str">
        <f>VLOOKUP(C60,Setup!A:F,4,)</f>
        <v>GREEN COLLECTION BY PROVENCE</v>
      </c>
      <c r="F60" s="10" t="str">
        <f>VLOOKUP(C60,Setup!A:F,5,)</f>
        <v>AIR FRESHENERS</v>
      </c>
      <c r="G60" s="10" t="str">
        <f>VLOOKUP(C60,Setup!A:F,6,)</f>
        <v xml:space="preserve">Air fresheners refill </v>
      </c>
      <c r="H60" s="11" t="s">
        <v>539</v>
      </c>
      <c r="I60" s="31">
        <v>6630</v>
      </c>
      <c r="J60" s="12">
        <v>6768</v>
      </c>
      <c r="K60" s="13">
        <v>84</v>
      </c>
      <c r="L60" s="13">
        <v>15</v>
      </c>
      <c r="M60" s="13">
        <v>0</v>
      </c>
      <c r="N60" s="1"/>
      <c r="O60" s="1"/>
      <c r="P60" s="17">
        <v>107</v>
      </c>
      <c r="Q60" s="1"/>
      <c r="R60" s="1"/>
      <c r="S60" s="1"/>
      <c r="T60" s="1"/>
      <c r="U60" s="1">
        <v>6</v>
      </c>
      <c r="V60" s="40">
        <f t="shared" si="0"/>
        <v>0</v>
      </c>
      <c r="W60" s="40">
        <f t="shared" si="1"/>
        <v>0</v>
      </c>
      <c r="X60" s="40">
        <f t="shared" si="2"/>
        <v>8.8573959255978745E-4</v>
      </c>
      <c r="Y60" s="2">
        <f t="shared" si="3"/>
        <v>0.75300400534045397</v>
      </c>
      <c r="Z60" s="2">
        <f t="shared" si="4"/>
        <v>1</v>
      </c>
      <c r="AA60" s="2">
        <f t="shared" si="5"/>
        <v>0.75300400534045397</v>
      </c>
      <c r="AB60" s="1"/>
    </row>
    <row r="61" spans="1:28" x14ac:dyDescent="0.25">
      <c r="A61" s="15" t="s">
        <v>425</v>
      </c>
      <c r="B61" s="16" t="s">
        <v>540</v>
      </c>
      <c r="C61" s="10" t="s">
        <v>541</v>
      </c>
      <c r="D61" s="10" t="str">
        <f>VLOOKUP(C61,Setup!A:F,3,)</f>
        <v>Air freshener GREEN COLLECTION BY PROVENCERoyal Orchid, 250 ml</v>
      </c>
      <c r="E61" s="10" t="str">
        <f>VLOOKUP(C61,Setup!A:F,4,)</f>
        <v>GREEN COLLECTION BY PROVENCE</v>
      </c>
      <c r="F61" s="10" t="str">
        <f>VLOOKUP(C61,Setup!A:F,5,)</f>
        <v>AIR FRESHENERS</v>
      </c>
      <c r="G61" s="10" t="str">
        <f>VLOOKUP(C61,Setup!A:F,6,)</f>
        <v xml:space="preserve">Air fresheners refill </v>
      </c>
      <c r="H61" s="11" t="s">
        <v>542</v>
      </c>
      <c r="I61" s="31">
        <v>3700</v>
      </c>
      <c r="J61" s="12">
        <v>3756</v>
      </c>
      <c r="K61" s="13">
        <v>84</v>
      </c>
      <c r="L61" s="13">
        <v>15</v>
      </c>
      <c r="M61" s="13">
        <v>0</v>
      </c>
      <c r="N61" s="1"/>
      <c r="O61" s="1"/>
      <c r="P61" s="17">
        <v>60</v>
      </c>
      <c r="Q61" s="1"/>
      <c r="R61" s="1"/>
      <c r="S61" s="1"/>
      <c r="T61" s="1"/>
      <c r="U61" s="1">
        <v>6</v>
      </c>
      <c r="V61" s="40">
        <f t="shared" si="0"/>
        <v>0</v>
      </c>
      <c r="W61" s="40">
        <f t="shared" si="1"/>
        <v>0</v>
      </c>
      <c r="X61" s="40">
        <f t="shared" si="2"/>
        <v>1.594896331738437E-3</v>
      </c>
      <c r="Y61" s="2">
        <f t="shared" si="3"/>
        <v>0.74523809523809526</v>
      </c>
      <c r="Z61" s="2">
        <f t="shared" si="4"/>
        <v>1</v>
      </c>
      <c r="AA61" s="2">
        <f t="shared" si="5"/>
        <v>0.74523809523809526</v>
      </c>
      <c r="AB61" s="1"/>
    </row>
    <row r="62" spans="1:28" x14ac:dyDescent="0.25">
      <c r="A62" s="15" t="s">
        <v>425</v>
      </c>
      <c r="B62" s="16" t="s">
        <v>168</v>
      </c>
      <c r="C62" s="10" t="s">
        <v>169</v>
      </c>
      <c r="D62" s="10" t="str">
        <f>VLOOKUP(C62,Setup!A:F,3,)</f>
        <v>Air freshener AIR PURE ALPEN FRESH Tropical flowers, 250 ml</v>
      </c>
      <c r="E62" s="10" t="str">
        <f>VLOOKUP(C62,Setup!A:F,4,)</f>
        <v>ALPEN</v>
      </c>
      <c r="F62" s="10" t="str">
        <f>VLOOKUP(C62,Setup!A:F,5,)</f>
        <v>AIR FRESHENERS</v>
      </c>
      <c r="G62" s="10" t="str">
        <f>VLOOKUP(C62,Setup!A:F,6,)</f>
        <v xml:space="preserve">Air fresheners refill </v>
      </c>
      <c r="H62" s="11" t="s">
        <v>543</v>
      </c>
      <c r="I62" s="31">
        <v>4200</v>
      </c>
      <c r="J62" s="12">
        <v>4152</v>
      </c>
      <c r="K62" s="13">
        <v>84</v>
      </c>
      <c r="L62" s="13">
        <v>15</v>
      </c>
      <c r="M62" s="13">
        <v>0</v>
      </c>
      <c r="N62" s="1"/>
      <c r="O62" s="1"/>
      <c r="P62" s="17">
        <v>76</v>
      </c>
      <c r="Q62" s="1">
        <v>6</v>
      </c>
      <c r="R62" s="1"/>
      <c r="S62" s="1"/>
      <c r="T62" s="1"/>
      <c r="U62" s="1">
        <v>6</v>
      </c>
      <c r="V62" s="40">
        <f t="shared" si="0"/>
        <v>1.443001443001443E-3</v>
      </c>
      <c r="W62" s="40">
        <f t="shared" si="1"/>
        <v>0</v>
      </c>
      <c r="X62" s="40">
        <f t="shared" si="2"/>
        <v>1.443001443001443E-3</v>
      </c>
      <c r="Y62" s="2">
        <f t="shared" si="3"/>
        <v>0.65037593984962405</v>
      </c>
      <c r="Z62" s="2">
        <f t="shared" si="4"/>
        <v>1</v>
      </c>
      <c r="AA62" s="2">
        <f t="shared" si="5"/>
        <v>0.65037593984962405</v>
      </c>
      <c r="AB62" s="1"/>
    </row>
    <row r="63" spans="1:28" x14ac:dyDescent="0.25">
      <c r="A63" s="15" t="s">
        <v>425</v>
      </c>
      <c r="B63" s="16" t="s">
        <v>171</v>
      </c>
      <c r="C63" s="10" t="s">
        <v>172</v>
      </c>
      <c r="D63" s="10" t="str">
        <f>VLOOKUP(C63,Setup!A:F,3,)</f>
        <v>Air freshener AIR PURE ALPEN FRESH Freshness of a waterfall, 250 ml</v>
      </c>
      <c r="E63" s="10" t="str">
        <f>VLOOKUP(C63,Setup!A:F,4,)</f>
        <v>ALPEN</v>
      </c>
      <c r="F63" s="10" t="str">
        <f>VLOOKUP(C63,Setup!A:F,5,)</f>
        <v>AIR FRESHENERS</v>
      </c>
      <c r="G63" s="10" t="str">
        <f>VLOOKUP(C63,Setup!A:F,6,)</f>
        <v xml:space="preserve">Air fresheners refill </v>
      </c>
      <c r="H63" s="11" t="s">
        <v>544</v>
      </c>
      <c r="I63" s="31">
        <v>4200</v>
      </c>
      <c r="J63" s="12">
        <v>4224</v>
      </c>
      <c r="K63" s="13">
        <v>84</v>
      </c>
      <c r="L63" s="13">
        <v>15</v>
      </c>
      <c r="M63" s="13">
        <v>0</v>
      </c>
      <c r="N63" s="1"/>
      <c r="O63" s="1"/>
      <c r="P63" s="17">
        <v>77</v>
      </c>
      <c r="Q63" s="1">
        <v>3</v>
      </c>
      <c r="R63" s="1">
        <v>1</v>
      </c>
      <c r="S63" s="1"/>
      <c r="T63" s="1"/>
      <c r="U63" s="1">
        <v>6</v>
      </c>
      <c r="V63" s="40">
        <f t="shared" si="0"/>
        <v>7.0972320794889996E-4</v>
      </c>
      <c r="W63" s="40">
        <f t="shared" si="1"/>
        <v>2.3668639053254438E-4</v>
      </c>
      <c r="X63" s="40">
        <f t="shared" si="2"/>
        <v>1.4184397163120568E-3</v>
      </c>
      <c r="Y63" s="2">
        <f t="shared" si="3"/>
        <v>0.65306122448979587</v>
      </c>
      <c r="Z63" s="2">
        <f t="shared" si="4"/>
        <v>0.99976331360946746</v>
      </c>
      <c r="AA63" s="2">
        <f t="shared" si="5"/>
        <v>0.65290665378577462</v>
      </c>
      <c r="AB63" s="1"/>
    </row>
    <row r="64" spans="1:28" x14ac:dyDescent="0.25">
      <c r="A64" s="15" t="s">
        <v>425</v>
      </c>
      <c r="B64" s="16" t="s">
        <v>177</v>
      </c>
      <c r="C64" s="10" t="s">
        <v>178</v>
      </c>
      <c r="D64" s="10" t="str">
        <f>VLOOKUP(C64,Setup!A:F,3,)</f>
        <v>Air freshener AIR PURE ALPEN FRESH Aromatic vernissage, 250 ml</v>
      </c>
      <c r="E64" s="10" t="str">
        <f>VLOOKUP(C64,Setup!A:F,4,)</f>
        <v>ALPEN</v>
      </c>
      <c r="F64" s="10" t="str">
        <f>VLOOKUP(C64,Setup!A:F,5,)</f>
        <v>AIR FRESHENERS</v>
      </c>
      <c r="G64" s="10" t="str">
        <f>VLOOKUP(C64,Setup!A:F,6,)</f>
        <v xml:space="preserve">Air fresheners refill </v>
      </c>
      <c r="H64" s="11" t="s">
        <v>545</v>
      </c>
      <c r="I64" s="31">
        <v>6200</v>
      </c>
      <c r="J64" s="12">
        <f>2112+4032</f>
        <v>6144</v>
      </c>
      <c r="K64" s="13">
        <v>84</v>
      </c>
      <c r="L64" s="13">
        <v>15</v>
      </c>
      <c r="M64" s="13">
        <v>0</v>
      </c>
      <c r="N64" s="1">
        <v>52</v>
      </c>
      <c r="O64" s="1" t="s">
        <v>4846</v>
      </c>
      <c r="P64" s="17">
        <f>57+90</f>
        <v>147</v>
      </c>
      <c r="Q64" s="1">
        <v>6</v>
      </c>
      <c r="R64" s="1">
        <f>10+2+1</f>
        <v>13</v>
      </c>
      <c r="S64" s="1"/>
      <c r="T64" s="1"/>
      <c r="U64" s="1">
        <f>6+6</f>
        <v>12</v>
      </c>
      <c r="V64" s="40">
        <f t="shared" si="0"/>
        <v>9.7560975609756097E-4</v>
      </c>
      <c r="W64" s="40">
        <f t="shared" si="1"/>
        <v>2.1114178983271076E-3</v>
      </c>
      <c r="X64" s="40">
        <f t="shared" si="2"/>
        <v>1.9493177387914229E-3</v>
      </c>
      <c r="Y64" s="2">
        <f t="shared" si="3"/>
        <v>0.76992481203007523</v>
      </c>
      <c r="Z64" s="2">
        <f t="shared" si="4"/>
        <v>0.99788858210167286</v>
      </c>
      <c r="AA64" s="2">
        <f t="shared" si="5"/>
        <v>0.76829917900158873</v>
      </c>
      <c r="AB64" s="1"/>
    </row>
    <row r="65" spans="1:28" x14ac:dyDescent="0.25">
      <c r="A65" s="15" t="s">
        <v>425</v>
      </c>
      <c r="B65" s="16" t="s">
        <v>174</v>
      </c>
      <c r="C65" s="10" t="s">
        <v>175</v>
      </c>
      <c r="D65" s="10" t="str">
        <f>VLOOKUP(C65,Setup!A:F,3,)</f>
        <v>Air freshener AIR PURE ALPEN FRESH Sea breeze, 250 ml</v>
      </c>
      <c r="E65" s="10" t="str">
        <f>VLOOKUP(C65,Setup!A:F,4,)</f>
        <v>ALPEN</v>
      </c>
      <c r="F65" s="10" t="str">
        <f>VLOOKUP(C65,Setup!A:F,5,)</f>
        <v>AIR FRESHENERS</v>
      </c>
      <c r="G65" s="10" t="str">
        <f>VLOOKUP(C65,Setup!A:F,6,)</f>
        <v xml:space="preserve">Air fresheners refill </v>
      </c>
      <c r="H65" s="11" t="s">
        <v>546</v>
      </c>
      <c r="I65" s="31">
        <v>6200</v>
      </c>
      <c r="J65" s="12">
        <v>6312</v>
      </c>
      <c r="K65" s="13">
        <v>84</v>
      </c>
      <c r="L65" s="13">
        <v>15</v>
      </c>
      <c r="M65" s="13">
        <v>0</v>
      </c>
      <c r="N65" s="1"/>
      <c r="O65" s="1"/>
      <c r="P65" s="17">
        <v>103</v>
      </c>
      <c r="Q65" s="1">
        <v>2</v>
      </c>
      <c r="R65" s="1">
        <v>2</v>
      </c>
      <c r="S65" s="1"/>
      <c r="T65" s="1"/>
      <c r="U65" s="1">
        <v>6</v>
      </c>
      <c r="V65" s="40">
        <f t="shared" si="0"/>
        <v>3.1675641431738993E-4</v>
      </c>
      <c r="W65" s="40">
        <f t="shared" si="1"/>
        <v>3.1675641431738993E-4</v>
      </c>
      <c r="X65" s="40">
        <f t="shared" si="2"/>
        <v>9.4966761633428305E-4</v>
      </c>
      <c r="Y65" s="2">
        <f t="shared" si="3"/>
        <v>0.72954230235783635</v>
      </c>
      <c r="Z65" s="2">
        <f t="shared" si="4"/>
        <v>0.99968324358568261</v>
      </c>
      <c r="AA65" s="2">
        <f t="shared" si="5"/>
        <v>0.72931121515404862</v>
      </c>
      <c r="AB65" s="1"/>
    </row>
    <row r="66" spans="1:28" x14ac:dyDescent="0.25">
      <c r="A66" s="15" t="s">
        <v>425</v>
      </c>
      <c r="B66" s="16" t="s">
        <v>547</v>
      </c>
      <c r="C66" s="10" t="s">
        <v>548</v>
      </c>
      <c r="D66" s="10" t="str">
        <f>VLOOKUP(C66,Setup!A:F,3,)</f>
        <v>Air freshener FLOWER SHOP Blooming mango and coconut, 250 ml</v>
      </c>
      <c r="E66" s="10" t="str">
        <f>VLOOKUP(C66,Setup!A:F,4,)</f>
        <v>FLOWER SHOP</v>
      </c>
      <c r="F66" s="10" t="str">
        <f>VLOOKUP(C66,Setup!A:F,5,)</f>
        <v>AIR FRESHENERS</v>
      </c>
      <c r="G66" s="10" t="str">
        <f>VLOOKUP(C66,Setup!A:F,6,)</f>
        <v xml:space="preserve">Air fresheners refill </v>
      </c>
      <c r="H66" s="11" t="s">
        <v>549</v>
      </c>
      <c r="I66" s="31">
        <v>4200</v>
      </c>
      <c r="J66" s="12">
        <v>4344</v>
      </c>
      <c r="K66" s="13">
        <v>84</v>
      </c>
      <c r="L66" s="13">
        <v>15</v>
      </c>
      <c r="M66" s="13">
        <v>0</v>
      </c>
      <c r="N66" s="1"/>
      <c r="O66" s="1"/>
      <c r="P66" s="17">
        <v>80</v>
      </c>
      <c r="Q66" s="1">
        <v>24</v>
      </c>
      <c r="R66" s="1">
        <v>1</v>
      </c>
      <c r="S66" s="1"/>
      <c r="T66" s="1"/>
      <c r="U66" s="1">
        <v>6</v>
      </c>
      <c r="V66" s="40">
        <f t="shared" si="0"/>
        <v>5.4945054945054949E-3</v>
      </c>
      <c r="W66" s="40">
        <f t="shared" si="1"/>
        <v>2.3014959723820482E-4</v>
      </c>
      <c r="X66" s="40">
        <f t="shared" si="2"/>
        <v>1.3793103448275861E-3</v>
      </c>
      <c r="Y66" s="2">
        <f t="shared" si="3"/>
        <v>0.64642857142857146</v>
      </c>
      <c r="Z66" s="2">
        <f t="shared" si="4"/>
        <v>0.99976985040276178</v>
      </c>
      <c r="AA66" s="2">
        <f t="shared" si="5"/>
        <v>0.64627979615321385</v>
      </c>
      <c r="AB66" s="1"/>
    </row>
    <row r="67" spans="1:28" x14ac:dyDescent="0.25">
      <c r="A67" s="15" t="s">
        <v>425</v>
      </c>
      <c r="B67" s="16" t="s">
        <v>550</v>
      </c>
      <c r="C67" s="10" t="s">
        <v>551</v>
      </c>
      <c r="D67" s="10" t="str">
        <f>VLOOKUP(C67,Setup!A:F,3,)</f>
        <v>Air freshener FLOWER SHOP Orange and grapefruit, 250 ml</v>
      </c>
      <c r="E67" s="10" t="str">
        <f>VLOOKUP(C67,Setup!A:F,4,)</f>
        <v>FLOWER SHOP</v>
      </c>
      <c r="F67" s="10" t="str">
        <f>VLOOKUP(C67,Setup!A:F,5,)</f>
        <v>AIR FRESHENERS</v>
      </c>
      <c r="G67" s="10" t="str">
        <f>VLOOKUP(C67,Setup!A:F,6,)</f>
        <v xml:space="preserve">Air fresheners refill </v>
      </c>
      <c r="H67" s="11" t="s">
        <v>552</v>
      </c>
      <c r="I67" s="31">
        <v>4200</v>
      </c>
      <c r="J67" s="12">
        <f>4296+12</f>
        <v>4308</v>
      </c>
      <c r="K67" s="13">
        <v>84</v>
      </c>
      <c r="L67" s="13">
        <v>15</v>
      </c>
      <c r="M67" s="13">
        <v>0</v>
      </c>
      <c r="N67" s="1"/>
      <c r="O67" s="1"/>
      <c r="P67" s="17">
        <v>77</v>
      </c>
      <c r="Q67" s="1"/>
      <c r="R67" s="1">
        <v>2</v>
      </c>
      <c r="S67" s="1"/>
      <c r="T67" s="1"/>
      <c r="U67" s="1">
        <v>6</v>
      </c>
      <c r="V67" s="40">
        <f t="shared" ref="V67:V130" si="6">Q67/(Q67+J67)</f>
        <v>0</v>
      </c>
      <c r="W67" s="40">
        <f t="shared" ref="W67:W130" si="7">R67/(R67+J67)</f>
        <v>4.6403712296983759E-4</v>
      </c>
      <c r="X67" s="40">
        <f t="shared" ref="X67:X130" si="8">U67/(U67+J67)</f>
        <v>1.3908205841446453E-3</v>
      </c>
      <c r="Y67" s="2">
        <f t="shared" ref="Y67:Y130" si="9">(J67/(K67*(P67-M67-N67)))</f>
        <v>0.66604823747680886</v>
      </c>
      <c r="Z67" s="2">
        <f t="shared" ref="Z67:Z130" si="10">(J67/(J67+R67+S67-T67))</f>
        <v>0.99953596287703017</v>
      </c>
      <c r="AA67" s="2">
        <f t="shared" ref="AA67:AA130" si="11">Y67*Z67</f>
        <v>0.66573916636893105</v>
      </c>
      <c r="AB67" s="1"/>
    </row>
    <row r="68" spans="1:28" x14ac:dyDescent="0.25">
      <c r="A68" s="15" t="s">
        <v>425</v>
      </c>
      <c r="B68" s="16" t="s">
        <v>553</v>
      </c>
      <c r="C68" s="10" t="s">
        <v>554</v>
      </c>
      <c r="D68" s="10" t="str">
        <f>VLOOKUP(C68,Setup!A:F,3,)</f>
        <v>Air freshener FLOWER SHOP Tiare flower and hibiscus, 250 ml</v>
      </c>
      <c r="E68" s="10" t="str">
        <f>VLOOKUP(C68,Setup!A:F,4,)</f>
        <v>FLOWER SHOP</v>
      </c>
      <c r="F68" s="10" t="str">
        <f>VLOOKUP(C68,Setup!A:F,5,)</f>
        <v>AIR FRESHENERS</v>
      </c>
      <c r="G68" s="10" t="str">
        <f>VLOOKUP(C68,Setup!A:F,6,)</f>
        <v xml:space="preserve">Air fresheners refill </v>
      </c>
      <c r="H68" s="11" t="s">
        <v>555</v>
      </c>
      <c r="I68" s="31">
        <v>4200</v>
      </c>
      <c r="J68" s="12">
        <v>4212</v>
      </c>
      <c r="K68" s="13">
        <v>84</v>
      </c>
      <c r="L68" s="13">
        <v>15</v>
      </c>
      <c r="M68" s="13">
        <v>0</v>
      </c>
      <c r="N68" s="1"/>
      <c r="O68" s="1"/>
      <c r="P68" s="17">
        <v>75</v>
      </c>
      <c r="Q68" s="1">
        <v>1</v>
      </c>
      <c r="R68" s="1">
        <v>2</v>
      </c>
      <c r="S68" s="1"/>
      <c r="T68" s="1"/>
      <c r="U68" s="1">
        <v>6</v>
      </c>
      <c r="V68" s="40">
        <f t="shared" si="6"/>
        <v>2.3736055067647758E-4</v>
      </c>
      <c r="W68" s="40">
        <f t="shared" si="7"/>
        <v>4.7460844803037496E-4</v>
      </c>
      <c r="X68" s="40">
        <f t="shared" si="8"/>
        <v>1.4224751066856331E-3</v>
      </c>
      <c r="Y68" s="2">
        <f t="shared" si="9"/>
        <v>0.66857142857142859</v>
      </c>
      <c r="Z68" s="2">
        <f t="shared" si="10"/>
        <v>0.99952539155196962</v>
      </c>
      <c r="AA68" s="2">
        <f t="shared" si="11"/>
        <v>0.66825411892331688</v>
      </c>
      <c r="AB68" s="1"/>
    </row>
    <row r="69" spans="1:28" x14ac:dyDescent="0.25">
      <c r="A69" s="15" t="s">
        <v>425</v>
      </c>
      <c r="B69" s="16" t="s">
        <v>556</v>
      </c>
      <c r="C69" s="10" t="s">
        <v>557</v>
      </c>
      <c r="D69" s="10" t="str">
        <f>VLOOKUP(C69,Setup!A:F,3,)</f>
        <v>Air freshener FLOWER SHOP Sea minerals, 250 ml</v>
      </c>
      <c r="E69" s="10" t="str">
        <f>VLOOKUP(C69,Setup!A:F,4,)</f>
        <v>FLOWER SHOP</v>
      </c>
      <c r="F69" s="10" t="str">
        <f>VLOOKUP(C69,Setup!A:F,5,)</f>
        <v>AIR FRESHENERS</v>
      </c>
      <c r="G69" s="10" t="str">
        <f>VLOOKUP(C69,Setup!A:F,6,)</f>
        <v xml:space="preserve">Air fresheners refill </v>
      </c>
      <c r="H69" s="11" t="s">
        <v>558</v>
      </c>
      <c r="I69" s="31">
        <v>4200</v>
      </c>
      <c r="J69" s="12">
        <v>4260</v>
      </c>
      <c r="K69" s="13">
        <v>84</v>
      </c>
      <c r="L69" s="13">
        <v>15</v>
      </c>
      <c r="M69" s="13">
        <v>0</v>
      </c>
      <c r="N69" s="1"/>
      <c r="O69" s="1"/>
      <c r="P69" s="17">
        <v>87</v>
      </c>
      <c r="Q69" s="1"/>
      <c r="R69" s="1">
        <v>1</v>
      </c>
      <c r="S69" s="1"/>
      <c r="T69" s="1"/>
      <c r="U69" s="1">
        <v>6</v>
      </c>
      <c r="V69" s="40">
        <f t="shared" si="6"/>
        <v>0</v>
      </c>
      <c r="W69" s="40">
        <f t="shared" si="7"/>
        <v>2.3468669326449191E-4</v>
      </c>
      <c r="X69" s="40">
        <f t="shared" si="8"/>
        <v>1.4064697609001407E-3</v>
      </c>
      <c r="Y69" s="2">
        <f t="shared" si="9"/>
        <v>0.5829228243021346</v>
      </c>
      <c r="Z69" s="2">
        <f t="shared" si="10"/>
        <v>0.99976531330673546</v>
      </c>
      <c r="AA69" s="2">
        <f t="shared" si="11"/>
        <v>0.5827860200720707</v>
      </c>
      <c r="AB69" s="1"/>
    </row>
    <row r="70" spans="1:28" x14ac:dyDescent="0.25">
      <c r="A70" s="15" t="s">
        <v>425</v>
      </c>
      <c r="B70" s="16" t="s">
        <v>521</v>
      </c>
      <c r="C70" s="10" t="s">
        <v>427</v>
      </c>
      <c r="D70" s="10" t="str">
        <f>VLOOKUP(C70,Setup!A:F,3,)</f>
        <v>Air freshener LIBERHAUS Tropical island, 250 ml</v>
      </c>
      <c r="E70" s="10" t="str">
        <f>VLOOKUP(C70,Setup!A:F,4,)</f>
        <v>LIBERHAUS</v>
      </c>
      <c r="F70" s="10" t="str">
        <f>VLOOKUP(C70,Setup!A:F,5,)</f>
        <v>AIR FRESHENERS</v>
      </c>
      <c r="G70" s="10" t="str">
        <f>VLOOKUP(C70,Setup!A:F,6,)</f>
        <v xml:space="preserve">Air fresheners refill </v>
      </c>
      <c r="H70" s="11" t="s">
        <v>559</v>
      </c>
      <c r="I70" s="35">
        <v>35360</v>
      </c>
      <c r="J70" s="12">
        <f>11700+24+23820</f>
        <v>35544</v>
      </c>
      <c r="K70" s="13">
        <v>84</v>
      </c>
      <c r="L70" s="13">
        <v>15</v>
      </c>
      <c r="M70" s="13">
        <f>15+15</f>
        <v>30</v>
      </c>
      <c r="N70" s="1"/>
      <c r="O70" s="1"/>
      <c r="P70" s="17">
        <f>223-10+315</f>
        <v>528</v>
      </c>
      <c r="Q70" s="1">
        <f>6</f>
        <v>6</v>
      </c>
      <c r="R70" s="1">
        <f>12+4</f>
        <v>16</v>
      </c>
      <c r="S70" s="1"/>
      <c r="T70" s="1"/>
      <c r="U70" s="1">
        <v>6</v>
      </c>
      <c r="V70" s="40">
        <f t="shared" si="6"/>
        <v>1.6877637130801687E-4</v>
      </c>
      <c r="W70" s="40">
        <f t="shared" si="7"/>
        <v>4.4994375703037118E-4</v>
      </c>
      <c r="X70" s="40">
        <f t="shared" si="8"/>
        <v>1.6877637130801687E-4</v>
      </c>
      <c r="Y70" s="2">
        <f t="shared" si="9"/>
        <v>0.8496844520940906</v>
      </c>
      <c r="Z70" s="2">
        <f t="shared" si="10"/>
        <v>0.99955005624296966</v>
      </c>
      <c r="AA70" s="2">
        <f t="shared" si="11"/>
        <v>0.8493021418794251</v>
      </c>
      <c r="AB70" s="1"/>
    </row>
    <row r="71" spans="1:28" x14ac:dyDescent="0.25">
      <c r="A71" s="15" t="s">
        <v>425</v>
      </c>
      <c r="B71" s="16" t="s">
        <v>560</v>
      </c>
      <c r="C71" s="10" t="s">
        <v>561</v>
      </c>
      <c r="D71" s="10" t="str">
        <f>VLOOKUP(C71,Setup!A:F,3,)</f>
        <v>Air freshener GREEN COLLECTION BY PROVENCE Invigorating Lime, 250 ml, Sl, N</v>
      </c>
      <c r="E71" s="10" t="str">
        <f>VLOOKUP(C71,Setup!A:F,4,)</f>
        <v>GREEN COLLECTION BY PROVENCE</v>
      </c>
      <c r="F71" s="10" t="str">
        <f>VLOOKUP(C71,Setup!A:F,5,)</f>
        <v>AIR FRESHENERS</v>
      </c>
      <c r="G71" s="10" t="str">
        <f>VLOOKUP(C71,Setup!A:F,6,)</f>
        <v xml:space="preserve">Air fresheners refill </v>
      </c>
      <c r="H71" s="11" t="s">
        <v>562</v>
      </c>
      <c r="I71" s="31">
        <v>4420</v>
      </c>
      <c r="J71" s="12">
        <v>4464</v>
      </c>
      <c r="K71" s="13">
        <v>84</v>
      </c>
      <c r="L71" s="13">
        <v>15</v>
      </c>
      <c r="M71" s="13">
        <v>0</v>
      </c>
      <c r="N71" s="1"/>
      <c r="O71" s="1"/>
      <c r="P71" s="17">
        <v>90</v>
      </c>
      <c r="Q71" s="1">
        <v>2</v>
      </c>
      <c r="R71" s="1">
        <v>1</v>
      </c>
      <c r="S71" s="1"/>
      <c r="T71" s="1"/>
      <c r="U71" s="1">
        <v>6</v>
      </c>
      <c r="V71" s="40">
        <f t="shared" si="6"/>
        <v>4.4782803403493058E-4</v>
      </c>
      <c r="W71" s="40">
        <f t="shared" si="7"/>
        <v>2.2396416573348266E-4</v>
      </c>
      <c r="X71" s="40">
        <f t="shared" si="8"/>
        <v>1.3422818791946308E-3</v>
      </c>
      <c r="Y71" s="2">
        <f t="shared" si="9"/>
        <v>0.59047619047619049</v>
      </c>
      <c r="Z71" s="2">
        <f t="shared" si="10"/>
        <v>0.99977603583426655</v>
      </c>
      <c r="AA71" s="2">
        <f t="shared" si="11"/>
        <v>0.59034394496880505</v>
      </c>
      <c r="AB71" s="1"/>
    </row>
    <row r="72" spans="1:28" x14ac:dyDescent="0.25">
      <c r="A72" s="15" t="s">
        <v>425</v>
      </c>
      <c r="B72" s="16" t="s">
        <v>563</v>
      </c>
      <c r="C72" s="10" t="s">
        <v>564</v>
      </c>
      <c r="D72" s="10" t="str">
        <f>VLOOKUP(C72,Setup!A:F,3,)</f>
        <v xml:space="preserve">Air freshener GREEN COLLECTION BY PROVENCE Azure Alps, 250 ml, Gatter group </v>
      </c>
      <c r="E72" s="10" t="str">
        <f>VLOOKUP(C72,Setup!A:F,4,)</f>
        <v>GREEN COLLECTION BY PROVENCE</v>
      </c>
      <c r="F72" s="10" t="str">
        <f>VLOOKUP(C72,Setup!A:F,5,)</f>
        <v>AIR FRESHENERS</v>
      </c>
      <c r="G72" s="10" t="str">
        <f>VLOOKUP(C72,Setup!A:F,6,)</f>
        <v xml:space="preserve">Air fresheners refill </v>
      </c>
      <c r="H72" s="11" t="s">
        <v>565</v>
      </c>
      <c r="I72" s="31">
        <v>600</v>
      </c>
      <c r="J72" s="12">
        <v>600</v>
      </c>
      <c r="K72" s="13">
        <v>84</v>
      </c>
      <c r="L72" s="13">
        <v>15</v>
      </c>
      <c r="M72" s="13">
        <v>0</v>
      </c>
      <c r="N72" s="1"/>
      <c r="O72" s="1"/>
      <c r="P72" s="17">
        <v>10</v>
      </c>
      <c r="Q72" s="1">
        <v>7</v>
      </c>
      <c r="R72" s="1">
        <v>1</v>
      </c>
      <c r="S72" s="1"/>
      <c r="T72" s="1"/>
      <c r="U72" s="1">
        <v>6</v>
      </c>
      <c r="V72" s="40">
        <f t="shared" si="6"/>
        <v>1.1532125205930808E-2</v>
      </c>
      <c r="W72" s="40">
        <f t="shared" si="7"/>
        <v>1.6638935108153079E-3</v>
      </c>
      <c r="X72" s="40">
        <f t="shared" si="8"/>
        <v>9.9009900990099011E-3</v>
      </c>
      <c r="Y72" s="2">
        <f t="shared" si="9"/>
        <v>0.7142857142857143</v>
      </c>
      <c r="Z72" s="2">
        <f t="shared" si="10"/>
        <v>0.99833610648918469</v>
      </c>
      <c r="AA72" s="2">
        <f t="shared" si="11"/>
        <v>0.71309721892084621</v>
      </c>
      <c r="AB72" s="1"/>
    </row>
    <row r="73" spans="1:28" x14ac:dyDescent="0.25">
      <c r="A73" s="15" t="s">
        <v>425</v>
      </c>
      <c r="B73" s="16" t="s">
        <v>471</v>
      </c>
      <c r="C73" s="10" t="s">
        <v>472</v>
      </c>
      <c r="D73" s="10" t="str">
        <f>VLOOKUP(C73,Setup!A:F,3,)</f>
        <v>Air freshener GREEN COLLECTION BY PROVENCE Azure Alps, 250 ml</v>
      </c>
      <c r="E73" s="10" t="str">
        <f>VLOOKUP(C73,Setup!A:F,4,)</f>
        <v>GREEN COLLECTION BY PROVENCE</v>
      </c>
      <c r="F73" s="10" t="str">
        <f>VLOOKUP(C73,Setup!A:F,5,)</f>
        <v>AIR FRESHENERS</v>
      </c>
      <c r="G73" s="10" t="str">
        <f>VLOOKUP(C73,Setup!A:F,6,)</f>
        <v xml:space="preserve">Air fresheners refill </v>
      </c>
      <c r="H73" s="11" t="s">
        <v>565</v>
      </c>
      <c r="I73" s="31">
        <v>3820</v>
      </c>
      <c r="J73" s="12">
        <v>3792</v>
      </c>
      <c r="K73" s="13">
        <v>84</v>
      </c>
      <c r="L73" s="13">
        <v>0</v>
      </c>
      <c r="M73" s="13">
        <v>0</v>
      </c>
      <c r="N73" s="1"/>
      <c r="O73" s="1"/>
      <c r="P73" s="17">
        <v>60</v>
      </c>
      <c r="Q73" s="1"/>
      <c r="R73" s="1"/>
      <c r="S73" s="1"/>
      <c r="T73" s="1"/>
      <c r="U73" s="1"/>
      <c r="V73" s="40">
        <f t="shared" si="6"/>
        <v>0</v>
      </c>
      <c r="W73" s="40">
        <f t="shared" si="7"/>
        <v>0</v>
      </c>
      <c r="X73" s="40">
        <f t="shared" si="8"/>
        <v>0</v>
      </c>
      <c r="Y73" s="2">
        <f t="shared" si="9"/>
        <v>0.75238095238095237</v>
      </c>
      <c r="Z73" s="2">
        <f t="shared" si="10"/>
        <v>1</v>
      </c>
      <c r="AA73" s="2">
        <f t="shared" si="11"/>
        <v>0.75238095238095237</v>
      </c>
      <c r="AB73" s="1"/>
    </row>
    <row r="74" spans="1:28" x14ac:dyDescent="0.25">
      <c r="A74" s="15" t="s">
        <v>425</v>
      </c>
      <c r="B74" s="16" t="s">
        <v>530</v>
      </c>
      <c r="C74" s="10" t="s">
        <v>531</v>
      </c>
      <c r="D74" s="10" t="str">
        <f>VLOOKUP(C74,Setup!A:F,3,)</f>
        <v>Air freshener GREEN COLLECTION BY PROVENCE Maritime Riviera, 250 ml</v>
      </c>
      <c r="E74" s="10" t="str">
        <f>VLOOKUP(C74,Setup!A:F,4,)</f>
        <v>GREEN COLLECTION BY PROVENCE</v>
      </c>
      <c r="F74" s="10" t="str">
        <f>VLOOKUP(C74,Setup!A:F,5,)</f>
        <v>AIR FRESHENERS</v>
      </c>
      <c r="G74" s="10" t="str">
        <f>VLOOKUP(C74,Setup!A:F,6,)</f>
        <v xml:space="preserve">Air fresheners refill </v>
      </c>
      <c r="H74" s="11" t="s">
        <v>566</v>
      </c>
      <c r="I74" s="31">
        <v>2210</v>
      </c>
      <c r="J74" s="12">
        <v>2208</v>
      </c>
      <c r="K74" s="13">
        <v>84</v>
      </c>
      <c r="L74" s="13">
        <v>15</v>
      </c>
      <c r="M74" s="13">
        <v>0</v>
      </c>
      <c r="N74" s="1"/>
      <c r="O74" s="1"/>
      <c r="P74" s="17">
        <v>40</v>
      </c>
      <c r="Q74" s="1">
        <v>4</v>
      </c>
      <c r="R74" s="1">
        <v>3</v>
      </c>
      <c r="S74" s="1"/>
      <c r="T74" s="1"/>
      <c r="U74" s="1">
        <v>4</v>
      </c>
      <c r="V74" s="40">
        <f t="shared" si="6"/>
        <v>1.8083182640144665E-3</v>
      </c>
      <c r="W74" s="40">
        <f t="shared" si="7"/>
        <v>1.3568521031207597E-3</v>
      </c>
      <c r="X74" s="40">
        <f t="shared" si="8"/>
        <v>1.8083182640144665E-3</v>
      </c>
      <c r="Y74" s="2">
        <f t="shared" si="9"/>
        <v>0.65714285714285714</v>
      </c>
      <c r="Z74" s="2">
        <f t="shared" si="10"/>
        <v>0.99864314789687925</v>
      </c>
      <c r="AA74" s="2">
        <f t="shared" si="11"/>
        <v>0.65625121147509202</v>
      </c>
      <c r="AB74" s="1"/>
    </row>
    <row r="75" spans="1:28" x14ac:dyDescent="0.25">
      <c r="A75" s="15" t="s">
        <v>425</v>
      </c>
      <c r="B75" s="16" t="s">
        <v>479</v>
      </c>
      <c r="C75" s="10" t="s">
        <v>480</v>
      </c>
      <c r="D75" s="10" t="str">
        <f>VLOOKUP(C75,Setup!A:F,3,)</f>
        <v>Air freshener GREEN COLLECTION BY PROVENCE Blooming Provence, 250 ml</v>
      </c>
      <c r="E75" s="10" t="str">
        <f>VLOOKUP(C75,Setup!A:F,4,)</f>
        <v>GREEN COLLECTION BY PROVENCE</v>
      </c>
      <c r="F75" s="10" t="str">
        <f>VLOOKUP(C75,Setup!A:F,5,)</f>
        <v>AIR FRESHENERS</v>
      </c>
      <c r="G75" s="10" t="str">
        <f>VLOOKUP(C75,Setup!A:F,6,)</f>
        <v xml:space="preserve">Air fresheners refill </v>
      </c>
      <c r="H75" s="11" t="s">
        <v>567</v>
      </c>
      <c r="I75" s="31">
        <v>2210</v>
      </c>
      <c r="J75" s="12">
        <v>2196</v>
      </c>
      <c r="K75" s="13">
        <v>84</v>
      </c>
      <c r="L75" s="13">
        <v>15</v>
      </c>
      <c r="M75" s="13">
        <v>0</v>
      </c>
      <c r="N75" s="1"/>
      <c r="O75" s="1"/>
      <c r="P75" s="17">
        <v>40</v>
      </c>
      <c r="Q75" s="1"/>
      <c r="R75" s="1"/>
      <c r="S75" s="1"/>
      <c r="T75" s="1"/>
      <c r="U75" s="1">
        <v>4</v>
      </c>
      <c r="V75" s="40">
        <f t="shared" si="6"/>
        <v>0</v>
      </c>
      <c r="W75" s="40">
        <f t="shared" si="7"/>
        <v>0</v>
      </c>
      <c r="X75" s="40">
        <f t="shared" si="8"/>
        <v>1.8181818181818182E-3</v>
      </c>
      <c r="Y75" s="2">
        <f t="shared" si="9"/>
        <v>0.65357142857142858</v>
      </c>
      <c r="Z75" s="2">
        <f t="shared" si="10"/>
        <v>1</v>
      </c>
      <c r="AA75" s="2">
        <f t="shared" si="11"/>
        <v>0.65357142857142858</v>
      </c>
      <c r="AB75" s="1"/>
    </row>
    <row r="76" spans="1:28" x14ac:dyDescent="0.25">
      <c r="A76" s="15" t="s">
        <v>425</v>
      </c>
      <c r="B76" s="16" t="s">
        <v>474</v>
      </c>
      <c r="C76" s="10" t="s">
        <v>475</v>
      </c>
      <c r="D76" s="10" t="str">
        <f>VLOOKUP(C76,Setup!A:F,3,)</f>
        <v>Air freshener GREEN COLLECTION BY PROVENCE Blooming cherry , 250 ml</v>
      </c>
      <c r="E76" s="10" t="str">
        <f>VLOOKUP(C76,Setup!A:F,4,)</f>
        <v>GREEN COLLECTION BY PROVENCE</v>
      </c>
      <c r="F76" s="10" t="str">
        <f>VLOOKUP(C76,Setup!A:F,5,)</f>
        <v>AIR FRESHENERS</v>
      </c>
      <c r="G76" s="10" t="str">
        <f>VLOOKUP(C76,Setup!A:F,6,)</f>
        <v xml:space="preserve">Air fresheners refill </v>
      </c>
      <c r="H76" s="11" t="s">
        <v>568</v>
      </c>
      <c r="I76" s="31">
        <v>6700</v>
      </c>
      <c r="J76" s="12">
        <v>6624</v>
      </c>
      <c r="K76" s="13">
        <v>84</v>
      </c>
      <c r="L76" s="13">
        <v>15</v>
      </c>
      <c r="M76" s="13">
        <v>0</v>
      </c>
      <c r="N76" s="1"/>
      <c r="O76" s="1"/>
      <c r="P76" s="17">
        <v>85</v>
      </c>
      <c r="Q76" s="1">
        <v>2</v>
      </c>
      <c r="R76" s="1">
        <v>2</v>
      </c>
      <c r="S76" s="1"/>
      <c r="T76" s="1"/>
      <c r="U76" s="1">
        <v>6</v>
      </c>
      <c r="V76" s="40">
        <f t="shared" si="6"/>
        <v>3.0184123151222455E-4</v>
      </c>
      <c r="W76" s="40">
        <f t="shared" si="7"/>
        <v>3.0184123151222455E-4</v>
      </c>
      <c r="X76" s="40">
        <f t="shared" si="8"/>
        <v>9.049773755656109E-4</v>
      </c>
      <c r="Y76" s="2">
        <f t="shared" si="9"/>
        <v>0.92773109243697482</v>
      </c>
      <c r="Z76" s="2">
        <f t="shared" si="10"/>
        <v>0.99969815876848778</v>
      </c>
      <c r="AA76" s="2">
        <f t="shared" si="11"/>
        <v>0.92745106494152152</v>
      </c>
      <c r="AB76" s="1"/>
    </row>
    <row r="77" spans="1:28" x14ac:dyDescent="0.25">
      <c r="A77" s="15" t="s">
        <v>425</v>
      </c>
      <c r="B77" s="16" t="s">
        <v>160</v>
      </c>
      <c r="C77" s="10" t="s">
        <v>161</v>
      </c>
      <c r="D77" s="10" t="str">
        <f>VLOOKUP(C77,Setup!A:F,3,)</f>
        <v>Air freshener AIR PURE Home Aroma Breath of the taiga, 230 ml</v>
      </c>
      <c r="E77" s="10" t="str">
        <f>VLOOKUP(C77,Setup!A:F,4,)</f>
        <v>AIR PURE</v>
      </c>
      <c r="F77" s="10" t="str">
        <f>VLOOKUP(C77,Setup!A:F,5,)</f>
        <v>AIR FRESHENERS</v>
      </c>
      <c r="G77" s="10" t="str">
        <f>VLOOKUP(C77,Setup!A:F,6,)</f>
        <v xml:space="preserve">Air fresheners refill </v>
      </c>
      <c r="H77" s="11" t="s">
        <v>569</v>
      </c>
      <c r="I77" s="31">
        <v>30940</v>
      </c>
      <c r="J77" s="12">
        <f>3840+192+27072+101</f>
        <v>31205</v>
      </c>
      <c r="K77" s="13">
        <v>84</v>
      </c>
      <c r="L77" s="13">
        <v>15</v>
      </c>
      <c r="M77" s="13">
        <v>0</v>
      </c>
      <c r="N77" s="1"/>
      <c r="O77" s="1"/>
      <c r="P77" s="17">
        <f>80+345</f>
        <v>425</v>
      </c>
      <c r="Q77" s="1">
        <v>1</v>
      </c>
      <c r="R77" s="1">
        <v>2</v>
      </c>
      <c r="S77" s="1"/>
      <c r="T77" s="1"/>
      <c r="U77" s="1">
        <v>6</v>
      </c>
      <c r="V77" s="40">
        <f t="shared" si="6"/>
        <v>3.204511952829584E-5</v>
      </c>
      <c r="W77" s="40">
        <f t="shared" si="7"/>
        <v>6.4088185343032006E-5</v>
      </c>
      <c r="X77" s="40">
        <f t="shared" si="8"/>
        <v>1.9223991541443721E-4</v>
      </c>
      <c r="Y77" s="2">
        <f t="shared" si="9"/>
        <v>0.87408963585434174</v>
      </c>
      <c r="Z77" s="2">
        <f t="shared" si="10"/>
        <v>0.99993591181465702</v>
      </c>
      <c r="AA77" s="2">
        <f t="shared" si="11"/>
        <v>0.87403361703575277</v>
      </c>
      <c r="AB77" s="1"/>
    </row>
    <row r="78" spans="1:28" x14ac:dyDescent="0.25">
      <c r="A78" s="15" t="s">
        <v>425</v>
      </c>
      <c r="B78" s="16" t="s">
        <v>454</v>
      </c>
      <c r="C78" s="10" t="s">
        <v>455</v>
      </c>
      <c r="D78" s="10" t="str">
        <f>VLOOKUP(C78,Setup!A:F,3,)</f>
        <v>Air freshener AIR PURE Home Aroma Pineapple punch, 230 ml</v>
      </c>
      <c r="E78" s="10" t="str">
        <f>VLOOKUP(C78,Setup!A:F,4,)</f>
        <v>AIR PURE</v>
      </c>
      <c r="F78" s="10" t="str">
        <f>VLOOKUP(C78,Setup!A:F,5,)</f>
        <v>AIR FRESHENERS</v>
      </c>
      <c r="G78" s="10" t="str">
        <f>VLOOKUP(C78,Setup!A:F,6,)</f>
        <v xml:space="preserve">Air fresheners refill </v>
      </c>
      <c r="H78" s="11" t="s">
        <v>570</v>
      </c>
      <c r="I78" s="31">
        <v>15470</v>
      </c>
      <c r="J78" s="12">
        <v>15462</v>
      </c>
      <c r="K78" s="13">
        <v>84</v>
      </c>
      <c r="L78" s="13">
        <v>15</v>
      </c>
      <c r="M78" s="13">
        <v>0</v>
      </c>
      <c r="N78" s="1"/>
      <c r="O78" s="1"/>
      <c r="P78" s="17">
        <v>220</v>
      </c>
      <c r="Q78" s="1">
        <v>4</v>
      </c>
      <c r="R78" s="1">
        <v>1</v>
      </c>
      <c r="S78" s="1"/>
      <c r="T78" s="1"/>
      <c r="U78" s="1">
        <v>6</v>
      </c>
      <c r="V78" s="40">
        <f t="shared" si="6"/>
        <v>2.5863183757920602E-4</v>
      </c>
      <c r="W78" s="40">
        <f t="shared" si="7"/>
        <v>6.4670503783224477E-5</v>
      </c>
      <c r="X78" s="40">
        <f t="shared" si="8"/>
        <v>3.8789759503491078E-4</v>
      </c>
      <c r="Y78" s="2">
        <f t="shared" si="9"/>
        <v>0.8366883116883117</v>
      </c>
      <c r="Z78" s="2">
        <f t="shared" si="10"/>
        <v>0.99993532949621677</v>
      </c>
      <c r="AA78" s="2">
        <f t="shared" si="11"/>
        <v>0.83663420263368526</v>
      </c>
      <c r="AB78" s="1"/>
    </row>
    <row r="79" spans="1:28" x14ac:dyDescent="0.25">
      <c r="A79" s="15" t="s">
        <v>425</v>
      </c>
      <c r="B79" s="16" t="s">
        <v>450</v>
      </c>
      <c r="C79" s="10" t="s">
        <v>451</v>
      </c>
      <c r="D79" s="10" t="str">
        <f>VLOOKUP(C79,Setup!A:F,3,)</f>
        <v>Air freshener AIR PURE Home Aroma Imperial Garden, 230 ml</v>
      </c>
      <c r="E79" s="10" t="str">
        <f>VLOOKUP(C79,Setup!A:F,4,)</f>
        <v>AIR PURE</v>
      </c>
      <c r="F79" s="10" t="str">
        <f>VLOOKUP(C79,Setup!A:F,5,)</f>
        <v>AIR FRESHENERS</v>
      </c>
      <c r="G79" s="10" t="str">
        <f>VLOOKUP(C79,Setup!A:F,6,)</f>
        <v xml:space="preserve">Air fresheners refill </v>
      </c>
      <c r="H79" s="11" t="s">
        <v>571</v>
      </c>
      <c r="I79" s="31">
        <v>15470</v>
      </c>
      <c r="J79" s="12">
        <f>9596+1000+4964</f>
        <v>15560</v>
      </c>
      <c r="K79" s="13">
        <v>84</v>
      </c>
      <c r="L79" s="13">
        <v>15</v>
      </c>
      <c r="M79" s="13">
        <v>0</v>
      </c>
      <c r="N79" s="1"/>
      <c r="O79" s="1"/>
      <c r="P79" s="17">
        <f>155+60</f>
        <v>215</v>
      </c>
      <c r="Q79" s="1">
        <f>2</f>
        <v>2</v>
      </c>
      <c r="R79" s="1">
        <v>4</v>
      </c>
      <c r="S79" s="1"/>
      <c r="T79" s="1"/>
      <c r="U79" s="1">
        <v>6</v>
      </c>
      <c r="V79" s="40">
        <f t="shared" si="6"/>
        <v>1.2851818532322323E-4</v>
      </c>
      <c r="W79" s="40">
        <f t="shared" si="7"/>
        <v>2.5700334104343357E-4</v>
      </c>
      <c r="X79" s="40">
        <f t="shared" si="8"/>
        <v>3.8545547989207247E-4</v>
      </c>
      <c r="Y79" s="2">
        <f t="shared" si="9"/>
        <v>0.8615725359911407</v>
      </c>
      <c r="Z79" s="2">
        <f t="shared" si="10"/>
        <v>0.99974299665895661</v>
      </c>
      <c r="AA79" s="2">
        <f t="shared" si="11"/>
        <v>0.86135110897083977</v>
      </c>
      <c r="AB79" s="1"/>
    </row>
    <row r="80" spans="1:28" x14ac:dyDescent="0.25">
      <c r="A80" s="15" t="s">
        <v>425</v>
      </c>
      <c r="B80" s="16" t="s">
        <v>52</v>
      </c>
      <c r="C80" s="10" t="s">
        <v>53</v>
      </c>
      <c r="D80" s="10" t="str">
        <f>VLOOKUP(C80,Setup!A:F,3,)</f>
        <v>Air freshener AROMA VOYAGE Hello Aroma Verti , Tropical smoothie, 250 ml</v>
      </c>
      <c r="E80" s="10" t="str">
        <f>VLOOKUP(C80,Setup!A:F,4,)</f>
        <v>VERTI</v>
      </c>
      <c r="F80" s="10" t="str">
        <f>VLOOKUP(C80,Setup!A:F,5,)</f>
        <v>AIR FRESHENERS</v>
      </c>
      <c r="G80" s="10" t="str">
        <f>VLOOKUP(C80,Setup!A:F,6,)</f>
        <v xml:space="preserve">Air fresheners refill </v>
      </c>
      <c r="H80" s="11" t="s">
        <v>572</v>
      </c>
      <c r="I80" s="31">
        <v>11000</v>
      </c>
      <c r="J80" s="12">
        <v>11292</v>
      </c>
      <c r="K80" s="13">
        <v>84</v>
      </c>
      <c r="L80" s="13">
        <v>15</v>
      </c>
      <c r="M80" s="13">
        <v>15</v>
      </c>
      <c r="N80" s="1"/>
      <c r="O80" s="1"/>
      <c r="P80" s="17">
        <v>185</v>
      </c>
      <c r="Q80" s="1"/>
      <c r="R80" s="1">
        <v>15</v>
      </c>
      <c r="S80" s="1"/>
      <c r="T80" s="1"/>
      <c r="U80" s="1">
        <v>6</v>
      </c>
      <c r="V80" s="40">
        <f t="shared" si="6"/>
        <v>0</v>
      </c>
      <c r="W80" s="40">
        <f t="shared" si="7"/>
        <v>1.3266118333775537E-3</v>
      </c>
      <c r="X80" s="40">
        <f t="shared" si="8"/>
        <v>5.3106744556558679E-4</v>
      </c>
      <c r="Y80" s="2">
        <f t="shared" si="9"/>
        <v>0.79075630252100837</v>
      </c>
      <c r="Z80" s="2">
        <f t="shared" si="10"/>
        <v>0.99867338816662243</v>
      </c>
      <c r="AA80" s="2">
        <f t="shared" si="11"/>
        <v>0.78970727585276612</v>
      </c>
      <c r="AB80" s="1"/>
    </row>
    <row r="81" spans="1:28" x14ac:dyDescent="0.25">
      <c r="A81" s="15" t="s">
        <v>425</v>
      </c>
      <c r="B81" s="16" t="s">
        <v>55</v>
      </c>
      <c r="C81" s="10" t="s">
        <v>56</v>
      </c>
      <c r="D81" s="10" t="str">
        <f>VLOOKUP(C81,Setup!A:F,3,)</f>
        <v>Air freshener AROMA VOYAGE Hello Aroma Verti , Altai freshness, 250 ml</v>
      </c>
      <c r="E81" s="10" t="str">
        <f>VLOOKUP(C81,Setup!A:F,4,)</f>
        <v>VERTI</v>
      </c>
      <c r="F81" s="10" t="str">
        <f>VLOOKUP(C81,Setup!A:F,5,)</f>
        <v>AIR FRESHENERS</v>
      </c>
      <c r="G81" s="10" t="str">
        <f>VLOOKUP(C81,Setup!A:F,6,)</f>
        <v xml:space="preserve">Air fresheners refill </v>
      </c>
      <c r="H81" s="11" t="s">
        <v>573</v>
      </c>
      <c r="I81" s="31">
        <v>11000</v>
      </c>
      <c r="J81" s="12">
        <v>11166</v>
      </c>
      <c r="K81" s="13">
        <v>84</v>
      </c>
      <c r="L81" s="13">
        <v>15</v>
      </c>
      <c r="M81" s="13">
        <v>30</v>
      </c>
      <c r="N81" s="1"/>
      <c r="O81" s="1"/>
      <c r="P81" s="17">
        <v>175</v>
      </c>
      <c r="Q81" s="1"/>
      <c r="R81" s="1"/>
      <c r="S81" s="1"/>
      <c r="T81" s="1"/>
      <c r="U81" s="1">
        <v>6</v>
      </c>
      <c r="V81" s="40">
        <f t="shared" si="6"/>
        <v>0</v>
      </c>
      <c r="W81" s="40">
        <f t="shared" si="7"/>
        <v>0</v>
      </c>
      <c r="X81" s="40">
        <f t="shared" si="8"/>
        <v>5.3705692803437163E-4</v>
      </c>
      <c r="Y81" s="2">
        <f t="shared" si="9"/>
        <v>0.91674876847290643</v>
      </c>
      <c r="Z81" s="2">
        <f t="shared" si="10"/>
        <v>1</v>
      </c>
      <c r="AA81" s="2">
        <f t="shared" si="11"/>
        <v>0.91674876847290643</v>
      </c>
      <c r="AB81" s="1"/>
    </row>
    <row r="82" spans="1:28" x14ac:dyDescent="0.25">
      <c r="A82" s="15" t="s">
        <v>425</v>
      </c>
      <c r="B82" s="16" t="s">
        <v>61</v>
      </c>
      <c r="C82" s="10" t="s">
        <v>62</v>
      </c>
      <c r="D82" s="10" t="str">
        <f>VLOOKUP(C82,Setup!A:F,3,)</f>
        <v>Air freshener AROMA VOYAGE Hello Aroma Verti , Karelian berries, 250 ml</v>
      </c>
      <c r="E82" s="10" t="str">
        <f>VLOOKUP(C82,Setup!A:F,4,)</f>
        <v>VERTI</v>
      </c>
      <c r="F82" s="10" t="str">
        <f>VLOOKUP(C82,Setup!A:F,5,)</f>
        <v>AIR FRESHENERS</v>
      </c>
      <c r="G82" s="10" t="str">
        <f>VLOOKUP(C82,Setup!A:F,6,)</f>
        <v xml:space="preserve">Air fresheners refill </v>
      </c>
      <c r="H82" s="11" t="s">
        <v>574</v>
      </c>
      <c r="I82" s="31">
        <v>11000</v>
      </c>
      <c r="J82" s="12">
        <v>10992</v>
      </c>
      <c r="K82" s="13">
        <v>84</v>
      </c>
      <c r="L82" s="13">
        <v>15</v>
      </c>
      <c r="M82" s="13">
        <v>0</v>
      </c>
      <c r="N82" s="1"/>
      <c r="O82" s="1"/>
      <c r="P82" s="17">
        <v>150</v>
      </c>
      <c r="Q82" s="1"/>
      <c r="R82" s="1">
        <v>1</v>
      </c>
      <c r="S82" s="1"/>
      <c r="T82" s="1"/>
      <c r="U82" s="1">
        <v>6</v>
      </c>
      <c r="V82" s="40">
        <f t="shared" si="6"/>
        <v>0</v>
      </c>
      <c r="W82" s="40">
        <f t="shared" si="7"/>
        <v>9.0966978986627858E-5</v>
      </c>
      <c r="X82" s="40">
        <f t="shared" si="8"/>
        <v>5.455537370430987E-4</v>
      </c>
      <c r="Y82" s="2">
        <f t="shared" si="9"/>
        <v>0.87238095238095237</v>
      </c>
      <c r="Z82" s="2">
        <f t="shared" si="10"/>
        <v>0.99990903302101342</v>
      </c>
      <c r="AA82" s="2">
        <f t="shared" si="11"/>
        <v>0.87230159452118883</v>
      </c>
      <c r="AB82" s="1"/>
    </row>
    <row r="83" spans="1:28" x14ac:dyDescent="0.25">
      <c r="A83" s="15" t="s">
        <v>425</v>
      </c>
      <c r="B83" s="16" t="s">
        <v>58</v>
      </c>
      <c r="C83" s="10" t="s">
        <v>59</v>
      </c>
      <c r="D83" s="10" t="str">
        <f>VLOOKUP(C83,Setup!A:F,3,)</f>
        <v>Air freshener AROMA VOYAGE Hello Aroma Verti , Chinese orchid, 250 ml</v>
      </c>
      <c r="E83" s="10" t="str">
        <f>VLOOKUP(C83,Setup!A:F,4,)</f>
        <v>VERTI</v>
      </c>
      <c r="F83" s="10" t="str">
        <f>VLOOKUP(C83,Setup!A:F,5,)</f>
        <v>AIR FRESHENERS</v>
      </c>
      <c r="G83" s="10" t="str">
        <f>VLOOKUP(C83,Setup!A:F,6,)</f>
        <v xml:space="preserve">Air fresheners refill </v>
      </c>
      <c r="H83" s="11" t="s">
        <v>575</v>
      </c>
      <c r="I83" s="31">
        <v>11000</v>
      </c>
      <c r="J83" s="12">
        <f>9600+762+1032</f>
        <v>11394</v>
      </c>
      <c r="K83" s="13">
        <v>84</v>
      </c>
      <c r="L83" s="13">
        <v>15</v>
      </c>
      <c r="M83" s="13">
        <v>0</v>
      </c>
      <c r="N83" s="1"/>
      <c r="O83" s="1"/>
      <c r="P83" s="17">
        <f>165-10+20</f>
        <v>175</v>
      </c>
      <c r="Q83" s="1">
        <f>2+1</f>
        <v>3</v>
      </c>
      <c r="R83" s="1">
        <v>1</v>
      </c>
      <c r="S83" s="1"/>
      <c r="T83" s="1"/>
      <c r="U83" s="1">
        <v>6</v>
      </c>
      <c r="V83" s="40">
        <f t="shared" si="6"/>
        <v>2.6322716504343247E-4</v>
      </c>
      <c r="W83" s="40">
        <f t="shared" si="7"/>
        <v>8.775778850372971E-5</v>
      </c>
      <c r="X83" s="40">
        <f t="shared" si="8"/>
        <v>5.263157894736842E-4</v>
      </c>
      <c r="Y83" s="2">
        <f t="shared" si="9"/>
        <v>0.7751020408163265</v>
      </c>
      <c r="Z83" s="2">
        <f t="shared" si="10"/>
        <v>0.99991224221149622</v>
      </c>
      <c r="AA83" s="2">
        <f t="shared" si="11"/>
        <v>0.77503401957535967</v>
      </c>
      <c r="AB83" s="1"/>
    </row>
    <row r="84" spans="1:28" x14ac:dyDescent="0.25">
      <c r="A84" s="15" t="s">
        <v>425</v>
      </c>
      <c r="B84" s="16" t="s">
        <v>64</v>
      </c>
      <c r="C84" s="10" t="s">
        <v>65</v>
      </c>
      <c r="D84" s="10" t="str">
        <f>VLOOKUP(C84,Setup!A:F,3,)</f>
        <v>Air freshener VERTI Vetiver and bamboo, 250 ml</v>
      </c>
      <c r="E84" s="10" t="str">
        <f>VLOOKUP(C84,Setup!A:F,4,)</f>
        <v>VERTI</v>
      </c>
      <c r="F84" s="10" t="str">
        <f>VLOOKUP(C84,Setup!A:F,5,)</f>
        <v>AIR FRESHENERS</v>
      </c>
      <c r="G84" s="10" t="str">
        <f>VLOOKUP(C84,Setup!A:F,6,)</f>
        <v xml:space="preserve">Air fresheners refill </v>
      </c>
      <c r="H84" s="11" t="s">
        <v>576</v>
      </c>
      <c r="I84" s="31">
        <v>7000</v>
      </c>
      <c r="J84" s="12">
        <v>7116</v>
      </c>
      <c r="K84" s="13">
        <v>84</v>
      </c>
      <c r="L84" s="13">
        <v>15</v>
      </c>
      <c r="M84" s="13">
        <v>0</v>
      </c>
      <c r="N84" s="1"/>
      <c r="O84" s="1"/>
      <c r="P84" s="17">
        <v>105</v>
      </c>
      <c r="Q84" s="1">
        <v>9</v>
      </c>
      <c r="R84" s="1">
        <v>1</v>
      </c>
      <c r="S84" s="1"/>
      <c r="T84" s="1"/>
      <c r="U84" s="1">
        <v>6</v>
      </c>
      <c r="V84" s="40">
        <f t="shared" si="6"/>
        <v>1.2631578947368421E-3</v>
      </c>
      <c r="W84" s="40">
        <f t="shared" si="7"/>
        <v>1.405086412814388E-4</v>
      </c>
      <c r="X84" s="40">
        <f t="shared" si="8"/>
        <v>8.4245998315080029E-4</v>
      </c>
      <c r="Y84" s="2">
        <f t="shared" si="9"/>
        <v>0.80680272108843543</v>
      </c>
      <c r="Z84" s="2">
        <f t="shared" si="10"/>
        <v>0.99985949135871854</v>
      </c>
      <c r="AA84" s="2">
        <f t="shared" si="11"/>
        <v>0.8066893583343131</v>
      </c>
      <c r="AB84" s="1"/>
    </row>
    <row r="85" spans="1:28" x14ac:dyDescent="0.25">
      <c r="A85" s="15" t="s">
        <v>425</v>
      </c>
      <c r="B85" s="16" t="s">
        <v>67</v>
      </c>
      <c r="C85" s="10" t="s">
        <v>68</v>
      </c>
      <c r="D85" s="10" t="str">
        <f>VLOOKUP(C85,Setup!A:F,3,)</f>
        <v>Air freshener VERTI Sea salt and white tree, 250 ml</v>
      </c>
      <c r="E85" s="10" t="str">
        <f>VLOOKUP(C85,Setup!A:F,4,)</f>
        <v>VERTI</v>
      </c>
      <c r="F85" s="10" t="str">
        <f>VLOOKUP(C85,Setup!A:F,5,)</f>
        <v>AIR FRESHENERS</v>
      </c>
      <c r="G85" s="10" t="str">
        <f>VLOOKUP(C85,Setup!A:F,6,)</f>
        <v xml:space="preserve">Air fresheners refill </v>
      </c>
      <c r="H85" s="11" t="s">
        <v>577</v>
      </c>
      <c r="I85" s="31">
        <v>7000</v>
      </c>
      <c r="J85" s="12">
        <v>7080</v>
      </c>
      <c r="K85" s="13">
        <v>84</v>
      </c>
      <c r="L85" s="13">
        <v>15</v>
      </c>
      <c r="M85" s="13">
        <v>0</v>
      </c>
      <c r="N85" s="1"/>
      <c r="O85" s="1"/>
      <c r="P85" s="17">
        <v>110</v>
      </c>
      <c r="Q85" s="1">
        <v>5</v>
      </c>
      <c r="R85" s="1"/>
      <c r="S85" s="1"/>
      <c r="T85" s="1"/>
      <c r="U85" s="1">
        <v>6</v>
      </c>
      <c r="V85" s="40">
        <f t="shared" si="6"/>
        <v>7.0571630204657732E-4</v>
      </c>
      <c r="W85" s="40">
        <f t="shared" si="7"/>
        <v>0</v>
      </c>
      <c r="X85" s="40">
        <f t="shared" si="8"/>
        <v>8.4674005080440302E-4</v>
      </c>
      <c r="Y85" s="2">
        <f t="shared" si="9"/>
        <v>0.76623376623376627</v>
      </c>
      <c r="Z85" s="2">
        <f t="shared" si="10"/>
        <v>1</v>
      </c>
      <c r="AA85" s="2">
        <f t="shared" si="11"/>
        <v>0.76623376623376627</v>
      </c>
      <c r="AB85" s="1"/>
    </row>
    <row r="86" spans="1:28" x14ac:dyDescent="0.25">
      <c r="A86" s="15" t="s">
        <v>425</v>
      </c>
      <c r="B86" s="16" t="s">
        <v>70</v>
      </c>
      <c r="C86" s="10" t="s">
        <v>71</v>
      </c>
      <c r="D86" s="10" t="str">
        <f>VLOOKUP(C86,Setup!A:F,3,)</f>
        <v>Air freshener VERTI Black pepper and orange blossom, 250 ml</v>
      </c>
      <c r="E86" s="10" t="str">
        <f>VLOOKUP(C86,Setup!A:F,4,)</f>
        <v>VERTI</v>
      </c>
      <c r="F86" s="10" t="str">
        <f>VLOOKUP(C86,Setup!A:F,5,)</f>
        <v>AIR FRESHENERS</v>
      </c>
      <c r="G86" s="10" t="str">
        <f>VLOOKUP(C86,Setup!A:F,6,)</f>
        <v xml:space="preserve">Air fresheners refill </v>
      </c>
      <c r="H86" s="11" t="s">
        <v>578</v>
      </c>
      <c r="I86" s="31">
        <v>7000</v>
      </c>
      <c r="J86" s="12">
        <v>7110</v>
      </c>
      <c r="K86" s="13">
        <v>84</v>
      </c>
      <c r="L86" s="13">
        <v>15</v>
      </c>
      <c r="M86" s="13">
        <v>0</v>
      </c>
      <c r="N86" s="1"/>
      <c r="O86" s="1"/>
      <c r="P86" s="17">
        <v>125</v>
      </c>
      <c r="Q86" s="1">
        <v>5</v>
      </c>
      <c r="R86" s="1">
        <v>5</v>
      </c>
      <c r="S86" s="1"/>
      <c r="T86" s="1"/>
      <c r="U86" s="1">
        <v>6</v>
      </c>
      <c r="V86" s="40">
        <f t="shared" si="6"/>
        <v>7.0274068868587491E-4</v>
      </c>
      <c r="W86" s="40">
        <f t="shared" si="7"/>
        <v>7.0274068868587491E-4</v>
      </c>
      <c r="X86" s="40">
        <f t="shared" si="8"/>
        <v>8.4317032040472171E-4</v>
      </c>
      <c r="Y86" s="2">
        <f t="shared" si="9"/>
        <v>0.67714285714285716</v>
      </c>
      <c r="Z86" s="2">
        <f t="shared" si="10"/>
        <v>0.99929725931131408</v>
      </c>
      <c r="AA86" s="2">
        <f t="shared" si="11"/>
        <v>0.67666700130508983</v>
      </c>
      <c r="AB86" s="1"/>
    </row>
    <row r="87" spans="1:28" x14ac:dyDescent="0.25">
      <c r="A87" s="15" t="s">
        <v>425</v>
      </c>
      <c r="B87" s="16" t="s">
        <v>73</v>
      </c>
      <c r="C87" s="10" t="s">
        <v>74</v>
      </c>
      <c r="D87" s="10" t="str">
        <f>VLOOKUP(C87,Setup!A:F,3,)</f>
        <v>Air freshener VERTI Magnolia, 250 ml</v>
      </c>
      <c r="E87" s="10" t="str">
        <f>VLOOKUP(C87,Setup!A:F,4,)</f>
        <v>VERTI</v>
      </c>
      <c r="F87" s="10" t="str">
        <f>VLOOKUP(C87,Setup!A:F,5,)</f>
        <v>AIR FRESHENERS</v>
      </c>
      <c r="G87" s="10" t="str">
        <f>VLOOKUP(C87,Setup!A:F,6,)</f>
        <v xml:space="preserve">Air fresheners refill </v>
      </c>
      <c r="H87" s="11" t="s">
        <v>579</v>
      </c>
      <c r="I87" s="31">
        <v>7000</v>
      </c>
      <c r="J87" s="12">
        <v>7014</v>
      </c>
      <c r="K87" s="13">
        <v>84</v>
      </c>
      <c r="L87" s="13">
        <v>15</v>
      </c>
      <c r="M87" s="13">
        <v>0</v>
      </c>
      <c r="N87" s="1"/>
      <c r="O87" s="1"/>
      <c r="P87" s="17">
        <v>100</v>
      </c>
      <c r="Q87" s="1"/>
      <c r="R87" s="1">
        <v>1</v>
      </c>
      <c r="S87" s="1"/>
      <c r="T87" s="1"/>
      <c r="U87" s="1">
        <v>6</v>
      </c>
      <c r="V87" s="40">
        <f t="shared" si="6"/>
        <v>0</v>
      </c>
      <c r="W87" s="40">
        <f t="shared" si="7"/>
        <v>1.4255167498218105E-4</v>
      </c>
      <c r="X87" s="40">
        <f t="shared" si="8"/>
        <v>8.547008547008547E-4</v>
      </c>
      <c r="Y87" s="2">
        <f t="shared" si="9"/>
        <v>0.83499999999999996</v>
      </c>
      <c r="Z87" s="2">
        <f t="shared" si="10"/>
        <v>0.99985744832501777</v>
      </c>
      <c r="AA87" s="2">
        <f t="shared" si="11"/>
        <v>0.83488096935138978</v>
      </c>
      <c r="AB87" s="1"/>
    </row>
    <row r="88" spans="1:28" x14ac:dyDescent="0.25">
      <c r="A88" s="15" t="s">
        <v>425</v>
      </c>
      <c r="B88" s="16" t="s">
        <v>580</v>
      </c>
      <c r="C88" s="10" t="s">
        <v>581</v>
      </c>
      <c r="D88" s="10" t="str">
        <f>VLOOKUP(C88,Setup!A:F,3,)</f>
        <v>Air freshener AIR PURE NATURE Constellation of aromas, 250 ml</v>
      </c>
      <c r="E88" s="10" t="str">
        <f>VLOOKUP(C88,Setup!A:F,4,)</f>
        <v>AIR PURE</v>
      </c>
      <c r="F88" s="10" t="str">
        <f>VLOOKUP(C88,Setup!A:F,5,)</f>
        <v>AIR FRESHENERS</v>
      </c>
      <c r="G88" s="10" t="str">
        <f>VLOOKUP(C88,Setup!A:F,6,)</f>
        <v xml:space="preserve">Air fresheners refill </v>
      </c>
      <c r="H88" s="11" t="s">
        <v>582</v>
      </c>
      <c r="I88" s="36">
        <v>23000</v>
      </c>
      <c r="J88" s="12">
        <f>18157+240+3874+2</f>
        <v>22273</v>
      </c>
      <c r="K88" s="13">
        <v>84</v>
      </c>
      <c r="L88" s="13">
        <v>15</v>
      </c>
      <c r="M88" s="13">
        <v>0</v>
      </c>
      <c r="N88" s="1"/>
      <c r="O88" s="1"/>
      <c r="P88" s="17">
        <f>275-10+85</f>
        <v>350</v>
      </c>
      <c r="Q88" s="1">
        <v>2</v>
      </c>
      <c r="R88" s="1">
        <v>2</v>
      </c>
      <c r="S88" s="1"/>
      <c r="T88" s="1"/>
      <c r="U88" s="1">
        <v>6</v>
      </c>
      <c r="V88" s="40">
        <f t="shared" si="6"/>
        <v>8.9786756453423119E-5</v>
      </c>
      <c r="W88" s="40">
        <f t="shared" si="7"/>
        <v>8.9786756453423119E-5</v>
      </c>
      <c r="X88" s="40">
        <f t="shared" si="8"/>
        <v>2.6931190807486871E-4</v>
      </c>
      <c r="Y88" s="2">
        <f t="shared" si="9"/>
        <v>0.75758503401360544</v>
      </c>
      <c r="Z88" s="2">
        <f t="shared" si="10"/>
        <v>0.99991021324354656</v>
      </c>
      <c r="AA88" s="2">
        <f t="shared" si="11"/>
        <v>0.75751701291066365</v>
      </c>
      <c r="AB88" s="1"/>
    </row>
    <row r="89" spans="1:28" x14ac:dyDescent="0.25">
      <c r="A89" s="15" t="s">
        <v>425</v>
      </c>
      <c r="B89" s="16" t="s">
        <v>583</v>
      </c>
      <c r="C89" s="10" t="s">
        <v>584</v>
      </c>
      <c r="D89" s="10" t="str">
        <f>VLOOKUP(C89,Setup!A:F,3,)</f>
        <v>Air freshener LENTA Verti Floral veil, 250 ml, Sl</v>
      </c>
      <c r="E89" s="10" t="str">
        <f>VLOOKUP(C89,Setup!A:F,4,)</f>
        <v>LENTA</v>
      </c>
      <c r="F89" s="10" t="str">
        <f>VLOOKUP(C89,Setup!A:F,5,)</f>
        <v>AIR FRESHENERS</v>
      </c>
      <c r="G89" s="10" t="str">
        <f>VLOOKUP(C89,Setup!A:F,6,)</f>
        <v xml:space="preserve">Air fresheners refill </v>
      </c>
      <c r="H89" s="11" t="s">
        <v>585</v>
      </c>
      <c r="I89" s="31">
        <v>4192</v>
      </c>
      <c r="J89" s="12">
        <v>4128</v>
      </c>
      <c r="K89" s="13">
        <v>84</v>
      </c>
      <c r="L89" s="13">
        <v>15</v>
      </c>
      <c r="M89" s="13">
        <v>0</v>
      </c>
      <c r="N89" s="1"/>
      <c r="O89" s="1"/>
      <c r="P89" s="17">
        <v>85</v>
      </c>
      <c r="Q89" s="1">
        <v>11</v>
      </c>
      <c r="R89" s="1"/>
      <c r="S89" s="1"/>
      <c r="T89" s="1"/>
      <c r="U89" s="1">
        <v>6</v>
      </c>
      <c r="V89" s="40">
        <f t="shared" si="6"/>
        <v>2.6576467745832327E-3</v>
      </c>
      <c r="W89" s="40">
        <f t="shared" si="7"/>
        <v>0</v>
      </c>
      <c r="X89" s="40">
        <f t="shared" si="8"/>
        <v>1.4513788098693759E-3</v>
      </c>
      <c r="Y89" s="2">
        <f t="shared" si="9"/>
        <v>0.57815126050420174</v>
      </c>
      <c r="Z89" s="2">
        <f t="shared" si="10"/>
        <v>1</v>
      </c>
      <c r="AA89" s="2">
        <f t="shared" si="11"/>
        <v>0.57815126050420174</v>
      </c>
      <c r="AB89" s="1"/>
    </row>
    <row r="90" spans="1:28" x14ac:dyDescent="0.25">
      <c r="A90" s="15" t="s">
        <v>425</v>
      </c>
      <c r="B90" s="16" t="s">
        <v>586</v>
      </c>
      <c r="C90" s="10" t="s">
        <v>587</v>
      </c>
      <c r="D90" s="10" t="str">
        <f>VLOOKUP(C90,Setup!A:F,3,)</f>
        <v>Air freshener LENTA Forest berry, 250 ml, Sl</v>
      </c>
      <c r="E90" s="10" t="str">
        <f>VLOOKUP(C90,Setup!A:F,4,)</f>
        <v>LENTA</v>
      </c>
      <c r="F90" s="10" t="str">
        <f>VLOOKUP(C90,Setup!A:F,5,)</f>
        <v>AIR FRESHENERS</v>
      </c>
      <c r="G90" s="10" t="str">
        <f>VLOOKUP(C90,Setup!A:F,6,)</f>
        <v xml:space="preserve">Air fresheners refill </v>
      </c>
      <c r="H90" s="11" t="s">
        <v>588</v>
      </c>
      <c r="I90" s="31">
        <v>3616</v>
      </c>
      <c r="J90" s="12">
        <v>3636</v>
      </c>
      <c r="K90" s="13">
        <v>84</v>
      </c>
      <c r="L90" s="13">
        <v>15</v>
      </c>
      <c r="M90" s="13">
        <v>0</v>
      </c>
      <c r="N90" s="1"/>
      <c r="O90" s="1"/>
      <c r="P90" s="17">
        <v>62</v>
      </c>
      <c r="Q90" s="1">
        <v>24</v>
      </c>
      <c r="R90" s="1"/>
      <c r="S90" s="1"/>
      <c r="T90" s="1"/>
      <c r="U90" s="1">
        <v>6</v>
      </c>
      <c r="V90" s="40">
        <f t="shared" si="6"/>
        <v>6.5573770491803279E-3</v>
      </c>
      <c r="W90" s="40">
        <f t="shared" si="7"/>
        <v>0</v>
      </c>
      <c r="X90" s="40">
        <f t="shared" si="8"/>
        <v>1.6474464579901153E-3</v>
      </c>
      <c r="Y90" s="2">
        <f t="shared" si="9"/>
        <v>0.6981566820276498</v>
      </c>
      <c r="Z90" s="2">
        <f t="shared" si="10"/>
        <v>1</v>
      </c>
      <c r="AA90" s="2">
        <f t="shared" si="11"/>
        <v>0.6981566820276498</v>
      </c>
      <c r="AB90" s="1"/>
    </row>
    <row r="91" spans="1:28" x14ac:dyDescent="0.25">
      <c r="A91" s="15" t="s">
        <v>425</v>
      </c>
      <c r="B91" s="16" t="s">
        <v>589</v>
      </c>
      <c r="C91" s="10" t="s">
        <v>590</v>
      </c>
      <c r="D91" s="10" t="str">
        <f>VLOOKUP(C91,Setup!A:F,3,)</f>
        <v>Air freshener LENTA Queen dessert, 250 ml, Sl</v>
      </c>
      <c r="E91" s="10" t="str">
        <f>VLOOKUP(C91,Setup!A:F,4,)</f>
        <v>LENTA</v>
      </c>
      <c r="F91" s="10" t="str">
        <f>VLOOKUP(C91,Setup!A:F,5,)</f>
        <v>AIR FRESHENERS</v>
      </c>
      <c r="G91" s="10" t="str">
        <f>VLOOKUP(C91,Setup!A:F,6,)</f>
        <v xml:space="preserve">Air fresheners refill </v>
      </c>
      <c r="H91" s="11" t="s">
        <v>591</v>
      </c>
      <c r="I91" s="31">
        <v>2200</v>
      </c>
      <c r="J91" s="12">
        <v>2196</v>
      </c>
      <c r="K91" s="13">
        <v>84</v>
      </c>
      <c r="L91" s="13">
        <v>15</v>
      </c>
      <c r="M91" s="13">
        <v>0</v>
      </c>
      <c r="N91" s="1"/>
      <c r="O91" s="1"/>
      <c r="P91" s="17">
        <v>48</v>
      </c>
      <c r="Q91" s="1"/>
      <c r="R91" s="1">
        <v>1</v>
      </c>
      <c r="S91" s="1"/>
      <c r="T91" s="1"/>
      <c r="U91" s="1">
        <v>6</v>
      </c>
      <c r="V91" s="40">
        <f t="shared" si="6"/>
        <v>0</v>
      </c>
      <c r="W91" s="40">
        <f t="shared" si="7"/>
        <v>4.5516613563950843E-4</v>
      </c>
      <c r="X91" s="40">
        <f t="shared" si="8"/>
        <v>2.7247956403269754E-3</v>
      </c>
      <c r="Y91" s="2">
        <f t="shared" si="9"/>
        <v>0.5446428571428571</v>
      </c>
      <c r="Z91" s="2">
        <f t="shared" si="10"/>
        <v>0.99954483386436044</v>
      </c>
      <c r="AA91" s="2">
        <f t="shared" si="11"/>
        <v>0.54439495415826766</v>
      </c>
      <c r="AB91" s="1"/>
    </row>
    <row r="92" spans="1:28" x14ac:dyDescent="0.25">
      <c r="A92" s="15" t="s">
        <v>425</v>
      </c>
      <c r="B92" s="16" t="s">
        <v>592</v>
      </c>
      <c r="C92" s="10" t="s">
        <v>593</v>
      </c>
      <c r="D92" s="10" t="str">
        <f>VLOOKUP(C92,Setup!A:F,3,)</f>
        <v>Air freshener LENTA Verti Mocco, 250 ml, Sl</v>
      </c>
      <c r="E92" s="10" t="str">
        <f>VLOOKUP(C92,Setup!A:F,4,)</f>
        <v>LENTA</v>
      </c>
      <c r="F92" s="10" t="str">
        <f>VLOOKUP(C92,Setup!A:F,5,)</f>
        <v>AIR FRESHENERS</v>
      </c>
      <c r="G92" s="10" t="str">
        <f>VLOOKUP(C92,Setup!A:F,6,)</f>
        <v xml:space="preserve">Air fresheners refill </v>
      </c>
      <c r="H92" s="11" t="s">
        <v>594</v>
      </c>
      <c r="I92" s="31">
        <v>3412</v>
      </c>
      <c r="J92" s="12">
        <v>3216</v>
      </c>
      <c r="K92" s="13">
        <v>84</v>
      </c>
      <c r="L92" s="13">
        <v>15</v>
      </c>
      <c r="M92" s="13">
        <v>0</v>
      </c>
      <c r="N92" s="1"/>
      <c r="O92" s="1"/>
      <c r="P92" s="17">
        <v>55</v>
      </c>
      <c r="Q92" s="1"/>
      <c r="R92" s="1">
        <v>1</v>
      </c>
      <c r="S92" s="1"/>
      <c r="T92" s="1"/>
      <c r="U92" s="1">
        <v>6</v>
      </c>
      <c r="V92" s="40">
        <f t="shared" si="6"/>
        <v>0</v>
      </c>
      <c r="W92" s="40">
        <f t="shared" si="7"/>
        <v>3.1084861672365556E-4</v>
      </c>
      <c r="X92" s="40">
        <f t="shared" si="8"/>
        <v>1.8621973929236499E-3</v>
      </c>
      <c r="Y92" s="2">
        <f t="shared" si="9"/>
        <v>0.69610389610389611</v>
      </c>
      <c r="Z92" s="2">
        <f t="shared" si="10"/>
        <v>0.9996891513832763</v>
      </c>
      <c r="AA92" s="2">
        <f t="shared" si="11"/>
        <v>0.69588751317069619</v>
      </c>
      <c r="AB92" s="1"/>
    </row>
    <row r="93" spans="1:28" x14ac:dyDescent="0.25">
      <c r="A93" s="15" t="s">
        <v>425</v>
      </c>
      <c r="B93" s="16" t="s">
        <v>503</v>
      </c>
      <c r="C93" s="10" t="s">
        <v>504</v>
      </c>
      <c r="D93" s="10" t="str">
        <f>VLOOKUP(C93,Setup!A:F,3,)</f>
        <v>Air freshener MOYA TSENA Typhoon, 250 ml</v>
      </c>
      <c r="E93" s="10" t="str">
        <f>VLOOKUP(C93,Setup!A:F,4,)</f>
        <v>MOYA TSENA</v>
      </c>
      <c r="F93" s="10" t="str">
        <f>VLOOKUP(C93,Setup!A:F,5,)</f>
        <v>AIR FRESHENERS</v>
      </c>
      <c r="G93" s="10" t="str">
        <f>VLOOKUP(C93,Setup!A:F,6,)</f>
        <v xml:space="preserve">Air fresheners refill </v>
      </c>
      <c r="H93" s="11" t="s">
        <v>595</v>
      </c>
      <c r="I93" s="31">
        <v>6008</v>
      </c>
      <c r="J93" s="12">
        <v>6036</v>
      </c>
      <c r="K93" s="13">
        <v>84</v>
      </c>
      <c r="L93" s="13">
        <v>15</v>
      </c>
      <c r="M93" s="13">
        <v>0</v>
      </c>
      <c r="N93" s="1"/>
      <c r="O93" s="1"/>
      <c r="P93" s="17">
        <v>110</v>
      </c>
      <c r="Q93" s="1">
        <v>1</v>
      </c>
      <c r="R93" s="1">
        <v>9</v>
      </c>
      <c r="S93" s="1"/>
      <c r="T93" s="1"/>
      <c r="U93" s="1">
        <v>6</v>
      </c>
      <c r="V93" s="40">
        <f t="shared" si="6"/>
        <v>1.6564518800728838E-4</v>
      </c>
      <c r="W93" s="40">
        <f t="shared" si="7"/>
        <v>1.488833746898263E-3</v>
      </c>
      <c r="X93" s="40">
        <f t="shared" si="8"/>
        <v>9.930486593843098E-4</v>
      </c>
      <c r="Y93" s="2">
        <f t="shared" si="9"/>
        <v>0.6532467532467533</v>
      </c>
      <c r="Z93" s="2">
        <f t="shared" si="10"/>
        <v>0.99851116625310177</v>
      </c>
      <c r="AA93" s="2">
        <f t="shared" si="11"/>
        <v>0.65227417743546778</v>
      </c>
      <c r="AB93" s="1"/>
    </row>
    <row r="94" spans="1:28" x14ac:dyDescent="0.25">
      <c r="A94" s="15" t="s">
        <v>425</v>
      </c>
      <c r="B94" s="16" t="s">
        <v>509</v>
      </c>
      <c r="C94" s="10" t="s">
        <v>510</v>
      </c>
      <c r="D94" s="10" t="str">
        <f>VLOOKUP(C94,Setup!A:F,3,)</f>
        <v>Air freshener NUZHNIE VESHI Tropical orchid, 250 ml, N</v>
      </c>
      <c r="E94" s="10" t="str">
        <f>VLOOKUP(C94,Setup!A:F,4,)</f>
        <v>NUZHNYE VESHI</v>
      </c>
      <c r="F94" s="10" t="str">
        <f>VLOOKUP(C94,Setup!A:F,5,)</f>
        <v>AIR FRESHENERS</v>
      </c>
      <c r="G94" s="10" t="str">
        <f>VLOOKUP(C94,Setup!A:F,6,)</f>
        <v xml:space="preserve">Air fresheners refill </v>
      </c>
      <c r="H94" s="11" t="s">
        <v>596</v>
      </c>
      <c r="I94" s="31">
        <v>3014</v>
      </c>
      <c r="J94" s="12">
        <v>3064</v>
      </c>
      <c r="K94" s="13">
        <v>84</v>
      </c>
      <c r="L94" s="13">
        <v>15</v>
      </c>
      <c r="M94" s="13">
        <v>0</v>
      </c>
      <c r="N94" s="1"/>
      <c r="O94" s="1"/>
      <c r="P94" s="17">
        <v>60</v>
      </c>
      <c r="Q94" s="1">
        <v>4</v>
      </c>
      <c r="R94" s="1"/>
      <c r="S94" s="1"/>
      <c r="T94" s="1"/>
      <c r="U94" s="1">
        <v>6</v>
      </c>
      <c r="V94" s="40">
        <f t="shared" si="6"/>
        <v>1.3037809647979139E-3</v>
      </c>
      <c r="W94" s="40">
        <f t="shared" si="7"/>
        <v>0</v>
      </c>
      <c r="X94" s="40">
        <f t="shared" si="8"/>
        <v>1.9543973941368079E-3</v>
      </c>
      <c r="Y94" s="2">
        <f t="shared" si="9"/>
        <v>0.60793650793650789</v>
      </c>
      <c r="Z94" s="2">
        <f t="shared" si="10"/>
        <v>1</v>
      </c>
      <c r="AA94" s="2">
        <f t="shared" si="11"/>
        <v>0.60793650793650789</v>
      </c>
      <c r="AB94" s="1"/>
    </row>
    <row r="95" spans="1:28" x14ac:dyDescent="0.25">
      <c r="A95" s="15" t="s">
        <v>425</v>
      </c>
      <c r="B95" s="16" t="s">
        <v>512</v>
      </c>
      <c r="C95" s="10" t="s">
        <v>513</v>
      </c>
      <c r="D95" s="10" t="str">
        <f>VLOOKUP(C95,Setup!A:F,3,)</f>
        <v>Air freshener NUZHNIE VESHI Blooming sakura, 250 ml, N</v>
      </c>
      <c r="E95" s="10" t="str">
        <f>VLOOKUP(C95,Setup!A:F,4,)</f>
        <v>NUZHNYE VESHI</v>
      </c>
      <c r="F95" s="10" t="str">
        <f>VLOOKUP(C95,Setup!A:F,5,)</f>
        <v>AIR FRESHENERS</v>
      </c>
      <c r="G95" s="10" t="str">
        <f>VLOOKUP(C95,Setup!A:F,6,)</f>
        <v xml:space="preserve">Air fresheners refill </v>
      </c>
      <c r="H95" s="11" t="s">
        <v>597</v>
      </c>
      <c r="I95" s="31">
        <v>3500</v>
      </c>
      <c r="J95" s="12">
        <v>3528</v>
      </c>
      <c r="K95" s="13">
        <v>84</v>
      </c>
      <c r="L95" s="13">
        <v>15</v>
      </c>
      <c r="M95" s="13">
        <v>0</v>
      </c>
      <c r="N95" s="1"/>
      <c r="O95" s="1"/>
      <c r="P95" s="17">
        <v>50</v>
      </c>
      <c r="Q95" s="1">
        <v>2</v>
      </c>
      <c r="R95" s="1">
        <v>1</v>
      </c>
      <c r="S95" s="1"/>
      <c r="T95" s="1"/>
      <c r="U95" s="1">
        <v>6</v>
      </c>
      <c r="V95" s="40">
        <f t="shared" si="6"/>
        <v>5.6657223796033991E-4</v>
      </c>
      <c r="W95" s="40">
        <f t="shared" si="7"/>
        <v>2.8336639274582036E-4</v>
      </c>
      <c r="X95" s="40">
        <f t="shared" si="8"/>
        <v>1.697792869269949E-3</v>
      </c>
      <c r="Y95" s="2">
        <f t="shared" si="9"/>
        <v>0.84</v>
      </c>
      <c r="Z95" s="2">
        <f t="shared" si="10"/>
        <v>0.99971663360725416</v>
      </c>
      <c r="AA95" s="2">
        <f t="shared" si="11"/>
        <v>0.83976197223009341</v>
      </c>
      <c r="AB95" s="1"/>
    </row>
    <row r="96" spans="1:28" x14ac:dyDescent="0.25">
      <c r="A96" s="15" t="s">
        <v>425</v>
      </c>
      <c r="B96" s="16" t="s">
        <v>506</v>
      </c>
      <c r="C96" s="10" t="s">
        <v>507</v>
      </c>
      <c r="D96" s="10" t="str">
        <f>VLOOKUP(C96,Setup!A:F,3,)</f>
        <v>Air freshener NUZHNIE VESHI Juicy lime, 250 ml, N</v>
      </c>
      <c r="E96" s="10" t="str">
        <f>VLOOKUP(C96,Setup!A:F,4,)</f>
        <v>NUZHNYE VESHI</v>
      </c>
      <c r="F96" s="10" t="str">
        <f>VLOOKUP(C96,Setup!A:F,5,)</f>
        <v>AIR FRESHENERS</v>
      </c>
      <c r="G96" s="10" t="str">
        <f>VLOOKUP(C96,Setup!A:F,6,)</f>
        <v xml:space="preserve">Air fresheners refill </v>
      </c>
      <c r="H96" s="11" t="s">
        <v>598</v>
      </c>
      <c r="I96" s="31">
        <v>3996</v>
      </c>
      <c r="J96" s="12">
        <f>2592+544+892</f>
        <v>4028</v>
      </c>
      <c r="K96" s="13">
        <v>60</v>
      </c>
      <c r="L96" s="13">
        <v>30</v>
      </c>
      <c r="M96" s="13">
        <v>0</v>
      </c>
      <c r="N96" s="1"/>
      <c r="O96" s="1"/>
      <c r="P96" s="17">
        <f>90-10+55</f>
        <v>135</v>
      </c>
      <c r="Q96" s="1">
        <v>1</v>
      </c>
      <c r="R96" s="1">
        <v>3</v>
      </c>
      <c r="S96" s="1"/>
      <c r="T96" s="1"/>
      <c r="U96" s="1">
        <f>6+6</f>
        <v>12</v>
      </c>
      <c r="V96" s="40">
        <f t="shared" si="6"/>
        <v>2.4820054604120131E-4</v>
      </c>
      <c r="W96" s="40">
        <f t="shared" si="7"/>
        <v>7.442322004465393E-4</v>
      </c>
      <c r="X96" s="40">
        <f t="shared" si="8"/>
        <v>2.9702970297029703E-3</v>
      </c>
      <c r="Y96" s="2">
        <f t="shared" si="9"/>
        <v>0.49728395061728398</v>
      </c>
      <c r="Z96" s="2">
        <f t="shared" si="10"/>
        <v>0.9992557677995535</v>
      </c>
      <c r="AA96" s="2">
        <f t="shared" si="11"/>
        <v>0.49691385588846937</v>
      </c>
      <c r="AB96" s="1" t="s">
        <v>4859</v>
      </c>
    </row>
    <row r="97" spans="1:28" x14ac:dyDescent="0.25">
      <c r="A97" s="15" t="s">
        <v>425</v>
      </c>
      <c r="B97" s="16" t="s">
        <v>515</v>
      </c>
      <c r="C97" s="10" t="s">
        <v>516</v>
      </c>
      <c r="D97" s="10" t="str">
        <f>VLOOKUP(C97,Setup!A:F,3,)</f>
        <v>Air freshener MOYA TSENA Pomegranate, 250 ml</v>
      </c>
      <c r="E97" s="10" t="str">
        <f>VLOOKUP(C97,Setup!A:F,4,)</f>
        <v>MOYA TSENA</v>
      </c>
      <c r="F97" s="10" t="str">
        <f>VLOOKUP(C97,Setup!A:F,5,)</f>
        <v>AIR FRESHENERS</v>
      </c>
      <c r="G97" s="10" t="str">
        <f>VLOOKUP(C97,Setup!A:F,6,)</f>
        <v xml:space="preserve">Air fresheners refill </v>
      </c>
      <c r="H97" s="11" t="s">
        <v>599</v>
      </c>
      <c r="I97" s="31">
        <v>5999</v>
      </c>
      <c r="J97" s="12">
        <v>5970</v>
      </c>
      <c r="K97" s="13">
        <v>84</v>
      </c>
      <c r="L97" s="13">
        <v>15</v>
      </c>
      <c r="M97" s="13">
        <v>0</v>
      </c>
      <c r="N97" s="1"/>
      <c r="O97" s="1"/>
      <c r="P97" s="17">
        <v>105</v>
      </c>
      <c r="Q97" s="1"/>
      <c r="R97" s="1">
        <v>1</v>
      </c>
      <c r="S97" s="1"/>
      <c r="T97" s="1"/>
      <c r="U97" s="1">
        <v>6</v>
      </c>
      <c r="V97" s="40">
        <f t="shared" si="6"/>
        <v>0</v>
      </c>
      <c r="W97" s="40">
        <f t="shared" si="7"/>
        <v>1.6747613465081226E-4</v>
      </c>
      <c r="X97" s="40">
        <f t="shared" si="8"/>
        <v>1.004016064257028E-3</v>
      </c>
      <c r="Y97" s="2">
        <f t="shared" si="9"/>
        <v>0.6768707482993197</v>
      </c>
      <c r="Z97" s="2">
        <f t="shared" si="10"/>
        <v>0.99983252386534915</v>
      </c>
      <c r="AA97" s="2">
        <f t="shared" si="11"/>
        <v>0.67675738860273627</v>
      </c>
      <c r="AB97" s="1" t="s">
        <v>4859</v>
      </c>
    </row>
    <row r="98" spans="1:28" x14ac:dyDescent="0.25">
      <c r="A98" s="15" t="s">
        <v>425</v>
      </c>
      <c r="B98" s="16" t="s">
        <v>160</v>
      </c>
      <c r="C98" s="10" t="s">
        <v>161</v>
      </c>
      <c r="D98" s="10" t="str">
        <f>VLOOKUP(C98,Setup!A:F,3,)</f>
        <v>Air freshener AIR PURE Home Aroma Breath of the taiga, 230 ml</v>
      </c>
      <c r="E98" s="10" t="str">
        <f>VLOOKUP(C98,Setup!A:F,4,)</f>
        <v>AIR PURE</v>
      </c>
      <c r="F98" s="10" t="str">
        <f>VLOOKUP(C98,Setup!A:F,5,)</f>
        <v>AIR FRESHENERS</v>
      </c>
      <c r="G98" s="10" t="str">
        <f>VLOOKUP(C98,Setup!A:F,6,)</f>
        <v xml:space="preserve">Air fresheners refill </v>
      </c>
      <c r="H98" s="11" t="s">
        <v>600</v>
      </c>
      <c r="I98" s="31">
        <v>30940</v>
      </c>
      <c r="J98" s="12">
        <v>31278</v>
      </c>
      <c r="K98" s="13">
        <v>84</v>
      </c>
      <c r="L98" s="13">
        <v>15</v>
      </c>
      <c r="M98" s="13">
        <v>0</v>
      </c>
      <c r="N98" s="1"/>
      <c r="O98" s="1"/>
      <c r="P98" s="17">
        <v>480</v>
      </c>
      <c r="Q98" s="1">
        <v>1</v>
      </c>
      <c r="R98" s="1"/>
      <c r="S98" s="1"/>
      <c r="T98" s="1"/>
      <c r="U98" s="1">
        <v>6</v>
      </c>
      <c r="V98" s="40">
        <f t="shared" si="6"/>
        <v>3.1970331532337987E-5</v>
      </c>
      <c r="W98" s="40">
        <f t="shared" si="7"/>
        <v>0</v>
      </c>
      <c r="X98" s="40">
        <f t="shared" si="8"/>
        <v>1.9179133103183735E-4</v>
      </c>
      <c r="Y98" s="2">
        <f t="shared" si="9"/>
        <v>0.77574404761904758</v>
      </c>
      <c r="Z98" s="2">
        <f t="shared" si="10"/>
        <v>1</v>
      </c>
      <c r="AA98" s="2">
        <f t="shared" si="11"/>
        <v>0.77574404761904758</v>
      </c>
      <c r="AB98" s="1"/>
    </row>
    <row r="99" spans="1:28" x14ac:dyDescent="0.25">
      <c r="A99" s="15" t="s">
        <v>425</v>
      </c>
      <c r="B99" s="16" t="s">
        <v>450</v>
      </c>
      <c r="C99" s="10" t="s">
        <v>451</v>
      </c>
      <c r="D99" s="10" t="str">
        <f>VLOOKUP(C99,Setup!A:F,3,)</f>
        <v>Air freshener AIR PURE Home Aroma Imperial Garden, 230 ml</v>
      </c>
      <c r="E99" s="10" t="str">
        <f>VLOOKUP(C99,Setup!A:F,4,)</f>
        <v>AIR PURE</v>
      </c>
      <c r="F99" s="10" t="str">
        <f>VLOOKUP(C99,Setup!A:F,5,)</f>
        <v>AIR FRESHENERS</v>
      </c>
      <c r="G99" s="10" t="str">
        <f>VLOOKUP(C99,Setup!A:F,6,)</f>
        <v xml:space="preserve">Air fresheners refill </v>
      </c>
      <c r="H99" s="11" t="s">
        <v>601</v>
      </c>
      <c r="I99" s="31">
        <v>15812</v>
      </c>
      <c r="J99" s="12">
        <v>15810</v>
      </c>
      <c r="K99" s="13">
        <v>84</v>
      </c>
      <c r="L99" s="13">
        <v>15</v>
      </c>
      <c r="M99" s="13">
        <v>15</v>
      </c>
      <c r="N99" s="1"/>
      <c r="O99" s="1"/>
      <c r="P99" s="17">
        <v>233</v>
      </c>
      <c r="Q99" s="1">
        <v>3</v>
      </c>
      <c r="R99" s="1">
        <v>1</v>
      </c>
      <c r="S99" s="1"/>
      <c r="T99" s="1"/>
      <c r="U99" s="1">
        <v>6</v>
      </c>
      <c r="V99" s="40">
        <f t="shared" si="6"/>
        <v>1.8971732119142478E-4</v>
      </c>
      <c r="W99" s="40">
        <f t="shared" si="7"/>
        <v>6.3247106444880145E-5</v>
      </c>
      <c r="X99" s="40">
        <f t="shared" si="8"/>
        <v>3.7936267071320183E-4</v>
      </c>
      <c r="Y99" s="2">
        <f t="shared" si="9"/>
        <v>0.86336828309305369</v>
      </c>
      <c r="Z99" s="2">
        <f t="shared" si="10"/>
        <v>0.9999367528935551</v>
      </c>
      <c r="AA99" s="2">
        <f t="shared" si="11"/>
        <v>0.86331367754735178</v>
      </c>
      <c r="AB99" s="1"/>
    </row>
    <row r="100" spans="1:28" x14ac:dyDescent="0.25">
      <c r="A100" s="15" t="s">
        <v>425</v>
      </c>
      <c r="B100" s="16" t="s">
        <v>454</v>
      </c>
      <c r="C100" s="10" t="s">
        <v>455</v>
      </c>
      <c r="D100" s="10" t="str">
        <f>VLOOKUP(C100,Setup!A:F,3,)</f>
        <v>Air freshener AIR PURE Home Aroma Pineapple punch, 230 ml</v>
      </c>
      <c r="E100" s="10" t="str">
        <f>VLOOKUP(C100,Setup!A:F,4,)</f>
        <v>AIR PURE</v>
      </c>
      <c r="F100" s="10" t="str">
        <f>VLOOKUP(C100,Setup!A:F,5,)</f>
        <v>AIR FRESHENERS</v>
      </c>
      <c r="G100" s="10" t="str">
        <f>VLOOKUP(C100,Setup!A:F,6,)</f>
        <v xml:space="preserve">Air fresheners refill </v>
      </c>
      <c r="H100" s="11" t="s">
        <v>602</v>
      </c>
      <c r="I100" s="31">
        <v>15470</v>
      </c>
      <c r="J100" s="12">
        <v>15462</v>
      </c>
      <c r="K100" s="13">
        <v>84</v>
      </c>
      <c r="L100" s="13">
        <v>15</v>
      </c>
      <c r="M100" s="13">
        <v>0</v>
      </c>
      <c r="N100" s="1"/>
      <c r="O100" s="1"/>
      <c r="P100" s="17">
        <v>220</v>
      </c>
      <c r="Q100" s="1"/>
      <c r="R100" s="1">
        <v>6</v>
      </c>
      <c r="S100" s="1"/>
      <c r="T100" s="1"/>
      <c r="U100" s="1">
        <v>6</v>
      </c>
      <c r="V100" s="40">
        <f t="shared" si="6"/>
        <v>0</v>
      </c>
      <c r="W100" s="40">
        <f t="shared" si="7"/>
        <v>3.8789759503491078E-4</v>
      </c>
      <c r="X100" s="40">
        <f t="shared" si="8"/>
        <v>3.8789759503491078E-4</v>
      </c>
      <c r="Y100" s="2">
        <f t="shared" si="9"/>
        <v>0.8366883116883117</v>
      </c>
      <c r="Z100" s="2">
        <f t="shared" si="10"/>
        <v>0.99961210240496512</v>
      </c>
      <c r="AA100" s="2">
        <f t="shared" si="11"/>
        <v>0.836363762304414</v>
      </c>
      <c r="AB100" s="1"/>
    </row>
    <row r="101" spans="1:28" x14ac:dyDescent="0.25">
      <c r="A101" s="15" t="s">
        <v>425</v>
      </c>
      <c r="B101" s="16" t="s">
        <v>64</v>
      </c>
      <c r="C101" s="10" t="s">
        <v>65</v>
      </c>
      <c r="D101" s="10" t="str">
        <f>VLOOKUP(C101,Setup!A:F,3,)</f>
        <v>Air freshener VERTI Vetiver and bamboo, 250 ml</v>
      </c>
      <c r="E101" s="10" t="str">
        <f>VLOOKUP(C101,Setup!A:F,4,)</f>
        <v>VERTI</v>
      </c>
      <c r="F101" s="10" t="str">
        <f>VLOOKUP(C101,Setup!A:F,5,)</f>
        <v>AIR FRESHENERS</v>
      </c>
      <c r="G101" s="10" t="str">
        <f>VLOOKUP(C101,Setup!A:F,6,)</f>
        <v xml:space="preserve">Air fresheners refill </v>
      </c>
      <c r="H101" s="11" t="s">
        <v>603</v>
      </c>
      <c r="I101" s="31">
        <v>7000</v>
      </c>
      <c r="J101" s="12">
        <v>7008</v>
      </c>
      <c r="K101" s="13">
        <v>84</v>
      </c>
      <c r="L101" s="13">
        <v>15</v>
      </c>
      <c r="M101" s="13">
        <v>0</v>
      </c>
      <c r="N101" s="1"/>
      <c r="O101" s="1"/>
      <c r="P101" s="17">
        <v>120</v>
      </c>
      <c r="Q101" s="1">
        <v>2</v>
      </c>
      <c r="R101" s="1"/>
      <c r="S101" s="1"/>
      <c r="T101" s="1"/>
      <c r="U101" s="1">
        <v>6</v>
      </c>
      <c r="V101" s="40">
        <f t="shared" si="6"/>
        <v>2.8530670470756063E-4</v>
      </c>
      <c r="W101" s="40">
        <f t="shared" si="7"/>
        <v>0</v>
      </c>
      <c r="X101" s="40">
        <f t="shared" si="8"/>
        <v>8.5543199315654401E-4</v>
      </c>
      <c r="Y101" s="2">
        <f t="shared" si="9"/>
        <v>0.69523809523809521</v>
      </c>
      <c r="Z101" s="2">
        <f t="shared" si="10"/>
        <v>1</v>
      </c>
      <c r="AA101" s="2">
        <f t="shared" si="11"/>
        <v>0.69523809523809521</v>
      </c>
      <c r="AB101" s="1"/>
    </row>
    <row r="102" spans="1:28" x14ac:dyDescent="0.25">
      <c r="A102" s="15" t="s">
        <v>425</v>
      </c>
      <c r="B102" s="16" t="s">
        <v>67</v>
      </c>
      <c r="C102" s="10" t="s">
        <v>68</v>
      </c>
      <c r="D102" s="10" t="str">
        <f>VLOOKUP(C102,Setup!A:F,3,)</f>
        <v>Air freshener VERTI Sea salt and white tree, 250 ml</v>
      </c>
      <c r="E102" s="10" t="str">
        <f>VLOOKUP(C102,Setup!A:F,4,)</f>
        <v>VERTI</v>
      </c>
      <c r="F102" s="10" t="str">
        <f>VLOOKUP(C102,Setup!A:F,5,)</f>
        <v>AIR FRESHENERS</v>
      </c>
      <c r="G102" s="10" t="str">
        <f>VLOOKUP(C102,Setup!A:F,6,)</f>
        <v xml:space="preserve">Air fresheners refill </v>
      </c>
      <c r="H102" s="11" t="s">
        <v>604</v>
      </c>
      <c r="I102" s="31">
        <v>7000</v>
      </c>
      <c r="J102" s="12">
        <v>7104</v>
      </c>
      <c r="K102" s="13">
        <v>84</v>
      </c>
      <c r="L102" s="13">
        <v>15</v>
      </c>
      <c r="M102" s="13">
        <v>0</v>
      </c>
      <c r="N102" s="1"/>
      <c r="O102" s="1"/>
      <c r="P102" s="17">
        <v>97</v>
      </c>
      <c r="Q102" s="1"/>
      <c r="R102" s="1">
        <v>2</v>
      </c>
      <c r="S102" s="1"/>
      <c r="T102" s="1"/>
      <c r="U102" s="1">
        <v>6</v>
      </c>
      <c r="V102" s="40">
        <f t="shared" si="6"/>
        <v>0</v>
      </c>
      <c r="W102" s="40">
        <f t="shared" si="7"/>
        <v>2.8145229383619476E-4</v>
      </c>
      <c r="X102" s="40">
        <f t="shared" si="8"/>
        <v>8.438818565400844E-4</v>
      </c>
      <c r="Y102" s="2">
        <f t="shared" si="9"/>
        <v>0.87187039764359353</v>
      </c>
      <c r="Z102" s="2">
        <f t="shared" si="10"/>
        <v>0.99971854770616375</v>
      </c>
      <c r="AA102" s="2">
        <f t="shared" si="11"/>
        <v>0.87162500772024887</v>
      </c>
      <c r="AB102" s="1"/>
    </row>
    <row r="103" spans="1:28" x14ac:dyDescent="0.25">
      <c r="A103" s="15" t="s">
        <v>425</v>
      </c>
      <c r="B103" s="16" t="s">
        <v>70</v>
      </c>
      <c r="C103" s="10" t="s">
        <v>71</v>
      </c>
      <c r="D103" s="10" t="str">
        <f>VLOOKUP(C103,Setup!A:F,3,)</f>
        <v>Air freshener VERTI Black pepper and orange blossom, 250 ml</v>
      </c>
      <c r="E103" s="10" t="str">
        <f>VLOOKUP(C103,Setup!A:F,4,)</f>
        <v>VERTI</v>
      </c>
      <c r="F103" s="10" t="str">
        <f>VLOOKUP(C103,Setup!A:F,5,)</f>
        <v>AIR FRESHENERS</v>
      </c>
      <c r="G103" s="10" t="str">
        <f>VLOOKUP(C103,Setup!A:F,6,)</f>
        <v xml:space="preserve">Air fresheners refill </v>
      </c>
      <c r="H103" s="11" t="s">
        <v>605</v>
      </c>
      <c r="I103" s="31">
        <v>7000</v>
      </c>
      <c r="J103" s="12">
        <v>6996</v>
      </c>
      <c r="K103" s="13">
        <v>84</v>
      </c>
      <c r="L103" s="13">
        <v>15</v>
      </c>
      <c r="M103" s="13">
        <v>0</v>
      </c>
      <c r="N103" s="1"/>
      <c r="O103" s="1"/>
      <c r="P103" s="17">
        <v>100</v>
      </c>
      <c r="Q103" s="1">
        <v>10</v>
      </c>
      <c r="R103" s="1"/>
      <c r="S103" s="1"/>
      <c r="T103" s="1"/>
      <c r="U103" s="1">
        <v>6</v>
      </c>
      <c r="V103" s="40">
        <f t="shared" si="6"/>
        <v>1.4273479874393378E-3</v>
      </c>
      <c r="W103" s="40">
        <f t="shared" si="7"/>
        <v>0</v>
      </c>
      <c r="X103" s="40">
        <f t="shared" si="8"/>
        <v>8.5689802913453304E-4</v>
      </c>
      <c r="Y103" s="2">
        <f t="shared" si="9"/>
        <v>0.83285714285714285</v>
      </c>
      <c r="Z103" s="2">
        <f t="shared" si="10"/>
        <v>1</v>
      </c>
      <c r="AA103" s="2">
        <f t="shared" si="11"/>
        <v>0.83285714285714285</v>
      </c>
      <c r="AB103" s="1"/>
    </row>
    <row r="104" spans="1:28" x14ac:dyDescent="0.25">
      <c r="A104" s="15" t="s">
        <v>425</v>
      </c>
      <c r="B104" s="16" t="s">
        <v>73</v>
      </c>
      <c r="C104" s="10" t="s">
        <v>74</v>
      </c>
      <c r="D104" s="10" t="str">
        <f>VLOOKUP(C104,Setup!A:F,3,)</f>
        <v>Air freshener VERTI Magnolia, 250 ml</v>
      </c>
      <c r="E104" s="10" t="str">
        <f>VLOOKUP(C104,Setup!A:F,4,)</f>
        <v>VERTI</v>
      </c>
      <c r="F104" s="10" t="str">
        <f>VLOOKUP(C104,Setup!A:F,5,)</f>
        <v>AIR FRESHENERS</v>
      </c>
      <c r="G104" s="10" t="str">
        <f>VLOOKUP(C104,Setup!A:F,6,)</f>
        <v xml:space="preserve">Air fresheners refill </v>
      </c>
      <c r="H104" s="11" t="s">
        <v>606</v>
      </c>
      <c r="I104" s="31">
        <v>7000</v>
      </c>
      <c r="J104" s="12">
        <v>6894</v>
      </c>
      <c r="K104" s="13">
        <v>84</v>
      </c>
      <c r="L104" s="13">
        <v>15</v>
      </c>
      <c r="M104" s="13">
        <v>0</v>
      </c>
      <c r="N104" s="1"/>
      <c r="O104" s="1"/>
      <c r="P104" s="17">
        <v>98</v>
      </c>
      <c r="Q104" s="1">
        <v>1</v>
      </c>
      <c r="R104" s="1">
        <v>1</v>
      </c>
      <c r="S104" s="1"/>
      <c r="T104" s="1"/>
      <c r="U104" s="1">
        <v>6</v>
      </c>
      <c r="V104" s="40">
        <f t="shared" si="6"/>
        <v>1.45032632342277E-4</v>
      </c>
      <c r="W104" s="40">
        <f t="shared" si="7"/>
        <v>1.45032632342277E-4</v>
      </c>
      <c r="X104" s="40">
        <f t="shared" si="8"/>
        <v>8.6956521739130438E-4</v>
      </c>
      <c r="Y104" s="2">
        <f t="shared" si="9"/>
        <v>0.83746355685131191</v>
      </c>
      <c r="Z104" s="2">
        <f t="shared" si="10"/>
        <v>0.99985496736765778</v>
      </c>
      <c r="AA104" s="2">
        <f t="shared" si="11"/>
        <v>0.83734209730717113</v>
      </c>
      <c r="AB104" s="1"/>
    </row>
    <row r="105" spans="1:28" x14ac:dyDescent="0.25">
      <c r="A105" s="15" t="s">
        <v>425</v>
      </c>
      <c r="B105" s="16" t="s">
        <v>52</v>
      </c>
      <c r="C105" s="10" t="s">
        <v>53</v>
      </c>
      <c r="D105" s="10" t="str">
        <f>VLOOKUP(C105,Setup!A:F,3,)</f>
        <v>Air freshener AROMA VOYAGE Hello Aroma Verti , Tropical smoothie, 250 ml</v>
      </c>
      <c r="E105" s="10" t="str">
        <f>VLOOKUP(C105,Setup!A:F,4,)</f>
        <v>VERTI</v>
      </c>
      <c r="F105" s="10" t="str">
        <f>VLOOKUP(C105,Setup!A:F,5,)</f>
        <v>AIR FRESHENERS</v>
      </c>
      <c r="G105" s="10" t="str">
        <f>VLOOKUP(C105,Setup!A:F,6,)</f>
        <v xml:space="preserve">Air fresheners refill </v>
      </c>
      <c r="H105" s="11" t="s">
        <v>607</v>
      </c>
      <c r="I105" s="31">
        <v>8000</v>
      </c>
      <c r="J105" s="12">
        <v>8166</v>
      </c>
      <c r="K105" s="13">
        <v>84</v>
      </c>
      <c r="L105" s="13">
        <v>15</v>
      </c>
      <c r="M105" s="13">
        <v>0</v>
      </c>
      <c r="N105" s="1"/>
      <c r="O105" s="1"/>
      <c r="P105" s="17">
        <v>112</v>
      </c>
      <c r="Q105" s="1">
        <v>7</v>
      </c>
      <c r="R105" s="1"/>
      <c r="S105" s="1"/>
      <c r="T105" s="1"/>
      <c r="U105" s="1">
        <v>6</v>
      </c>
      <c r="V105" s="40">
        <f t="shared" si="6"/>
        <v>8.5647864921081611E-4</v>
      </c>
      <c r="W105" s="40">
        <f t="shared" si="7"/>
        <v>0</v>
      </c>
      <c r="X105" s="40">
        <f t="shared" si="8"/>
        <v>7.3421439060205576E-4</v>
      </c>
      <c r="Y105" s="2">
        <f t="shared" si="9"/>
        <v>0.86798469387755106</v>
      </c>
      <c r="Z105" s="2">
        <f t="shared" si="10"/>
        <v>1</v>
      </c>
      <c r="AA105" s="2">
        <f t="shared" si="11"/>
        <v>0.86798469387755106</v>
      </c>
      <c r="AB105" s="1"/>
    </row>
    <row r="106" spans="1:28" x14ac:dyDescent="0.25">
      <c r="A106" s="15" t="s">
        <v>425</v>
      </c>
      <c r="B106" s="16" t="s">
        <v>55</v>
      </c>
      <c r="C106" s="10" t="s">
        <v>56</v>
      </c>
      <c r="D106" s="10" t="str">
        <f>VLOOKUP(C106,Setup!A:F,3,)</f>
        <v>Air freshener AROMA VOYAGE Hello Aroma Verti , Altai freshness, 250 ml</v>
      </c>
      <c r="E106" s="10" t="str">
        <f>VLOOKUP(C106,Setup!A:F,4,)</f>
        <v>VERTI</v>
      </c>
      <c r="F106" s="10" t="str">
        <f>VLOOKUP(C106,Setup!A:F,5,)</f>
        <v>AIR FRESHENERS</v>
      </c>
      <c r="G106" s="10" t="str">
        <f>VLOOKUP(C106,Setup!A:F,6,)</f>
        <v xml:space="preserve">Air fresheners refill </v>
      </c>
      <c r="H106" s="11" t="s">
        <v>608</v>
      </c>
      <c r="I106" s="31">
        <v>8000</v>
      </c>
      <c r="J106" s="12">
        <v>7950</v>
      </c>
      <c r="K106" s="13">
        <v>84</v>
      </c>
      <c r="L106" s="13">
        <v>15</v>
      </c>
      <c r="M106" s="13">
        <v>0</v>
      </c>
      <c r="N106" s="1"/>
      <c r="O106" s="1"/>
      <c r="P106" s="17">
        <v>110</v>
      </c>
      <c r="Q106" s="1">
        <v>3</v>
      </c>
      <c r="R106" s="1"/>
      <c r="S106" s="1"/>
      <c r="T106" s="1"/>
      <c r="U106" s="1">
        <v>6</v>
      </c>
      <c r="V106" s="40">
        <f t="shared" si="6"/>
        <v>3.7721614485099962E-4</v>
      </c>
      <c r="W106" s="40">
        <f t="shared" si="7"/>
        <v>0</v>
      </c>
      <c r="X106" s="40">
        <f t="shared" si="8"/>
        <v>7.5414781297134241E-4</v>
      </c>
      <c r="Y106" s="2">
        <f t="shared" si="9"/>
        <v>0.86038961038961037</v>
      </c>
      <c r="Z106" s="2">
        <f t="shared" si="10"/>
        <v>1</v>
      </c>
      <c r="AA106" s="2">
        <f t="shared" si="11"/>
        <v>0.86038961038961037</v>
      </c>
      <c r="AB106" s="1"/>
    </row>
    <row r="107" spans="1:28" x14ac:dyDescent="0.25">
      <c r="A107" s="15" t="s">
        <v>425</v>
      </c>
      <c r="B107" s="16" t="s">
        <v>61</v>
      </c>
      <c r="C107" s="10" t="s">
        <v>62</v>
      </c>
      <c r="D107" s="10" t="str">
        <f>VLOOKUP(C107,Setup!A:F,3,)</f>
        <v>Air freshener AROMA VOYAGE Hello Aroma Verti , Karelian berries, 250 ml</v>
      </c>
      <c r="E107" s="10" t="str">
        <f>VLOOKUP(C107,Setup!A:F,4,)</f>
        <v>VERTI</v>
      </c>
      <c r="F107" s="10" t="str">
        <f>VLOOKUP(C107,Setup!A:F,5,)</f>
        <v>AIR FRESHENERS</v>
      </c>
      <c r="G107" s="10" t="str">
        <f>VLOOKUP(C107,Setup!A:F,6,)</f>
        <v xml:space="preserve">Air fresheners refill </v>
      </c>
      <c r="H107" s="11" t="s">
        <v>609</v>
      </c>
      <c r="I107" s="31">
        <v>8000</v>
      </c>
      <c r="J107" s="12">
        <v>8094</v>
      </c>
      <c r="K107" s="13">
        <v>84</v>
      </c>
      <c r="L107" s="13">
        <v>15</v>
      </c>
      <c r="M107" s="13">
        <v>0</v>
      </c>
      <c r="N107" s="1"/>
      <c r="O107" s="1"/>
      <c r="P107" s="17">
        <v>120</v>
      </c>
      <c r="Q107" s="1">
        <v>2</v>
      </c>
      <c r="R107" s="1"/>
      <c r="S107" s="1"/>
      <c r="T107" s="1"/>
      <c r="U107" s="1">
        <v>6</v>
      </c>
      <c r="V107" s="40">
        <f t="shared" si="6"/>
        <v>2.4703557312252963E-4</v>
      </c>
      <c r="W107" s="40">
        <f t="shared" si="7"/>
        <v>0</v>
      </c>
      <c r="X107" s="40">
        <f t="shared" si="8"/>
        <v>7.407407407407407E-4</v>
      </c>
      <c r="Y107" s="2">
        <f t="shared" si="9"/>
        <v>0.80297619047619051</v>
      </c>
      <c r="Z107" s="2">
        <f t="shared" si="10"/>
        <v>1</v>
      </c>
      <c r="AA107" s="2">
        <f t="shared" si="11"/>
        <v>0.80297619047619051</v>
      </c>
      <c r="AB107" s="1"/>
    </row>
    <row r="108" spans="1:28" x14ac:dyDescent="0.25">
      <c r="A108" s="15" t="s">
        <v>425</v>
      </c>
      <c r="B108" s="16" t="s">
        <v>58</v>
      </c>
      <c r="C108" s="10" t="s">
        <v>59</v>
      </c>
      <c r="D108" s="10" t="str">
        <f>VLOOKUP(C108,Setup!A:F,3,)</f>
        <v>Air freshener AROMA VOYAGE Hello Aroma Verti , Chinese orchid, 250 ml</v>
      </c>
      <c r="E108" s="10" t="str">
        <f>VLOOKUP(C108,Setup!A:F,4,)</f>
        <v>VERTI</v>
      </c>
      <c r="F108" s="10" t="str">
        <f>VLOOKUP(C108,Setup!A:F,5,)</f>
        <v>AIR FRESHENERS</v>
      </c>
      <c r="G108" s="10" t="str">
        <f>VLOOKUP(C108,Setup!A:F,6,)</f>
        <v xml:space="preserve">Air fresheners refill </v>
      </c>
      <c r="H108" s="11" t="s">
        <v>610</v>
      </c>
      <c r="I108" s="31">
        <v>8000</v>
      </c>
      <c r="J108" s="12">
        <v>8106</v>
      </c>
      <c r="K108" s="13">
        <v>84</v>
      </c>
      <c r="L108" s="13">
        <v>15</v>
      </c>
      <c r="M108" s="13">
        <v>0</v>
      </c>
      <c r="N108" s="1"/>
      <c r="O108" s="1"/>
      <c r="P108" s="17">
        <v>115</v>
      </c>
      <c r="Q108" s="1">
        <v>2</v>
      </c>
      <c r="R108" s="1"/>
      <c r="S108" s="1"/>
      <c r="T108" s="1"/>
      <c r="U108" s="1">
        <v>6</v>
      </c>
      <c r="V108" s="40">
        <f t="shared" si="6"/>
        <v>2.4666995559940801E-4</v>
      </c>
      <c r="W108" s="40">
        <f t="shared" si="7"/>
        <v>0</v>
      </c>
      <c r="X108" s="40">
        <f t="shared" si="8"/>
        <v>7.3964497041420117E-4</v>
      </c>
      <c r="Y108" s="2">
        <f t="shared" si="9"/>
        <v>0.83913043478260874</v>
      </c>
      <c r="Z108" s="2">
        <f t="shared" si="10"/>
        <v>1</v>
      </c>
      <c r="AA108" s="2">
        <f t="shared" si="11"/>
        <v>0.83913043478260874</v>
      </c>
      <c r="AB108" s="1"/>
    </row>
    <row r="109" spans="1:28" x14ac:dyDescent="0.25">
      <c r="A109" s="15" t="s">
        <v>425</v>
      </c>
      <c r="B109" s="16" t="s">
        <v>440</v>
      </c>
      <c r="C109" s="10" t="s">
        <v>441</v>
      </c>
      <c r="D109" s="10" t="str">
        <f>VLOOKUP(C109,Setup!A:F,3,)</f>
        <v>Air freshener GREEN COLLECTION BY PROVENCE Antitabacco. Mango and vanila. Odor blocker, 250 ml</v>
      </c>
      <c r="E109" s="10" t="str">
        <f>VLOOKUP(C109,Setup!A:F,4,)</f>
        <v>GREEN COLLECTION BY PROVENCE</v>
      </c>
      <c r="F109" s="10" t="str">
        <f>VLOOKUP(C109,Setup!A:F,5,)</f>
        <v>AIR FRESHENERS</v>
      </c>
      <c r="G109" s="10" t="str">
        <f>VLOOKUP(C109,Setup!A:F,6,)</f>
        <v xml:space="preserve">Air fresheners refill </v>
      </c>
      <c r="H109" s="11" t="s">
        <v>611</v>
      </c>
      <c r="I109" s="31">
        <v>6630</v>
      </c>
      <c r="J109" s="12">
        <v>6720</v>
      </c>
      <c r="K109" s="13">
        <v>84</v>
      </c>
      <c r="L109" s="13">
        <v>15</v>
      </c>
      <c r="M109" s="13">
        <v>0</v>
      </c>
      <c r="N109" s="1"/>
      <c r="O109" s="1"/>
      <c r="P109" s="17">
        <v>110</v>
      </c>
      <c r="Q109" s="1">
        <v>2</v>
      </c>
      <c r="R109" s="1">
        <v>1</v>
      </c>
      <c r="S109" s="1"/>
      <c r="T109" s="1"/>
      <c r="U109" s="1">
        <v>6</v>
      </c>
      <c r="V109" s="40">
        <f t="shared" si="6"/>
        <v>2.9753049687592978E-4</v>
      </c>
      <c r="W109" s="40">
        <f t="shared" si="7"/>
        <v>1.4878738282993602E-4</v>
      </c>
      <c r="X109" s="40">
        <f t="shared" si="8"/>
        <v>8.9206066012488853E-4</v>
      </c>
      <c r="Y109" s="2">
        <f t="shared" si="9"/>
        <v>0.72727272727272729</v>
      </c>
      <c r="Z109" s="2">
        <f t="shared" si="10"/>
        <v>0.99985121261717003</v>
      </c>
      <c r="AA109" s="2">
        <f t="shared" si="11"/>
        <v>0.72716451826703277</v>
      </c>
      <c r="AB109" s="1"/>
    </row>
    <row r="110" spans="1:28" x14ac:dyDescent="0.25">
      <c r="A110" s="15" t="s">
        <v>425</v>
      </c>
      <c r="B110" s="16" t="s">
        <v>521</v>
      </c>
      <c r="C110" s="10" t="s">
        <v>427</v>
      </c>
      <c r="D110" s="10" t="str">
        <f>VLOOKUP(C110,Setup!A:F,3,)</f>
        <v>Air freshener LIBERHAUS Tropical island, 250 ml</v>
      </c>
      <c r="E110" s="10" t="str">
        <f>VLOOKUP(C110,Setup!A:F,4,)</f>
        <v>LIBERHAUS</v>
      </c>
      <c r="F110" s="10" t="str">
        <f>VLOOKUP(C110,Setup!A:F,5,)</f>
        <v>AIR FRESHENERS</v>
      </c>
      <c r="G110" s="10" t="str">
        <f>VLOOKUP(C110,Setup!A:F,6,)</f>
        <v xml:space="preserve">Air fresheners refill </v>
      </c>
      <c r="H110" s="11" t="s">
        <v>612</v>
      </c>
      <c r="I110" s="35">
        <v>48620</v>
      </c>
      <c r="J110" s="12">
        <v>48600</v>
      </c>
      <c r="K110" s="13">
        <v>84</v>
      </c>
      <c r="L110" s="13">
        <v>15</v>
      </c>
      <c r="M110" s="13">
        <v>15</v>
      </c>
      <c r="N110" s="1">
        <v>42</v>
      </c>
      <c r="O110" s="1" t="s">
        <v>4846</v>
      </c>
      <c r="P110" s="17">
        <v>720</v>
      </c>
      <c r="Q110" s="1">
        <v>6</v>
      </c>
      <c r="R110" s="1">
        <v>2</v>
      </c>
      <c r="S110" s="1"/>
      <c r="T110" s="1"/>
      <c r="U110" s="1">
        <v>6</v>
      </c>
      <c r="V110" s="40">
        <f t="shared" si="6"/>
        <v>1.2344155042587335E-4</v>
      </c>
      <c r="W110" s="40">
        <f t="shared" si="7"/>
        <v>4.1150569935393602E-5</v>
      </c>
      <c r="X110" s="40">
        <f t="shared" si="8"/>
        <v>1.2344155042587335E-4</v>
      </c>
      <c r="Y110" s="2">
        <f t="shared" si="9"/>
        <v>0.87265675500969619</v>
      </c>
      <c r="Z110" s="2">
        <f t="shared" si="10"/>
        <v>0.99995884943006463</v>
      </c>
      <c r="AA110" s="2">
        <f t="shared" si="11"/>
        <v>0.87262084468686962</v>
      </c>
      <c r="AB110" s="1"/>
    </row>
    <row r="111" spans="1:28" x14ac:dyDescent="0.25">
      <c r="A111" s="15" t="s">
        <v>425</v>
      </c>
      <c r="B111" s="16" t="s">
        <v>518</v>
      </c>
      <c r="C111" s="10" t="s">
        <v>519</v>
      </c>
      <c r="D111" s="10" t="str">
        <f>VLOOKUP(C111,Setup!A:F,3,)</f>
        <v>Air freshener LIBERHAUS Sunny mood, 250 ml</v>
      </c>
      <c r="E111" s="10" t="str">
        <f>VLOOKUP(C111,Setup!A:F,4,)</f>
        <v>LIBERHAUS</v>
      </c>
      <c r="F111" s="10" t="str">
        <f>VLOOKUP(C111,Setup!A:F,5,)</f>
        <v>AIR FRESHENERS</v>
      </c>
      <c r="G111" s="10" t="str">
        <f>VLOOKUP(C111,Setup!A:F,6,)</f>
        <v xml:space="preserve">Air fresheners refill </v>
      </c>
      <c r="H111" s="11" t="s">
        <v>613</v>
      </c>
      <c r="I111" s="31">
        <v>16000</v>
      </c>
      <c r="J111" s="12">
        <v>16684</v>
      </c>
      <c r="K111" s="13">
        <v>84</v>
      </c>
      <c r="L111" s="13">
        <v>15</v>
      </c>
      <c r="M111" s="13">
        <v>15</v>
      </c>
      <c r="N111" s="1"/>
      <c r="O111" s="1"/>
      <c r="P111" s="17">
        <v>255</v>
      </c>
      <c r="Q111" s="1">
        <v>37</v>
      </c>
      <c r="R111" s="1">
        <v>3</v>
      </c>
      <c r="S111" s="1"/>
      <c r="T111" s="1"/>
      <c r="U111" s="1">
        <v>6</v>
      </c>
      <c r="V111" s="40">
        <f t="shared" si="6"/>
        <v>2.2127863166078584E-3</v>
      </c>
      <c r="W111" s="40">
        <f t="shared" si="7"/>
        <v>1.7978066758554564E-4</v>
      </c>
      <c r="X111" s="40">
        <f t="shared" si="8"/>
        <v>3.5949670461354102E-4</v>
      </c>
      <c r="Y111" s="2">
        <f t="shared" si="9"/>
        <v>0.82757936507936503</v>
      </c>
      <c r="Z111" s="2">
        <f t="shared" si="10"/>
        <v>0.99982021933241449</v>
      </c>
      <c r="AA111" s="2">
        <f t="shared" si="11"/>
        <v>0.82743058230863109</v>
      </c>
      <c r="AB111" s="1"/>
    </row>
    <row r="112" spans="1:28" x14ac:dyDescent="0.25">
      <c r="A112" s="15" t="s">
        <v>425</v>
      </c>
      <c r="B112" s="16" t="s">
        <v>614</v>
      </c>
      <c r="C112" s="10" t="s">
        <v>615</v>
      </c>
      <c r="D112" s="10" t="str">
        <f>VLOOKUP(C112,Setup!A:F,3,)</f>
        <v>Air freshener AIR PURE Raspberry Panakota, 230 ml</v>
      </c>
      <c r="E112" s="10" t="str">
        <f>VLOOKUP(C112,Setup!A:F,4,)</f>
        <v>AIR PURE</v>
      </c>
      <c r="F112" s="10" t="str">
        <f>VLOOKUP(C112,Setup!A:F,5,)</f>
        <v>AIR FRESHENERS</v>
      </c>
      <c r="G112" s="10" t="str">
        <f>VLOOKUP(C112,Setup!A:F,6,)</f>
        <v xml:space="preserve">Air fresheners refill </v>
      </c>
      <c r="H112" s="11" t="s">
        <v>616</v>
      </c>
      <c r="I112" s="31">
        <v>15425</v>
      </c>
      <c r="J112" s="12">
        <v>15420</v>
      </c>
      <c r="K112" s="13">
        <v>84</v>
      </c>
      <c r="L112" s="13">
        <v>15</v>
      </c>
      <c r="M112" s="13">
        <v>0</v>
      </c>
      <c r="N112" s="1"/>
      <c r="O112" s="1"/>
      <c r="P112" s="17">
        <v>230</v>
      </c>
      <c r="Q112" s="1">
        <v>1</v>
      </c>
      <c r="R112" s="1">
        <v>1</v>
      </c>
      <c r="S112" s="1"/>
      <c r="T112" s="1"/>
      <c r="U112" s="1">
        <v>12</v>
      </c>
      <c r="V112" s="40">
        <f t="shared" si="6"/>
        <v>6.4846637701835154E-5</v>
      </c>
      <c r="W112" s="40">
        <f t="shared" si="7"/>
        <v>6.4846637701835154E-5</v>
      </c>
      <c r="X112" s="40">
        <f t="shared" si="8"/>
        <v>7.776049766718507E-4</v>
      </c>
      <c r="Y112" s="2">
        <f t="shared" si="9"/>
        <v>0.79813664596273293</v>
      </c>
      <c r="Z112" s="2">
        <f t="shared" si="10"/>
        <v>0.99993515336229821</v>
      </c>
      <c r="AA112" s="2">
        <f t="shared" si="11"/>
        <v>0.79808488948481571</v>
      </c>
      <c r="AB112" s="1"/>
    </row>
    <row r="113" spans="1:28" x14ac:dyDescent="0.25">
      <c r="A113" s="15" t="s">
        <v>425</v>
      </c>
      <c r="B113" s="16" t="s">
        <v>163</v>
      </c>
      <c r="C113" s="10" t="s">
        <v>164</v>
      </c>
      <c r="D113" s="10" t="str">
        <f>VLOOKUP(C113,Setup!A:F,3,)</f>
        <v>Air freshener AIR PURE Lilac Day, 230 ml</v>
      </c>
      <c r="E113" s="10" t="str">
        <f>VLOOKUP(C113,Setup!A:F,4,)</f>
        <v>AIR PURE</v>
      </c>
      <c r="F113" s="10" t="str">
        <f>VLOOKUP(C113,Setup!A:F,5,)</f>
        <v>AIR FRESHENERS</v>
      </c>
      <c r="G113" s="10" t="str">
        <f>VLOOKUP(C113,Setup!A:F,6,)</f>
        <v xml:space="preserve">Air fresheners refill </v>
      </c>
      <c r="H113" s="11" t="s">
        <v>617</v>
      </c>
      <c r="I113" s="31">
        <v>15470</v>
      </c>
      <c r="J113" s="12">
        <v>15252</v>
      </c>
      <c r="K113" s="13">
        <v>84</v>
      </c>
      <c r="L113" s="13">
        <v>15</v>
      </c>
      <c r="M113" s="13">
        <v>0</v>
      </c>
      <c r="N113" s="1"/>
      <c r="O113" s="1"/>
      <c r="P113" s="17">
        <v>200</v>
      </c>
      <c r="Q113" s="1"/>
      <c r="R113" s="1"/>
      <c r="S113" s="1"/>
      <c r="T113" s="1"/>
      <c r="U113" s="1">
        <v>12</v>
      </c>
      <c r="V113" s="40">
        <f t="shared" si="6"/>
        <v>0</v>
      </c>
      <c r="W113" s="40">
        <f t="shared" si="7"/>
        <v>0</v>
      </c>
      <c r="X113" s="40">
        <f t="shared" si="8"/>
        <v>7.8616352201257866E-4</v>
      </c>
      <c r="Y113" s="2">
        <f t="shared" si="9"/>
        <v>0.90785714285714281</v>
      </c>
      <c r="Z113" s="2">
        <f t="shared" si="10"/>
        <v>1</v>
      </c>
      <c r="AA113" s="2">
        <f t="shared" si="11"/>
        <v>0.90785714285714281</v>
      </c>
      <c r="AB113" s="1"/>
    </row>
    <row r="114" spans="1:28" x14ac:dyDescent="0.25">
      <c r="A114" s="15" t="s">
        <v>425</v>
      </c>
      <c r="B114" s="16" t="s">
        <v>618</v>
      </c>
      <c r="C114" s="10" t="s">
        <v>619</v>
      </c>
      <c r="D114" s="10" t="str">
        <f>VLOOKUP(C114,Setup!A:F,3,)</f>
        <v>Air freshener AIR PURE ALPEN FRESH Paradise fruits, 250 ml</v>
      </c>
      <c r="E114" s="10" t="str">
        <f>VLOOKUP(C114,Setup!A:F,4,)</f>
        <v>ALPEN</v>
      </c>
      <c r="F114" s="10" t="str">
        <f>VLOOKUP(C114,Setup!A:F,5,)</f>
        <v>AIR FRESHENERS</v>
      </c>
      <c r="G114" s="10" t="str">
        <f>VLOOKUP(C114,Setup!A:F,6,)</f>
        <v xml:space="preserve">Air fresheners refill </v>
      </c>
      <c r="H114" s="11" t="s">
        <v>620</v>
      </c>
      <c r="I114" s="31">
        <v>10000</v>
      </c>
      <c r="J114" s="12">
        <v>10104</v>
      </c>
      <c r="K114" s="13">
        <v>84</v>
      </c>
      <c r="L114" s="13">
        <v>15</v>
      </c>
      <c r="M114" s="13">
        <v>0</v>
      </c>
      <c r="N114" s="1"/>
      <c r="O114" s="1"/>
      <c r="P114" s="17">
        <v>170</v>
      </c>
      <c r="Q114" s="1">
        <v>15</v>
      </c>
      <c r="R114" s="1"/>
      <c r="S114" s="1"/>
      <c r="T114" s="1"/>
      <c r="U114" s="1">
        <v>6</v>
      </c>
      <c r="V114" s="40">
        <f t="shared" si="6"/>
        <v>1.4823599169878447E-3</v>
      </c>
      <c r="W114" s="40">
        <f t="shared" si="7"/>
        <v>0</v>
      </c>
      <c r="X114" s="40">
        <f t="shared" si="8"/>
        <v>5.9347181008902075E-4</v>
      </c>
      <c r="Y114" s="2">
        <f t="shared" si="9"/>
        <v>0.70756302521008407</v>
      </c>
      <c r="Z114" s="2">
        <f t="shared" si="10"/>
        <v>1</v>
      </c>
      <c r="AA114" s="2">
        <f t="shared" si="11"/>
        <v>0.70756302521008407</v>
      </c>
      <c r="AB114" s="1"/>
    </row>
    <row r="115" spans="1:28" x14ac:dyDescent="0.25">
      <c r="A115" s="15" t="s">
        <v>425</v>
      </c>
      <c r="B115" s="16" t="s">
        <v>479</v>
      </c>
      <c r="C115" s="10" t="s">
        <v>480</v>
      </c>
      <c r="D115" s="10" t="str">
        <f>VLOOKUP(C115,Setup!A:F,3,)</f>
        <v>Air freshener GREEN COLLECTION BY PROVENCE Blooming Provence, 250 ml</v>
      </c>
      <c r="E115" s="10" t="str">
        <f>VLOOKUP(C115,Setup!A:F,4,)</f>
        <v>GREEN COLLECTION BY PROVENCE</v>
      </c>
      <c r="F115" s="10" t="str">
        <f>VLOOKUP(C115,Setup!A:F,5,)</f>
        <v>AIR FRESHENERS</v>
      </c>
      <c r="G115" s="10" t="str">
        <f>VLOOKUP(C115,Setup!A:F,6,)</f>
        <v xml:space="preserve">Air fresheners refill </v>
      </c>
      <c r="H115" s="11" t="s">
        <v>621</v>
      </c>
      <c r="I115" s="31">
        <v>6600</v>
      </c>
      <c r="J115" s="12">
        <v>6624</v>
      </c>
      <c r="K115" s="13">
        <v>84</v>
      </c>
      <c r="L115" s="13">
        <v>15</v>
      </c>
      <c r="M115" s="13">
        <v>0</v>
      </c>
      <c r="N115" s="1"/>
      <c r="O115" s="1"/>
      <c r="P115" s="17">
        <v>97</v>
      </c>
      <c r="Q115" s="1">
        <v>2</v>
      </c>
      <c r="R115" s="1"/>
      <c r="S115" s="1"/>
      <c r="T115" s="1"/>
      <c r="U115" s="1">
        <v>6</v>
      </c>
      <c r="V115" s="40">
        <f t="shared" si="6"/>
        <v>3.0184123151222455E-4</v>
      </c>
      <c r="W115" s="40">
        <f t="shared" si="7"/>
        <v>0</v>
      </c>
      <c r="X115" s="40">
        <f t="shared" si="8"/>
        <v>9.049773755656109E-4</v>
      </c>
      <c r="Y115" s="2">
        <f t="shared" si="9"/>
        <v>0.81296023564064801</v>
      </c>
      <c r="Z115" s="2">
        <f t="shared" si="10"/>
        <v>1</v>
      </c>
      <c r="AA115" s="2">
        <f t="shared" si="11"/>
        <v>0.81296023564064801</v>
      </c>
      <c r="AB115" s="1"/>
    </row>
    <row r="116" spans="1:28" x14ac:dyDescent="0.25">
      <c r="A116" s="15" t="s">
        <v>425</v>
      </c>
      <c r="B116" s="16" t="s">
        <v>622</v>
      </c>
      <c r="C116" s="10" t="s">
        <v>561</v>
      </c>
      <c r="D116" s="10" t="str">
        <f>VLOOKUP(C116,Setup!A:F,3,)</f>
        <v>Air freshener GREEN COLLECTION BY PROVENCE Invigorating Lime, 250 ml, Sl, N</v>
      </c>
      <c r="E116" s="10" t="str">
        <f>VLOOKUP(C116,Setup!A:F,4,)</f>
        <v>GREEN COLLECTION BY PROVENCE</v>
      </c>
      <c r="F116" s="10" t="str">
        <f>VLOOKUP(C116,Setup!A:F,5,)</f>
        <v>AIR FRESHENERS</v>
      </c>
      <c r="G116" s="10" t="str">
        <f>VLOOKUP(C116,Setup!A:F,6,)</f>
        <v xml:space="preserve">Air fresheners refill </v>
      </c>
      <c r="H116" s="11" t="s">
        <v>623</v>
      </c>
      <c r="I116" s="31">
        <v>2949</v>
      </c>
      <c r="J116" s="12">
        <v>2852</v>
      </c>
      <c r="K116" s="13">
        <v>84</v>
      </c>
      <c r="L116" s="13">
        <v>15</v>
      </c>
      <c r="M116" s="13">
        <v>0</v>
      </c>
      <c r="N116" s="1"/>
      <c r="O116" s="1"/>
      <c r="P116" s="17">
        <v>44</v>
      </c>
      <c r="Q116" s="1">
        <v>36</v>
      </c>
      <c r="R116" s="1">
        <v>7</v>
      </c>
      <c r="S116" s="1"/>
      <c r="T116" s="1"/>
      <c r="U116" s="1">
        <v>6</v>
      </c>
      <c r="V116" s="40">
        <f t="shared" si="6"/>
        <v>1.2465373961218837E-2</v>
      </c>
      <c r="W116" s="40">
        <f t="shared" si="7"/>
        <v>2.4484085344526059E-3</v>
      </c>
      <c r="X116" s="40">
        <f t="shared" si="8"/>
        <v>2.0993701889433169E-3</v>
      </c>
      <c r="Y116" s="2">
        <f t="shared" si="9"/>
        <v>0.77164502164502169</v>
      </c>
      <c r="Z116" s="2">
        <f t="shared" si="10"/>
        <v>0.99755159146554739</v>
      </c>
      <c r="AA116" s="2">
        <f t="shared" si="11"/>
        <v>0.7697557193884581</v>
      </c>
      <c r="AB116" s="1"/>
    </row>
    <row r="117" spans="1:28" x14ac:dyDescent="0.25">
      <c r="A117" s="15" t="s">
        <v>425</v>
      </c>
      <c r="B117" s="16" t="s">
        <v>438</v>
      </c>
      <c r="C117" s="10" t="s">
        <v>439</v>
      </c>
      <c r="D117" s="10" t="str">
        <f>VLOOKUP(C117,Setup!A:F,3,)</f>
        <v>Air freshener GREEN COLLECTION BY PROVENCE Invigorating Lime, 250 ml</v>
      </c>
      <c r="E117" s="10" t="str">
        <f>VLOOKUP(C117,Setup!A:F,4,)</f>
        <v>GREEN COLLECTION BY PROVENCE</v>
      </c>
      <c r="F117" s="10" t="str">
        <f>VLOOKUP(C117,Setup!A:F,5,)</f>
        <v>AIR FRESHENERS</v>
      </c>
      <c r="G117" s="10" t="str">
        <f>VLOOKUP(C117,Setup!A:F,6,)</f>
        <v xml:space="preserve">Air fresheners refill </v>
      </c>
      <c r="H117" s="11" t="s">
        <v>623</v>
      </c>
      <c r="I117" s="31">
        <v>7251</v>
      </c>
      <c r="J117" s="12">
        <v>7576</v>
      </c>
      <c r="K117" s="13">
        <v>84</v>
      </c>
      <c r="L117" s="13">
        <v>15</v>
      </c>
      <c r="M117" s="13">
        <v>0</v>
      </c>
      <c r="N117" s="1"/>
      <c r="O117" s="1"/>
      <c r="P117" s="17">
        <v>110</v>
      </c>
      <c r="Q117" s="1"/>
      <c r="R117" s="1"/>
      <c r="S117" s="1"/>
      <c r="T117" s="1"/>
      <c r="U117" s="1"/>
      <c r="V117" s="40">
        <f t="shared" si="6"/>
        <v>0</v>
      </c>
      <c r="W117" s="40">
        <f t="shared" si="7"/>
        <v>0</v>
      </c>
      <c r="X117" s="40">
        <f t="shared" si="8"/>
        <v>0</v>
      </c>
      <c r="Y117" s="2">
        <f t="shared" si="9"/>
        <v>0.81991341991341993</v>
      </c>
      <c r="Z117" s="2">
        <f t="shared" si="10"/>
        <v>1</v>
      </c>
      <c r="AA117" s="2">
        <f t="shared" si="11"/>
        <v>0.81991341991341993</v>
      </c>
      <c r="AB117" s="1"/>
    </row>
    <row r="118" spans="1:28" x14ac:dyDescent="0.25">
      <c r="A118" s="15" t="s">
        <v>425</v>
      </c>
      <c r="B118" s="16" t="s">
        <v>429</v>
      </c>
      <c r="C118" s="10" t="s">
        <v>430</v>
      </c>
      <c r="D118" s="10" t="str">
        <f>VLOOKUP(C118,Setup!A:F,3,)</f>
        <v>Air freshener GREEN COLLECTION BY PROVENCE Fruit dessert, 250 ml</v>
      </c>
      <c r="E118" s="10" t="str">
        <f>VLOOKUP(C118,Setup!A:F,4,)</f>
        <v>GREEN COLLECTION BY PROVENCE</v>
      </c>
      <c r="F118" s="10" t="str">
        <f>VLOOKUP(C118,Setup!A:F,5,)</f>
        <v>AIR FRESHENERS</v>
      </c>
      <c r="G118" s="10" t="str">
        <f>VLOOKUP(C118,Setup!A:F,6,)</f>
        <v xml:space="preserve">Air fresheners refill </v>
      </c>
      <c r="H118" s="11" t="s">
        <v>624</v>
      </c>
      <c r="I118" s="31">
        <v>9600</v>
      </c>
      <c r="J118" s="12">
        <v>9660</v>
      </c>
      <c r="K118" s="13">
        <v>84</v>
      </c>
      <c r="L118" s="13">
        <v>15</v>
      </c>
      <c r="M118" s="13">
        <v>0</v>
      </c>
      <c r="N118" s="1"/>
      <c r="O118" s="1"/>
      <c r="P118" s="17">
        <v>137</v>
      </c>
      <c r="Q118" s="1">
        <v>14</v>
      </c>
      <c r="R118" s="1"/>
      <c r="S118" s="1"/>
      <c r="T118" s="1"/>
      <c r="U118" s="1">
        <v>6</v>
      </c>
      <c r="V118" s="40">
        <f t="shared" si="6"/>
        <v>1.4471780028943559E-3</v>
      </c>
      <c r="W118" s="40">
        <f t="shared" si="7"/>
        <v>0</v>
      </c>
      <c r="X118" s="40">
        <f t="shared" si="8"/>
        <v>6.207324643078833E-4</v>
      </c>
      <c r="Y118" s="2">
        <f t="shared" si="9"/>
        <v>0.83941605839416056</v>
      </c>
      <c r="Z118" s="2">
        <f t="shared" si="10"/>
        <v>1</v>
      </c>
      <c r="AA118" s="2">
        <f t="shared" si="11"/>
        <v>0.83941605839416056</v>
      </c>
      <c r="AB118" s="1"/>
    </row>
    <row r="119" spans="1:28" x14ac:dyDescent="0.25">
      <c r="A119" s="15" t="s">
        <v>425</v>
      </c>
      <c r="B119" s="16" t="s">
        <v>160</v>
      </c>
      <c r="C119" s="10" t="s">
        <v>161</v>
      </c>
      <c r="D119" s="10" t="str">
        <f>VLOOKUP(C119,Setup!A:F,3,)</f>
        <v>Air freshener AIR PURE Home Aroma Breath of the taiga, 230 ml</v>
      </c>
      <c r="E119" s="10" t="str">
        <f>VLOOKUP(C119,Setup!A:F,4,)</f>
        <v>AIR PURE</v>
      </c>
      <c r="F119" s="10" t="str">
        <f>VLOOKUP(C119,Setup!A:F,5,)</f>
        <v>AIR FRESHENERS</v>
      </c>
      <c r="G119" s="10" t="str">
        <f>VLOOKUP(C119,Setup!A:F,6,)</f>
        <v xml:space="preserve">Air fresheners refill </v>
      </c>
      <c r="H119" s="11" t="s">
        <v>625</v>
      </c>
      <c r="I119" s="31">
        <v>29230</v>
      </c>
      <c r="J119" s="12">
        <v>29340</v>
      </c>
      <c r="K119" s="13">
        <v>84</v>
      </c>
      <c r="L119" s="13">
        <v>15</v>
      </c>
      <c r="M119" s="13">
        <v>0</v>
      </c>
      <c r="N119" s="1"/>
      <c r="O119" s="1"/>
      <c r="P119" s="17">
        <v>454</v>
      </c>
      <c r="Q119" s="1">
        <v>6</v>
      </c>
      <c r="R119" s="1">
        <v>2</v>
      </c>
      <c r="S119" s="1"/>
      <c r="T119" s="1"/>
      <c r="U119" s="1">
        <v>6</v>
      </c>
      <c r="V119" s="40">
        <f t="shared" si="6"/>
        <v>2.0445716622367614E-4</v>
      </c>
      <c r="W119" s="40">
        <f t="shared" si="7"/>
        <v>6.8161679503782967E-5</v>
      </c>
      <c r="X119" s="40">
        <f t="shared" si="8"/>
        <v>2.0445716622367614E-4</v>
      </c>
      <c r="Y119" s="2">
        <f t="shared" si="9"/>
        <v>0.76935179358086847</v>
      </c>
      <c r="Z119" s="2">
        <f t="shared" si="10"/>
        <v>0.99993183832049626</v>
      </c>
      <c r="AA119" s="2">
        <f t="shared" si="11"/>
        <v>0.76929935327048882</v>
      </c>
      <c r="AB119" s="1"/>
    </row>
    <row r="120" spans="1:28" x14ac:dyDescent="0.25">
      <c r="A120" s="15" t="s">
        <v>425</v>
      </c>
      <c r="B120" s="16" t="s">
        <v>454</v>
      </c>
      <c r="C120" s="10" t="s">
        <v>455</v>
      </c>
      <c r="D120" s="10" t="str">
        <f>VLOOKUP(C120,Setup!A:F,3,)</f>
        <v>Air freshener AIR PURE Home Aroma Pineapple punch, 230 ml</v>
      </c>
      <c r="E120" s="10" t="str">
        <f>VLOOKUP(C120,Setup!A:F,4,)</f>
        <v>AIR PURE</v>
      </c>
      <c r="F120" s="10" t="str">
        <f>VLOOKUP(C120,Setup!A:F,5,)</f>
        <v>AIR FRESHENERS</v>
      </c>
      <c r="G120" s="10" t="str">
        <f>VLOOKUP(C120,Setup!A:F,6,)</f>
        <v xml:space="preserve">Air fresheners refill </v>
      </c>
      <c r="H120" s="11" t="s">
        <v>626</v>
      </c>
      <c r="I120" s="31">
        <v>29230</v>
      </c>
      <c r="J120" s="12">
        <v>29160</v>
      </c>
      <c r="K120" s="13">
        <v>84</v>
      </c>
      <c r="L120" s="13">
        <v>15</v>
      </c>
      <c r="M120" s="13">
        <v>0</v>
      </c>
      <c r="N120" s="1"/>
      <c r="O120" s="1"/>
      <c r="P120" s="17">
        <v>394</v>
      </c>
      <c r="Q120" s="1">
        <v>3</v>
      </c>
      <c r="R120" s="1">
        <v>4</v>
      </c>
      <c r="S120" s="1"/>
      <c r="T120" s="1"/>
      <c r="U120" s="1">
        <v>6</v>
      </c>
      <c r="V120" s="40">
        <f t="shared" si="6"/>
        <v>1.0287007509515482E-4</v>
      </c>
      <c r="W120" s="40">
        <f t="shared" si="7"/>
        <v>1.3715539706487449E-4</v>
      </c>
      <c r="X120" s="40">
        <f t="shared" si="8"/>
        <v>2.0571898786257971E-4</v>
      </c>
      <c r="Y120" s="2">
        <f t="shared" si="9"/>
        <v>0.88107324147933286</v>
      </c>
      <c r="Z120" s="2">
        <f t="shared" si="10"/>
        <v>0.99986284460293517</v>
      </c>
      <c r="AA120" s="2">
        <f t="shared" si="11"/>
        <v>0.88095239752905452</v>
      </c>
      <c r="AB120" s="1"/>
    </row>
    <row r="121" spans="1:28" x14ac:dyDescent="0.25">
      <c r="A121" s="15" t="s">
        <v>425</v>
      </c>
      <c r="B121" s="16" t="s">
        <v>450</v>
      </c>
      <c r="C121" s="10" t="s">
        <v>451</v>
      </c>
      <c r="D121" s="10" t="str">
        <f>VLOOKUP(C121,Setup!A:F,3,)</f>
        <v>Air freshener AIR PURE Home Aroma Imperial Garden, 230 ml</v>
      </c>
      <c r="E121" s="10" t="str">
        <f>VLOOKUP(C121,Setup!A:F,4,)</f>
        <v>AIR PURE</v>
      </c>
      <c r="F121" s="10" t="str">
        <f>VLOOKUP(C121,Setup!A:F,5,)</f>
        <v>AIR FRESHENERS</v>
      </c>
      <c r="G121" s="10" t="str">
        <f>VLOOKUP(C121,Setup!A:F,6,)</f>
        <v xml:space="preserve">Air fresheners refill </v>
      </c>
      <c r="H121" s="11" t="s">
        <v>627</v>
      </c>
      <c r="I121" s="31">
        <v>17680</v>
      </c>
      <c r="J121" s="12">
        <v>17502</v>
      </c>
      <c r="K121" s="13">
        <v>84</v>
      </c>
      <c r="L121" s="13">
        <v>15</v>
      </c>
      <c r="M121" s="13">
        <v>15</v>
      </c>
      <c r="N121" s="1"/>
      <c r="O121" s="1"/>
      <c r="P121" s="17">
        <v>259</v>
      </c>
      <c r="Q121" s="1">
        <v>4</v>
      </c>
      <c r="R121" s="1"/>
      <c r="S121" s="1"/>
      <c r="T121" s="1"/>
      <c r="U121" s="1">
        <v>6</v>
      </c>
      <c r="V121" s="40">
        <f t="shared" si="6"/>
        <v>2.2849308808408546E-4</v>
      </c>
      <c r="W121" s="40">
        <f t="shared" si="7"/>
        <v>0</v>
      </c>
      <c r="X121" s="40">
        <f t="shared" si="8"/>
        <v>3.4270047978067172E-4</v>
      </c>
      <c r="Y121" s="2">
        <f t="shared" si="9"/>
        <v>0.85392271662763464</v>
      </c>
      <c r="Z121" s="2">
        <f t="shared" si="10"/>
        <v>1</v>
      </c>
      <c r="AA121" s="2">
        <f t="shared" si="11"/>
        <v>0.85392271662763464</v>
      </c>
      <c r="AB121" s="1"/>
    </row>
    <row r="122" spans="1:28" x14ac:dyDescent="0.25">
      <c r="A122" s="15" t="s">
        <v>425</v>
      </c>
      <c r="B122" s="16" t="s">
        <v>163</v>
      </c>
      <c r="C122" s="10" t="s">
        <v>164</v>
      </c>
      <c r="D122" s="10" t="str">
        <f>VLOOKUP(C122,Setup!A:F,3,)</f>
        <v>Air freshener AIR PURE Lilac Day, 230 ml</v>
      </c>
      <c r="E122" s="10" t="str">
        <f>VLOOKUP(C122,Setup!A:F,4,)</f>
        <v>AIR PURE</v>
      </c>
      <c r="F122" s="10" t="str">
        <f>VLOOKUP(C122,Setup!A:F,5,)</f>
        <v>AIR FRESHENERS</v>
      </c>
      <c r="G122" s="10" t="str">
        <f>VLOOKUP(C122,Setup!A:F,6,)</f>
        <v xml:space="preserve">Air fresheners refill </v>
      </c>
      <c r="H122" s="11" t="s">
        <v>628</v>
      </c>
      <c r="I122" s="31">
        <v>17680</v>
      </c>
      <c r="J122" s="12">
        <v>17382</v>
      </c>
      <c r="K122" s="13">
        <v>84</v>
      </c>
      <c r="L122" s="13">
        <v>15</v>
      </c>
      <c r="M122" s="13">
        <v>15</v>
      </c>
      <c r="N122" s="1"/>
      <c r="O122" s="1"/>
      <c r="P122" s="17">
        <v>262</v>
      </c>
      <c r="Q122" s="1">
        <v>2</v>
      </c>
      <c r="R122" s="1">
        <v>3</v>
      </c>
      <c r="S122" s="1"/>
      <c r="T122" s="1"/>
      <c r="U122" s="1">
        <v>6</v>
      </c>
      <c r="V122" s="40">
        <f t="shared" si="6"/>
        <v>1.1504832029452371E-4</v>
      </c>
      <c r="W122" s="40">
        <f t="shared" si="7"/>
        <v>1.725625539257981E-4</v>
      </c>
      <c r="X122" s="40">
        <f t="shared" si="8"/>
        <v>3.4506556245686681E-4</v>
      </c>
      <c r="Y122" s="2">
        <f t="shared" si="9"/>
        <v>0.83776749566223252</v>
      </c>
      <c r="Z122" s="2">
        <f t="shared" si="10"/>
        <v>0.99982743744607416</v>
      </c>
      <c r="AA122" s="2">
        <f t="shared" si="11"/>
        <v>0.83762292836358498</v>
      </c>
      <c r="AB122" s="1"/>
    </row>
    <row r="123" spans="1:28" x14ac:dyDescent="0.25">
      <c r="A123" s="15" t="s">
        <v>425</v>
      </c>
      <c r="B123" s="16" t="s">
        <v>52</v>
      </c>
      <c r="C123" s="10" t="s">
        <v>53</v>
      </c>
      <c r="D123" s="10" t="str">
        <f>VLOOKUP(C123,Setup!A:F,3,)</f>
        <v>Air freshener AROMA VOYAGE Hello Aroma Verti , Tropical smoothie, 250 ml</v>
      </c>
      <c r="E123" s="10" t="str">
        <f>VLOOKUP(C123,Setup!A:F,4,)</f>
        <v>VERTI</v>
      </c>
      <c r="F123" s="10" t="str">
        <f>VLOOKUP(C123,Setup!A:F,5,)</f>
        <v>AIR FRESHENERS</v>
      </c>
      <c r="G123" s="10" t="str">
        <f>VLOOKUP(C123,Setup!A:F,6,)</f>
        <v xml:space="preserve">Air fresheners refill </v>
      </c>
      <c r="H123" s="11" t="s">
        <v>629</v>
      </c>
      <c r="I123" s="32">
        <v>8000</v>
      </c>
      <c r="J123" s="12">
        <v>7950</v>
      </c>
      <c r="K123" s="13">
        <v>84</v>
      </c>
      <c r="L123" s="13">
        <v>15</v>
      </c>
      <c r="M123" s="13">
        <v>0</v>
      </c>
      <c r="N123" s="1"/>
      <c r="O123" s="1"/>
      <c r="P123" s="17">
        <v>133</v>
      </c>
      <c r="Q123" s="1">
        <v>1</v>
      </c>
      <c r="R123" s="1">
        <v>1</v>
      </c>
      <c r="S123" s="1"/>
      <c r="T123" s="1"/>
      <c r="U123" s="1">
        <v>6</v>
      </c>
      <c r="V123" s="40">
        <f t="shared" si="6"/>
        <v>1.2577034335303736E-4</v>
      </c>
      <c r="W123" s="40">
        <f t="shared" si="7"/>
        <v>1.2577034335303736E-4</v>
      </c>
      <c r="X123" s="40">
        <f t="shared" si="8"/>
        <v>7.5414781297134241E-4</v>
      </c>
      <c r="Y123" s="2">
        <f t="shared" si="9"/>
        <v>0.71160042964554238</v>
      </c>
      <c r="Z123" s="2">
        <f t="shared" si="10"/>
        <v>0.99987422965664696</v>
      </c>
      <c r="AA123" s="2">
        <f t="shared" si="11"/>
        <v>0.71151093141517574</v>
      </c>
      <c r="AB123" s="1"/>
    </row>
    <row r="124" spans="1:28" x14ac:dyDescent="0.25">
      <c r="A124" s="15" t="s">
        <v>425</v>
      </c>
      <c r="B124" s="16" t="s">
        <v>55</v>
      </c>
      <c r="C124" s="10" t="s">
        <v>56</v>
      </c>
      <c r="D124" s="10" t="str">
        <f>VLOOKUP(C124,Setup!A:F,3,)</f>
        <v>Air freshener AROMA VOYAGE Hello Aroma Verti , Altai freshness, 250 ml</v>
      </c>
      <c r="E124" s="10" t="str">
        <f>VLOOKUP(C124,Setup!A:F,4,)</f>
        <v>VERTI</v>
      </c>
      <c r="F124" s="10" t="str">
        <f>VLOOKUP(C124,Setup!A:F,5,)</f>
        <v>AIR FRESHENERS</v>
      </c>
      <c r="G124" s="10" t="str">
        <f>VLOOKUP(C124,Setup!A:F,6,)</f>
        <v xml:space="preserve">Air fresheners refill </v>
      </c>
      <c r="H124" s="11" t="s">
        <v>630</v>
      </c>
      <c r="I124" s="32">
        <v>8000</v>
      </c>
      <c r="J124" s="12">
        <v>7950</v>
      </c>
      <c r="K124" s="13">
        <v>84</v>
      </c>
      <c r="L124" s="13">
        <v>15</v>
      </c>
      <c r="M124" s="13">
        <v>0</v>
      </c>
      <c r="N124" s="1"/>
      <c r="O124" s="1"/>
      <c r="P124" s="17">
        <v>125</v>
      </c>
      <c r="Q124" s="1">
        <v>2</v>
      </c>
      <c r="R124" s="1">
        <v>6</v>
      </c>
      <c r="S124" s="1"/>
      <c r="T124" s="1"/>
      <c r="U124" s="1">
        <v>6</v>
      </c>
      <c r="V124" s="40">
        <f t="shared" si="6"/>
        <v>2.5150905432595576E-4</v>
      </c>
      <c r="W124" s="40">
        <f t="shared" si="7"/>
        <v>7.5414781297134241E-4</v>
      </c>
      <c r="X124" s="40">
        <f t="shared" si="8"/>
        <v>7.5414781297134241E-4</v>
      </c>
      <c r="Y124" s="2">
        <f t="shared" si="9"/>
        <v>0.75714285714285712</v>
      </c>
      <c r="Z124" s="2">
        <f t="shared" si="10"/>
        <v>0.99924585218702866</v>
      </c>
      <c r="AA124" s="2">
        <f t="shared" si="11"/>
        <v>0.75657185951303596</v>
      </c>
      <c r="AB124" s="1"/>
    </row>
    <row r="125" spans="1:28" x14ac:dyDescent="0.25">
      <c r="A125" s="15" t="s">
        <v>425</v>
      </c>
      <c r="B125" s="16" t="s">
        <v>61</v>
      </c>
      <c r="C125" s="10" t="s">
        <v>62</v>
      </c>
      <c r="D125" s="10" t="str">
        <f>VLOOKUP(C125,Setup!A:F,3,)</f>
        <v>Air freshener AROMA VOYAGE Hello Aroma Verti , Karelian berries, 250 ml</v>
      </c>
      <c r="E125" s="10" t="str">
        <f>VLOOKUP(C125,Setup!A:F,4,)</f>
        <v>VERTI</v>
      </c>
      <c r="F125" s="10" t="str">
        <f>VLOOKUP(C125,Setup!A:F,5,)</f>
        <v>AIR FRESHENERS</v>
      </c>
      <c r="G125" s="10" t="str">
        <f>VLOOKUP(C125,Setup!A:F,6,)</f>
        <v xml:space="preserve">Air fresheners refill </v>
      </c>
      <c r="H125" s="11" t="s">
        <v>631</v>
      </c>
      <c r="I125" s="32">
        <v>8000</v>
      </c>
      <c r="J125" s="12">
        <v>8394</v>
      </c>
      <c r="K125" s="13">
        <v>84</v>
      </c>
      <c r="L125" s="13">
        <v>15</v>
      </c>
      <c r="M125" s="13">
        <v>0</v>
      </c>
      <c r="N125" s="1"/>
      <c r="O125" s="1"/>
      <c r="P125" s="17">
        <v>123</v>
      </c>
      <c r="Q125" s="1">
        <v>2</v>
      </c>
      <c r="R125" s="1">
        <v>1</v>
      </c>
      <c r="S125" s="1"/>
      <c r="T125" s="1"/>
      <c r="U125" s="1">
        <v>6</v>
      </c>
      <c r="V125" s="40">
        <f t="shared" si="6"/>
        <v>2.3820867079561695E-4</v>
      </c>
      <c r="W125" s="40">
        <f t="shared" si="7"/>
        <v>1.1911852293031566E-4</v>
      </c>
      <c r="X125" s="40">
        <f t="shared" si="8"/>
        <v>7.1428571428571429E-4</v>
      </c>
      <c r="Y125" s="2">
        <f t="shared" si="9"/>
        <v>0.81242740998838558</v>
      </c>
      <c r="Z125" s="2">
        <f t="shared" si="10"/>
        <v>0.99988088147706966</v>
      </c>
      <c r="AA125" s="2">
        <f t="shared" si="11"/>
        <v>0.81233063483531964</v>
      </c>
      <c r="AB125" s="1"/>
    </row>
    <row r="126" spans="1:28" x14ac:dyDescent="0.25">
      <c r="A126" s="15" t="s">
        <v>425</v>
      </c>
      <c r="B126" s="16" t="s">
        <v>58</v>
      </c>
      <c r="C126" s="10" t="s">
        <v>59</v>
      </c>
      <c r="D126" s="10" t="str">
        <f>VLOOKUP(C126,Setup!A:F,3,)</f>
        <v>Air freshener AROMA VOYAGE Hello Aroma Verti , Chinese orchid, 250 ml</v>
      </c>
      <c r="E126" s="10" t="str">
        <f>VLOOKUP(C126,Setup!A:F,4,)</f>
        <v>VERTI</v>
      </c>
      <c r="F126" s="10" t="str">
        <f>VLOOKUP(C126,Setup!A:F,5,)</f>
        <v>AIR FRESHENERS</v>
      </c>
      <c r="G126" s="10" t="str">
        <f>VLOOKUP(C126,Setup!A:F,6,)</f>
        <v xml:space="preserve">Air fresheners refill </v>
      </c>
      <c r="H126" s="11" t="s">
        <v>632</v>
      </c>
      <c r="I126" s="32">
        <v>8000</v>
      </c>
      <c r="J126" s="12">
        <v>8046</v>
      </c>
      <c r="K126" s="13">
        <v>84</v>
      </c>
      <c r="L126" s="13">
        <v>15</v>
      </c>
      <c r="M126" s="13">
        <v>0</v>
      </c>
      <c r="N126" s="1"/>
      <c r="O126" s="1"/>
      <c r="P126" s="17">
        <v>115</v>
      </c>
      <c r="Q126" s="1"/>
      <c r="R126" s="1"/>
      <c r="S126" s="1"/>
      <c r="T126" s="1"/>
      <c r="U126" s="1">
        <v>6</v>
      </c>
      <c r="V126" s="40">
        <f t="shared" si="6"/>
        <v>0</v>
      </c>
      <c r="W126" s="40">
        <f t="shared" si="7"/>
        <v>0</v>
      </c>
      <c r="X126" s="40">
        <f t="shared" si="8"/>
        <v>7.4515648286140089E-4</v>
      </c>
      <c r="Y126" s="2">
        <f t="shared" si="9"/>
        <v>0.83291925465838512</v>
      </c>
      <c r="Z126" s="2">
        <f t="shared" si="10"/>
        <v>1</v>
      </c>
      <c r="AA126" s="2">
        <f t="shared" si="11"/>
        <v>0.83291925465838512</v>
      </c>
      <c r="AB126" s="1"/>
    </row>
    <row r="127" spans="1:28" x14ac:dyDescent="0.25">
      <c r="A127" s="15" t="s">
        <v>425</v>
      </c>
      <c r="B127" s="16" t="s">
        <v>503</v>
      </c>
      <c r="C127" s="10" t="s">
        <v>504</v>
      </c>
      <c r="D127" s="10" t="str">
        <f>VLOOKUP(C127,Setup!A:F,3,)</f>
        <v>Air freshener MOYA TSENA Typhoon, 250 ml</v>
      </c>
      <c r="E127" s="10" t="str">
        <f>VLOOKUP(C127,Setup!A:F,4,)</f>
        <v>MOYA TSENA</v>
      </c>
      <c r="F127" s="10" t="str">
        <f>VLOOKUP(C127,Setup!A:F,5,)</f>
        <v>AIR FRESHENERS</v>
      </c>
      <c r="G127" s="10" t="str">
        <f>VLOOKUP(C127,Setup!A:F,6,)</f>
        <v xml:space="preserve">Air fresheners refill </v>
      </c>
      <c r="H127" s="11" t="s">
        <v>633</v>
      </c>
      <c r="I127" s="31">
        <v>3962</v>
      </c>
      <c r="J127" s="12">
        <v>3966</v>
      </c>
      <c r="K127" s="13">
        <v>84</v>
      </c>
      <c r="L127" s="13">
        <v>15</v>
      </c>
      <c r="M127" s="13">
        <v>0</v>
      </c>
      <c r="N127" s="1"/>
      <c r="O127" s="1"/>
      <c r="P127" s="17">
        <v>77</v>
      </c>
      <c r="Q127" s="1">
        <v>5</v>
      </c>
      <c r="R127" s="1">
        <v>1</v>
      </c>
      <c r="S127" s="1"/>
      <c r="T127" s="1"/>
      <c r="U127" s="1">
        <v>6</v>
      </c>
      <c r="V127" s="40">
        <f t="shared" si="6"/>
        <v>1.2591286829513977E-3</v>
      </c>
      <c r="W127" s="40">
        <f t="shared" si="7"/>
        <v>2.5207965717166626E-4</v>
      </c>
      <c r="X127" s="40">
        <f t="shared" si="8"/>
        <v>1.5105740181268882E-3</v>
      </c>
      <c r="Y127" s="2">
        <f t="shared" si="9"/>
        <v>0.61317254174397029</v>
      </c>
      <c r="Z127" s="2">
        <f t="shared" si="10"/>
        <v>0.99974792034282833</v>
      </c>
      <c r="AA127" s="2">
        <f t="shared" si="11"/>
        <v>0.61301797341986042</v>
      </c>
      <c r="AB127" s="1"/>
    </row>
    <row r="128" spans="1:28" x14ac:dyDescent="0.25">
      <c r="A128" s="15" t="s">
        <v>425</v>
      </c>
      <c r="B128" s="16" t="s">
        <v>512</v>
      </c>
      <c r="C128" s="10" t="s">
        <v>513</v>
      </c>
      <c r="D128" s="10" t="str">
        <f>VLOOKUP(C128,Setup!A:F,3,)</f>
        <v>Air freshener NUZHNIE VESHI Blooming sakura, 250 ml, N</v>
      </c>
      <c r="E128" s="10" t="str">
        <f>VLOOKUP(C128,Setup!A:F,4,)</f>
        <v>NUZHNYE VESHI</v>
      </c>
      <c r="F128" s="10" t="str">
        <f>VLOOKUP(C128,Setup!A:F,5,)</f>
        <v>AIR FRESHENERS</v>
      </c>
      <c r="G128" s="10" t="str">
        <f>VLOOKUP(C128,Setup!A:F,6,)</f>
        <v xml:space="preserve">Air fresheners refill </v>
      </c>
      <c r="H128" s="11" t="s">
        <v>634</v>
      </c>
      <c r="I128" s="31">
        <v>2584</v>
      </c>
      <c r="J128" s="12">
        <v>2640</v>
      </c>
      <c r="K128" s="13">
        <v>84</v>
      </c>
      <c r="L128" s="13">
        <v>15</v>
      </c>
      <c r="M128" s="13">
        <v>0</v>
      </c>
      <c r="N128" s="1"/>
      <c r="O128" s="1"/>
      <c r="P128" s="17">
        <v>44</v>
      </c>
      <c r="Q128" s="1"/>
      <c r="R128" s="1"/>
      <c r="S128" s="1"/>
      <c r="T128" s="1"/>
      <c r="U128" s="1">
        <v>4</v>
      </c>
      <c r="V128" s="40">
        <f t="shared" si="6"/>
        <v>0</v>
      </c>
      <c r="W128" s="40">
        <f t="shared" si="7"/>
        <v>0</v>
      </c>
      <c r="X128" s="40">
        <f t="shared" si="8"/>
        <v>1.5128593040847202E-3</v>
      </c>
      <c r="Y128" s="2">
        <f t="shared" si="9"/>
        <v>0.7142857142857143</v>
      </c>
      <c r="Z128" s="2">
        <f t="shared" si="10"/>
        <v>1</v>
      </c>
      <c r="AA128" s="2">
        <f t="shared" si="11"/>
        <v>0.7142857142857143</v>
      </c>
      <c r="AB128" s="1"/>
    </row>
    <row r="129" spans="1:28" x14ac:dyDescent="0.25">
      <c r="A129" s="15" t="s">
        <v>425</v>
      </c>
      <c r="B129" s="16" t="s">
        <v>509</v>
      </c>
      <c r="C129" s="10" t="s">
        <v>510</v>
      </c>
      <c r="D129" s="10" t="str">
        <f>VLOOKUP(C129,Setup!A:F,3,)</f>
        <v>Air freshener NUZHNIE VESHI Tropical orchid, 250 ml, N</v>
      </c>
      <c r="E129" s="10" t="str">
        <f>VLOOKUP(C129,Setup!A:F,4,)</f>
        <v>NUZHNYE VESHI</v>
      </c>
      <c r="F129" s="10" t="str">
        <f>VLOOKUP(C129,Setup!A:F,5,)</f>
        <v>AIR FRESHENERS</v>
      </c>
      <c r="G129" s="10" t="str">
        <f>VLOOKUP(C129,Setup!A:F,6,)</f>
        <v xml:space="preserve">Air fresheners refill </v>
      </c>
      <c r="H129" s="11" t="s">
        <v>635</v>
      </c>
      <c r="I129" s="31">
        <v>3238</v>
      </c>
      <c r="J129" s="12">
        <v>3072</v>
      </c>
      <c r="K129" s="13">
        <v>84</v>
      </c>
      <c r="L129" s="13">
        <v>15</v>
      </c>
      <c r="M129" s="13">
        <v>0</v>
      </c>
      <c r="N129" s="1"/>
      <c r="O129" s="1"/>
      <c r="P129" s="17">
        <v>48</v>
      </c>
      <c r="Q129" s="1">
        <v>1</v>
      </c>
      <c r="R129" s="1"/>
      <c r="S129" s="1"/>
      <c r="T129" s="1"/>
      <c r="U129" s="1">
        <v>6</v>
      </c>
      <c r="V129" s="40">
        <f t="shared" si="6"/>
        <v>3.254149040026033E-4</v>
      </c>
      <c r="W129" s="40">
        <f t="shared" si="7"/>
        <v>0</v>
      </c>
      <c r="X129" s="40">
        <f t="shared" si="8"/>
        <v>1.9493177387914229E-3</v>
      </c>
      <c r="Y129" s="2">
        <f t="shared" si="9"/>
        <v>0.76190476190476186</v>
      </c>
      <c r="Z129" s="2">
        <f t="shared" si="10"/>
        <v>1</v>
      </c>
      <c r="AA129" s="2">
        <f t="shared" si="11"/>
        <v>0.76190476190476186</v>
      </c>
      <c r="AB129" s="1"/>
    </row>
    <row r="130" spans="1:28" x14ac:dyDescent="0.25">
      <c r="A130" s="15" t="s">
        <v>425</v>
      </c>
      <c r="B130" s="16" t="s">
        <v>506</v>
      </c>
      <c r="C130" s="10" t="s">
        <v>507</v>
      </c>
      <c r="D130" s="10" t="str">
        <f>VLOOKUP(C130,Setup!A:F,3,)</f>
        <v>Air freshener NUZHNIE VESHI Juicy lime, 250 ml, N</v>
      </c>
      <c r="E130" s="10" t="str">
        <f>VLOOKUP(C130,Setup!A:F,4,)</f>
        <v>NUZHNYE VESHI</v>
      </c>
      <c r="F130" s="10" t="str">
        <f>VLOOKUP(C130,Setup!A:F,5,)</f>
        <v>AIR FRESHENERS</v>
      </c>
      <c r="G130" s="10" t="str">
        <f>VLOOKUP(C130,Setup!A:F,6,)</f>
        <v xml:space="preserve">Air fresheners refill </v>
      </c>
      <c r="H130" s="11" t="s">
        <v>636</v>
      </c>
      <c r="I130" s="31">
        <v>3356</v>
      </c>
      <c r="J130" s="12">
        <v>3180</v>
      </c>
      <c r="K130" s="13">
        <v>60</v>
      </c>
      <c r="L130" s="13">
        <v>30</v>
      </c>
      <c r="M130" s="13">
        <v>0</v>
      </c>
      <c r="N130" s="1"/>
      <c r="O130" s="1"/>
      <c r="P130" s="17">
        <v>74</v>
      </c>
      <c r="Q130" s="1"/>
      <c r="R130" s="1">
        <v>1</v>
      </c>
      <c r="S130" s="1"/>
      <c r="T130" s="1"/>
      <c r="U130" s="1">
        <v>6</v>
      </c>
      <c r="V130" s="40">
        <f t="shared" si="6"/>
        <v>0</v>
      </c>
      <c r="W130" s="40">
        <f t="shared" si="7"/>
        <v>3.1436655139893113E-4</v>
      </c>
      <c r="X130" s="40">
        <f t="shared" si="8"/>
        <v>1.8832391713747645E-3</v>
      </c>
      <c r="Y130" s="2">
        <f t="shared" si="9"/>
        <v>0.71621621621621623</v>
      </c>
      <c r="Z130" s="2">
        <f t="shared" si="10"/>
        <v>0.99968563344860106</v>
      </c>
      <c r="AA130" s="2">
        <f t="shared" si="11"/>
        <v>0.7159910617942683</v>
      </c>
      <c r="AB130" s="1" t="s">
        <v>4859</v>
      </c>
    </row>
    <row r="131" spans="1:28" x14ac:dyDescent="0.25">
      <c r="A131" s="15" t="s">
        <v>425</v>
      </c>
      <c r="B131" s="16" t="s">
        <v>515</v>
      </c>
      <c r="C131" s="10" t="s">
        <v>516</v>
      </c>
      <c r="D131" s="10" t="str">
        <f>VLOOKUP(C131,Setup!A:F,3,)</f>
        <v>Air freshener MOYA TSENA Pomegranate, 250 ml</v>
      </c>
      <c r="E131" s="10" t="str">
        <f>VLOOKUP(C131,Setup!A:F,4,)</f>
        <v>MOYA TSENA</v>
      </c>
      <c r="F131" s="10" t="str">
        <f>VLOOKUP(C131,Setup!A:F,5,)</f>
        <v>AIR FRESHENERS</v>
      </c>
      <c r="G131" s="10" t="str">
        <f>VLOOKUP(C131,Setup!A:F,6,)</f>
        <v xml:space="preserve">Air fresheners refill </v>
      </c>
      <c r="H131" s="11" t="s">
        <v>637</v>
      </c>
      <c r="I131" s="31">
        <v>4019</v>
      </c>
      <c r="J131" s="12">
        <v>3972</v>
      </c>
      <c r="K131" s="13">
        <v>84</v>
      </c>
      <c r="L131" s="13">
        <v>15</v>
      </c>
      <c r="M131" s="13">
        <v>0</v>
      </c>
      <c r="N131" s="1"/>
      <c r="O131" s="1"/>
      <c r="P131" s="17">
        <v>69</v>
      </c>
      <c r="Q131" s="1"/>
      <c r="R131" s="1">
        <v>1</v>
      </c>
      <c r="S131" s="1"/>
      <c r="T131" s="1"/>
      <c r="U131" s="1">
        <v>6</v>
      </c>
      <c r="V131" s="40">
        <f t="shared" ref="V131:V170" si="12">Q131/(Q131+J131)</f>
        <v>0</v>
      </c>
      <c r="W131" s="40">
        <f t="shared" ref="W131:W170" si="13">R131/(R131+J131)</f>
        <v>2.5169896803423108E-4</v>
      </c>
      <c r="X131" s="40">
        <f t="shared" ref="X131:X170" si="14">U131/(U131+J131)</f>
        <v>1.5082956259426848E-3</v>
      </c>
      <c r="Y131" s="2">
        <f t="shared" ref="Y131:Y169" si="15">(J131/(K131*(P131-M131-N131)))</f>
        <v>0.68530020703933747</v>
      </c>
      <c r="Z131" s="2">
        <f t="shared" ref="Z131:Z169" si="16">(J131/(J131+R131+S131-T131))</f>
        <v>0.99974830103196577</v>
      </c>
      <c r="AA131" s="2">
        <f t="shared" ref="AA131:AA169" si="17">Y131*Z131</f>
        <v>0.68512771768443204</v>
      </c>
      <c r="AB131" s="1" t="s">
        <v>4859</v>
      </c>
    </row>
    <row r="132" spans="1:28" x14ac:dyDescent="0.25">
      <c r="A132" s="15" t="s">
        <v>425</v>
      </c>
      <c r="B132" s="16" t="s">
        <v>540</v>
      </c>
      <c r="C132" s="10" t="s">
        <v>541</v>
      </c>
      <c r="D132" s="10" t="str">
        <f>VLOOKUP(C132,Setup!A:F,3,)</f>
        <v>Air freshener GREEN COLLECTION BY PROVENCERoyal Orchid, 250 ml</v>
      </c>
      <c r="E132" s="10" t="str">
        <f>VLOOKUP(C132,Setup!A:F,4,)</f>
        <v>GREEN COLLECTION BY PROVENCE</v>
      </c>
      <c r="F132" s="10" t="str">
        <f>VLOOKUP(C132,Setup!A:F,5,)</f>
        <v>AIR FRESHENERS</v>
      </c>
      <c r="G132" s="10" t="str">
        <f>VLOOKUP(C132,Setup!A:F,6,)</f>
        <v xml:space="preserve">Air fresheners refill </v>
      </c>
      <c r="H132" s="11" t="s">
        <v>638</v>
      </c>
      <c r="I132" s="31">
        <v>6100</v>
      </c>
      <c r="J132" s="12">
        <v>5952</v>
      </c>
      <c r="K132" s="13">
        <v>84</v>
      </c>
      <c r="L132" s="13">
        <v>30</v>
      </c>
      <c r="M132" s="13">
        <v>0</v>
      </c>
      <c r="N132" s="1"/>
      <c r="O132" s="1"/>
      <c r="P132" s="17">
        <v>108</v>
      </c>
      <c r="Q132" s="1">
        <v>1</v>
      </c>
      <c r="R132" s="1">
        <v>6</v>
      </c>
      <c r="S132" s="1"/>
      <c r="T132" s="1"/>
      <c r="U132" s="1">
        <v>6</v>
      </c>
      <c r="V132" s="40">
        <f t="shared" si="12"/>
        <v>1.6798252981689904E-4</v>
      </c>
      <c r="W132" s="40">
        <f t="shared" si="13"/>
        <v>1.0070493454179255E-3</v>
      </c>
      <c r="X132" s="40">
        <f t="shared" si="14"/>
        <v>1.0070493454179255E-3</v>
      </c>
      <c r="Y132" s="2">
        <f t="shared" si="15"/>
        <v>0.65608465608465605</v>
      </c>
      <c r="Z132" s="2">
        <f t="shared" si="16"/>
        <v>0.99899295065458205</v>
      </c>
      <c r="AA132" s="2">
        <f t="shared" si="17"/>
        <v>0.65542394646120727</v>
      </c>
      <c r="AB132" s="1"/>
    </row>
    <row r="133" spans="1:28" x14ac:dyDescent="0.25">
      <c r="A133" s="15" t="s">
        <v>425</v>
      </c>
      <c r="B133" s="16" t="s">
        <v>474</v>
      </c>
      <c r="C133" s="10" t="s">
        <v>475</v>
      </c>
      <c r="D133" s="10" t="str">
        <f>VLOOKUP(C133,Setup!A:F,3,)</f>
        <v>Air freshener GREEN COLLECTION BY PROVENCE Blooming cherry , 250 ml</v>
      </c>
      <c r="E133" s="10" t="str">
        <f>VLOOKUP(C133,Setup!A:F,4,)</f>
        <v>GREEN COLLECTION BY PROVENCE</v>
      </c>
      <c r="F133" s="10" t="str">
        <f>VLOOKUP(C133,Setup!A:F,5,)</f>
        <v>AIR FRESHENERS</v>
      </c>
      <c r="G133" s="10" t="str">
        <f>VLOOKUP(C133,Setup!A:F,6,)</f>
        <v xml:space="preserve">Air fresheners refill </v>
      </c>
      <c r="H133" s="11" t="s">
        <v>639</v>
      </c>
      <c r="I133" s="31">
        <v>6900</v>
      </c>
      <c r="J133" s="12">
        <v>6864</v>
      </c>
      <c r="K133" s="13">
        <v>84</v>
      </c>
      <c r="L133" s="13">
        <v>15</v>
      </c>
      <c r="M133" s="13">
        <v>0</v>
      </c>
      <c r="N133" s="1"/>
      <c r="O133" s="1"/>
      <c r="P133" s="17">
        <v>127</v>
      </c>
      <c r="Q133" s="1">
        <v>1</v>
      </c>
      <c r="R133" s="1"/>
      <c r="S133" s="1"/>
      <c r="T133" s="1"/>
      <c r="U133" s="1">
        <v>6</v>
      </c>
      <c r="V133" s="40">
        <f t="shared" si="12"/>
        <v>1.4566642388929351E-4</v>
      </c>
      <c r="W133" s="40">
        <f t="shared" si="13"/>
        <v>0</v>
      </c>
      <c r="X133" s="40">
        <f t="shared" si="14"/>
        <v>8.7336244541484718E-4</v>
      </c>
      <c r="Y133" s="2">
        <f t="shared" si="15"/>
        <v>0.64341957255343085</v>
      </c>
      <c r="Z133" s="2">
        <f t="shared" si="16"/>
        <v>1</v>
      </c>
      <c r="AA133" s="2">
        <f t="shared" si="17"/>
        <v>0.64341957255343085</v>
      </c>
      <c r="AB133" s="1"/>
    </row>
    <row r="134" spans="1:28" x14ac:dyDescent="0.25">
      <c r="A134" s="15" t="s">
        <v>425</v>
      </c>
      <c r="B134" s="16" t="s">
        <v>432</v>
      </c>
      <c r="C134" s="10" t="s">
        <v>433</v>
      </c>
      <c r="D134" s="10" t="str">
        <f>VLOOKUP(C134,Setup!A:F,3,)</f>
        <v>Air freshener GREEN COLLECTION BY PROVENCEParadise pleasure, 250 ml</v>
      </c>
      <c r="E134" s="10" t="str">
        <f>VLOOKUP(C134,Setup!A:F,4,)</f>
        <v>GREEN COLLECTION BY PROVENCE</v>
      </c>
      <c r="F134" s="10" t="str">
        <f>VLOOKUP(C134,Setup!A:F,5,)</f>
        <v>AIR FRESHENERS</v>
      </c>
      <c r="G134" s="10" t="str">
        <f>VLOOKUP(C134,Setup!A:F,6,)</f>
        <v xml:space="preserve">Air fresheners refill </v>
      </c>
      <c r="H134" s="11" t="s">
        <v>640</v>
      </c>
      <c r="I134" s="31">
        <v>5800</v>
      </c>
      <c r="J134" s="12">
        <v>5760</v>
      </c>
      <c r="K134" s="13">
        <v>84</v>
      </c>
      <c r="L134" s="13">
        <v>15</v>
      </c>
      <c r="M134" s="13">
        <v>0</v>
      </c>
      <c r="N134" s="1"/>
      <c r="O134" s="1"/>
      <c r="P134" s="17">
        <v>78</v>
      </c>
      <c r="Q134" s="1"/>
      <c r="R134" s="1"/>
      <c r="S134" s="1"/>
      <c r="T134" s="1"/>
      <c r="U134" s="1">
        <v>6</v>
      </c>
      <c r="V134" s="40">
        <f t="shared" si="12"/>
        <v>0</v>
      </c>
      <c r="W134" s="40">
        <f t="shared" si="13"/>
        <v>0</v>
      </c>
      <c r="X134" s="40">
        <f t="shared" si="14"/>
        <v>1.0405827263267431E-3</v>
      </c>
      <c r="Y134" s="2">
        <f t="shared" si="15"/>
        <v>0.87912087912087911</v>
      </c>
      <c r="Z134" s="2">
        <f t="shared" si="16"/>
        <v>1</v>
      </c>
      <c r="AA134" s="2">
        <f t="shared" si="17"/>
        <v>0.87912087912087911</v>
      </c>
      <c r="AB134" s="1"/>
    </row>
    <row r="135" spans="1:28" x14ac:dyDescent="0.25">
      <c r="A135" s="15" t="s">
        <v>425</v>
      </c>
      <c r="B135" s="16" t="s">
        <v>468</v>
      </c>
      <c r="C135" s="10" t="s">
        <v>469</v>
      </c>
      <c r="D135" s="10" t="str">
        <f>VLOOKUP(C135,Setup!A:F,3,)</f>
        <v>Air freshener GREEN COLLECTION BY PROVENCE Pomegranate Lemonade, 250 ml</v>
      </c>
      <c r="E135" s="10" t="str">
        <f>VLOOKUP(C135,Setup!A:F,4,)</f>
        <v>GREEN COLLECTION BY PROVENCE</v>
      </c>
      <c r="F135" s="10" t="str">
        <f>VLOOKUP(C135,Setup!A:F,5,)</f>
        <v>AIR FRESHENERS</v>
      </c>
      <c r="G135" s="10" t="str">
        <f>VLOOKUP(C135,Setup!A:F,6,)</f>
        <v xml:space="preserve">Air fresheners refill </v>
      </c>
      <c r="H135" s="11" t="s">
        <v>641</v>
      </c>
      <c r="I135" s="31">
        <v>6100</v>
      </c>
      <c r="J135" s="12">
        <v>5964</v>
      </c>
      <c r="K135" s="13">
        <v>84</v>
      </c>
      <c r="L135" s="13">
        <v>15</v>
      </c>
      <c r="M135" s="13">
        <v>0</v>
      </c>
      <c r="N135" s="1">
        <v>39</v>
      </c>
      <c r="O135" s="1" t="s">
        <v>4855</v>
      </c>
      <c r="P135" s="17">
        <v>134</v>
      </c>
      <c r="Q135" s="1">
        <v>4</v>
      </c>
      <c r="R135" s="1">
        <v>2</v>
      </c>
      <c r="S135" s="1"/>
      <c r="T135" s="1"/>
      <c r="U135" s="1">
        <v>6</v>
      </c>
      <c r="V135" s="40">
        <f t="shared" si="12"/>
        <v>6.7024128686327079E-4</v>
      </c>
      <c r="W135" s="40">
        <f t="shared" si="13"/>
        <v>3.3523298692591353E-4</v>
      </c>
      <c r="X135" s="40">
        <f t="shared" si="14"/>
        <v>1.0050251256281408E-3</v>
      </c>
      <c r="Y135" s="2">
        <f t="shared" si="15"/>
        <v>0.74736842105263157</v>
      </c>
      <c r="Z135" s="2">
        <f t="shared" si="16"/>
        <v>0.99966476701307405</v>
      </c>
      <c r="AA135" s="2">
        <f t="shared" si="17"/>
        <v>0.74711787850450795</v>
      </c>
      <c r="AB135" s="1"/>
    </row>
    <row r="136" spans="1:28" x14ac:dyDescent="0.25">
      <c r="A136" s="15" t="s">
        <v>425</v>
      </c>
      <c r="B136" s="16" t="s">
        <v>471</v>
      </c>
      <c r="C136" s="10" t="s">
        <v>472</v>
      </c>
      <c r="D136" s="10" t="str">
        <f>VLOOKUP(C136,Setup!A:F,3,)</f>
        <v>Air freshener GREEN COLLECTION BY PROVENCE Azure Alps, 250 ml</v>
      </c>
      <c r="E136" s="10" t="str">
        <f>VLOOKUP(C136,Setup!A:F,4,)</f>
        <v>GREEN COLLECTION BY PROVENCE</v>
      </c>
      <c r="F136" s="10" t="str">
        <f>VLOOKUP(C136,Setup!A:F,5,)</f>
        <v>AIR FRESHENERS</v>
      </c>
      <c r="G136" s="10" t="str">
        <f>VLOOKUP(C136,Setup!A:F,6,)</f>
        <v xml:space="preserve">Air fresheners refill </v>
      </c>
      <c r="H136" s="11" t="s">
        <v>642</v>
      </c>
      <c r="I136" s="31">
        <v>4600</v>
      </c>
      <c r="J136" s="12">
        <v>4428</v>
      </c>
      <c r="K136" s="13">
        <v>84</v>
      </c>
      <c r="L136" s="13">
        <v>15</v>
      </c>
      <c r="M136" s="13">
        <v>0</v>
      </c>
      <c r="N136" s="1"/>
      <c r="O136" s="1"/>
      <c r="P136" s="17">
        <v>83</v>
      </c>
      <c r="Q136" s="1">
        <v>8</v>
      </c>
      <c r="R136" s="1"/>
      <c r="S136" s="1"/>
      <c r="T136" s="1"/>
      <c r="U136" s="1">
        <v>6</v>
      </c>
      <c r="V136" s="40">
        <f t="shared" si="12"/>
        <v>1.8034265103697023E-3</v>
      </c>
      <c r="W136" s="40">
        <f t="shared" si="13"/>
        <v>0</v>
      </c>
      <c r="X136" s="40">
        <f t="shared" si="14"/>
        <v>1.3531799729364006E-3</v>
      </c>
      <c r="Y136" s="2">
        <f t="shared" si="15"/>
        <v>0.6351118760757315</v>
      </c>
      <c r="Z136" s="2">
        <f t="shared" si="16"/>
        <v>1</v>
      </c>
      <c r="AA136" s="2">
        <f t="shared" si="17"/>
        <v>0.6351118760757315</v>
      </c>
      <c r="AB136" s="1"/>
    </row>
    <row r="137" spans="1:28" x14ac:dyDescent="0.25">
      <c r="A137" s="15" t="s">
        <v>425</v>
      </c>
      <c r="B137" s="16" t="s">
        <v>530</v>
      </c>
      <c r="C137" s="10" t="s">
        <v>531</v>
      </c>
      <c r="D137" s="10" t="str">
        <f>VLOOKUP(C137,Setup!A:F,3,)</f>
        <v>Air freshener GREEN COLLECTION BY PROVENCE Maritime Riviera, 250 ml</v>
      </c>
      <c r="E137" s="10" t="str">
        <f>VLOOKUP(C137,Setup!A:F,4,)</f>
        <v>GREEN COLLECTION BY PROVENCE</v>
      </c>
      <c r="F137" s="10" t="str">
        <f>VLOOKUP(C137,Setup!A:F,5,)</f>
        <v>AIR FRESHENERS</v>
      </c>
      <c r="G137" s="10" t="str">
        <f>VLOOKUP(C137,Setup!A:F,6,)</f>
        <v xml:space="preserve">Air fresheners refill </v>
      </c>
      <c r="H137" s="11" t="s">
        <v>643</v>
      </c>
      <c r="I137" s="31">
        <v>5300</v>
      </c>
      <c r="J137" s="12">
        <v>5184</v>
      </c>
      <c r="K137" s="13">
        <v>84</v>
      </c>
      <c r="L137" s="13">
        <v>15</v>
      </c>
      <c r="M137" s="13">
        <v>0</v>
      </c>
      <c r="N137" s="1"/>
      <c r="O137" s="1"/>
      <c r="P137" s="17">
        <v>77</v>
      </c>
      <c r="Q137" s="1">
        <v>8</v>
      </c>
      <c r="R137" s="1"/>
      <c r="S137" s="1"/>
      <c r="T137" s="1"/>
      <c r="U137" s="1">
        <v>6</v>
      </c>
      <c r="V137" s="40">
        <f t="shared" si="12"/>
        <v>1.5408320493066256E-3</v>
      </c>
      <c r="W137" s="40">
        <f t="shared" si="13"/>
        <v>0</v>
      </c>
      <c r="X137" s="40">
        <f t="shared" si="14"/>
        <v>1.1560693641618498E-3</v>
      </c>
      <c r="Y137" s="2">
        <f t="shared" si="15"/>
        <v>0.80148423005565861</v>
      </c>
      <c r="Z137" s="2">
        <f t="shared" si="16"/>
        <v>1</v>
      </c>
      <c r="AA137" s="2">
        <f t="shared" si="17"/>
        <v>0.80148423005565861</v>
      </c>
      <c r="AB137" s="1"/>
    </row>
    <row r="138" spans="1:28" x14ac:dyDescent="0.25">
      <c r="A138" s="15" t="s">
        <v>425</v>
      </c>
      <c r="B138" s="16" t="s">
        <v>448</v>
      </c>
      <c r="C138" s="10" t="s">
        <v>449</v>
      </c>
      <c r="D138" s="10" t="str">
        <f>VLOOKUP(C138,Setup!A:F,3,)</f>
        <v>Air freshener GREEN COLLECTION BY PROVENCE Berry Delight, 250 ml</v>
      </c>
      <c r="E138" s="10" t="str">
        <f>VLOOKUP(C138,Setup!A:F,4,)</f>
        <v>GREEN COLLECTION BY PROVENCE</v>
      </c>
      <c r="F138" s="10" t="str">
        <f>VLOOKUP(C138,Setup!A:F,5,)</f>
        <v>AIR FRESHENERS</v>
      </c>
      <c r="G138" s="10" t="str">
        <f>VLOOKUP(C138,Setup!A:F,6,)</f>
        <v xml:space="preserve">Air fresheners refill </v>
      </c>
      <c r="H138" s="11" t="s">
        <v>644</v>
      </c>
      <c r="I138" s="31">
        <v>6200</v>
      </c>
      <c r="J138" s="12">
        <v>6144</v>
      </c>
      <c r="K138" s="13">
        <v>84</v>
      </c>
      <c r="L138" s="13">
        <v>15</v>
      </c>
      <c r="M138" s="13">
        <v>0</v>
      </c>
      <c r="N138" s="1"/>
      <c r="O138" s="1"/>
      <c r="P138" s="17">
        <v>93</v>
      </c>
      <c r="Q138" s="1">
        <v>2</v>
      </c>
      <c r="R138" s="1"/>
      <c r="S138" s="1"/>
      <c r="T138" s="1"/>
      <c r="U138" s="1">
        <v>6</v>
      </c>
      <c r="V138" s="40">
        <f t="shared" si="12"/>
        <v>3.254149040026033E-4</v>
      </c>
      <c r="W138" s="40">
        <f t="shared" si="13"/>
        <v>0</v>
      </c>
      <c r="X138" s="40">
        <f t="shared" si="14"/>
        <v>9.7560975609756097E-4</v>
      </c>
      <c r="Y138" s="2">
        <f t="shared" si="15"/>
        <v>0.78648233486943164</v>
      </c>
      <c r="Z138" s="2">
        <f t="shared" si="16"/>
        <v>1</v>
      </c>
      <c r="AA138" s="2">
        <f t="shared" si="17"/>
        <v>0.78648233486943164</v>
      </c>
      <c r="AB138" s="1"/>
    </row>
    <row r="139" spans="1:28" x14ac:dyDescent="0.25">
      <c r="A139" s="15" t="s">
        <v>425</v>
      </c>
      <c r="B139" s="16" t="s">
        <v>521</v>
      </c>
      <c r="C139" s="10" t="s">
        <v>427</v>
      </c>
      <c r="D139" s="10" t="str">
        <f>VLOOKUP(C139,Setup!A:F,3,)</f>
        <v>Air freshener LIBERHAUS Tropical island, 250 ml</v>
      </c>
      <c r="E139" s="10" t="str">
        <f>VLOOKUP(C139,Setup!A:F,4,)</f>
        <v>LIBERHAUS</v>
      </c>
      <c r="F139" s="10" t="str">
        <f>VLOOKUP(C139,Setup!A:F,5,)</f>
        <v>AIR FRESHENERS</v>
      </c>
      <c r="G139" s="10" t="str">
        <f>VLOOKUP(C139,Setup!A:F,6,)</f>
        <v xml:space="preserve">Air fresheners refill </v>
      </c>
      <c r="H139" s="11" t="s">
        <v>645</v>
      </c>
      <c r="I139" s="35">
        <v>19890</v>
      </c>
      <c r="J139" s="12">
        <v>19884</v>
      </c>
      <c r="K139" s="13">
        <v>84</v>
      </c>
      <c r="L139" s="13">
        <v>15</v>
      </c>
      <c r="M139" s="13">
        <v>30</v>
      </c>
      <c r="N139" s="1"/>
      <c r="O139" s="1"/>
      <c r="P139" s="17">
        <v>295</v>
      </c>
      <c r="Q139" s="1">
        <v>3</v>
      </c>
      <c r="R139" s="1">
        <v>4</v>
      </c>
      <c r="S139" s="1"/>
      <c r="T139" s="1"/>
      <c r="U139" s="1">
        <v>6</v>
      </c>
      <c r="V139" s="40">
        <f t="shared" si="12"/>
        <v>1.5085231558304419E-4</v>
      </c>
      <c r="W139" s="40">
        <f t="shared" si="13"/>
        <v>2.0112630732099757E-4</v>
      </c>
      <c r="X139" s="40">
        <f t="shared" si="14"/>
        <v>3.0165912518853697E-4</v>
      </c>
      <c r="Y139" s="2">
        <f t="shared" si="15"/>
        <v>0.89326145552560643</v>
      </c>
      <c r="Z139" s="2">
        <f t="shared" si="16"/>
        <v>0.99979887369267906</v>
      </c>
      <c r="AA139" s="2">
        <f t="shared" si="17"/>
        <v>0.8930817971475844</v>
      </c>
      <c r="AB139" s="1"/>
    </row>
    <row r="140" spans="1:28" x14ac:dyDescent="0.25">
      <c r="A140" s="15" t="s">
        <v>425</v>
      </c>
      <c r="B140" s="16" t="s">
        <v>64</v>
      </c>
      <c r="C140" s="10" t="s">
        <v>65</v>
      </c>
      <c r="D140" s="10" t="str">
        <f>VLOOKUP(C140,Setup!A:F,3,)</f>
        <v>Air freshener VERTI Vetiver and bamboo, 250 ml</v>
      </c>
      <c r="E140" s="10" t="str">
        <f>VLOOKUP(C140,Setup!A:F,4,)</f>
        <v>VERTI</v>
      </c>
      <c r="F140" s="10" t="str">
        <f>VLOOKUP(C140,Setup!A:F,5,)</f>
        <v>AIR FRESHENERS</v>
      </c>
      <c r="G140" s="10" t="str">
        <f>VLOOKUP(C140,Setup!A:F,6,)</f>
        <v xml:space="preserve">Air fresheners refill </v>
      </c>
      <c r="H140" s="11" t="s">
        <v>646</v>
      </c>
      <c r="I140" s="31">
        <v>6630</v>
      </c>
      <c r="J140" s="12">
        <f>5880+726</f>
        <v>6606</v>
      </c>
      <c r="K140" s="13">
        <v>84</v>
      </c>
      <c r="L140" s="13">
        <v>15</v>
      </c>
      <c r="M140" s="13">
        <v>0</v>
      </c>
      <c r="N140" s="1"/>
      <c r="O140" s="1"/>
      <c r="P140" s="17">
        <f>115+35</f>
        <v>150</v>
      </c>
      <c r="Q140" s="1">
        <v>9</v>
      </c>
      <c r="R140" s="1">
        <v>9</v>
      </c>
      <c r="S140" s="1"/>
      <c r="T140" s="1"/>
      <c r="U140" s="1">
        <v>6</v>
      </c>
      <c r="V140" s="40">
        <f t="shared" si="12"/>
        <v>1.3605442176870747E-3</v>
      </c>
      <c r="W140" s="40">
        <f t="shared" si="13"/>
        <v>1.3605442176870747E-3</v>
      </c>
      <c r="X140" s="40">
        <f t="shared" si="14"/>
        <v>9.0744101633393826E-4</v>
      </c>
      <c r="Y140" s="2">
        <f t="shared" si="15"/>
        <v>0.52428571428571424</v>
      </c>
      <c r="Z140" s="2">
        <f t="shared" si="16"/>
        <v>0.99863945578231295</v>
      </c>
      <c r="AA140" s="2">
        <f t="shared" si="17"/>
        <v>0.52357240038872688</v>
      </c>
      <c r="AB140" s="1"/>
    </row>
    <row r="141" spans="1:28" x14ac:dyDescent="0.25">
      <c r="A141" s="15" t="s">
        <v>425</v>
      </c>
      <c r="B141" s="16" t="s">
        <v>67</v>
      </c>
      <c r="C141" s="10" t="s">
        <v>68</v>
      </c>
      <c r="D141" s="10" t="str">
        <f>VLOOKUP(C141,Setup!A:F,3,)</f>
        <v>Air freshener VERTI Sea salt and white tree, 250 ml</v>
      </c>
      <c r="E141" s="10" t="str">
        <f>VLOOKUP(C141,Setup!A:F,4,)</f>
        <v>VERTI</v>
      </c>
      <c r="F141" s="10" t="str">
        <f>VLOOKUP(C141,Setup!A:F,5,)</f>
        <v>AIR FRESHENERS</v>
      </c>
      <c r="G141" s="10" t="str">
        <f>VLOOKUP(C141,Setup!A:F,6,)</f>
        <v xml:space="preserve">Air fresheners refill </v>
      </c>
      <c r="H141" s="11" t="s">
        <v>647</v>
      </c>
      <c r="I141" s="31">
        <v>6630</v>
      </c>
      <c r="J141" s="12">
        <v>6618</v>
      </c>
      <c r="K141" s="13">
        <v>84</v>
      </c>
      <c r="L141" s="13">
        <v>15</v>
      </c>
      <c r="M141" s="13">
        <v>0</v>
      </c>
      <c r="N141" s="1"/>
      <c r="O141" s="1"/>
      <c r="P141" s="17">
        <v>118</v>
      </c>
      <c r="Q141" s="1">
        <v>5</v>
      </c>
      <c r="R141" s="1">
        <v>1</v>
      </c>
      <c r="S141" s="1"/>
      <c r="T141" s="1"/>
      <c r="U141" s="1">
        <v>6</v>
      </c>
      <c r="V141" s="40">
        <f t="shared" si="12"/>
        <v>7.5494488902310135E-4</v>
      </c>
      <c r="W141" s="40">
        <f t="shared" si="13"/>
        <v>1.5108022359873092E-4</v>
      </c>
      <c r="X141" s="40">
        <f t="shared" si="14"/>
        <v>9.0579710144927537E-4</v>
      </c>
      <c r="Y141" s="2">
        <f t="shared" si="15"/>
        <v>0.66767554479418889</v>
      </c>
      <c r="Z141" s="2">
        <f t="shared" si="16"/>
        <v>0.99984891977640122</v>
      </c>
      <c r="AA141" s="2">
        <f t="shared" si="17"/>
        <v>0.6675746722235899</v>
      </c>
      <c r="AB141" s="1"/>
    </row>
    <row r="142" spans="1:28" x14ac:dyDescent="0.25">
      <c r="A142" s="15" t="s">
        <v>425</v>
      </c>
      <c r="B142" s="16" t="s">
        <v>70</v>
      </c>
      <c r="C142" s="10" t="s">
        <v>71</v>
      </c>
      <c r="D142" s="10" t="str">
        <f>VLOOKUP(C142,Setup!A:F,3,)</f>
        <v>Air freshener VERTI Black pepper and orange blossom, 250 ml</v>
      </c>
      <c r="E142" s="10" t="str">
        <f>VLOOKUP(C142,Setup!A:F,4,)</f>
        <v>VERTI</v>
      </c>
      <c r="F142" s="10" t="str">
        <f>VLOOKUP(C142,Setup!A:F,5,)</f>
        <v>AIR FRESHENERS</v>
      </c>
      <c r="G142" s="10" t="str">
        <f>VLOOKUP(C142,Setup!A:F,6,)</f>
        <v xml:space="preserve">Air fresheners refill </v>
      </c>
      <c r="H142" s="11" t="s">
        <v>648</v>
      </c>
      <c r="I142" s="31">
        <v>6630</v>
      </c>
      <c r="J142" s="12">
        <v>6618</v>
      </c>
      <c r="K142" s="13">
        <v>84</v>
      </c>
      <c r="L142" s="13">
        <v>15</v>
      </c>
      <c r="M142" s="13">
        <v>0</v>
      </c>
      <c r="N142" s="1"/>
      <c r="O142" s="1"/>
      <c r="P142" s="17">
        <v>97</v>
      </c>
      <c r="Q142" s="1">
        <v>3</v>
      </c>
      <c r="R142" s="1">
        <v>1</v>
      </c>
      <c r="S142" s="1"/>
      <c r="T142" s="1"/>
      <c r="U142" s="1">
        <v>6</v>
      </c>
      <c r="V142" s="40">
        <f t="shared" si="12"/>
        <v>4.5310376076121433E-4</v>
      </c>
      <c r="W142" s="40">
        <f t="shared" si="13"/>
        <v>1.5108022359873092E-4</v>
      </c>
      <c r="X142" s="40">
        <f t="shared" si="14"/>
        <v>9.0579710144927537E-4</v>
      </c>
      <c r="Y142" s="2">
        <f t="shared" si="15"/>
        <v>0.81222385861561119</v>
      </c>
      <c r="Z142" s="2">
        <f t="shared" si="16"/>
        <v>0.99984891977640122</v>
      </c>
      <c r="AA142" s="2">
        <f t="shared" si="17"/>
        <v>0.81210114765343933</v>
      </c>
      <c r="AB142" s="1"/>
    </row>
    <row r="143" spans="1:28" x14ac:dyDescent="0.25">
      <c r="A143" s="15" t="s">
        <v>425</v>
      </c>
      <c r="B143" s="16" t="s">
        <v>73</v>
      </c>
      <c r="C143" s="10" t="s">
        <v>74</v>
      </c>
      <c r="D143" s="10" t="str">
        <f>VLOOKUP(C143,Setup!A:F,3,)</f>
        <v>Air freshener VERTI Magnolia, 250 ml</v>
      </c>
      <c r="E143" s="10" t="str">
        <f>VLOOKUP(C143,Setup!A:F,4,)</f>
        <v>VERTI</v>
      </c>
      <c r="F143" s="10" t="str">
        <f>VLOOKUP(C143,Setup!A:F,5,)</f>
        <v>AIR FRESHENERS</v>
      </c>
      <c r="G143" s="10" t="str">
        <f>VLOOKUP(C143,Setup!A:F,6,)</f>
        <v xml:space="preserve">Air fresheners refill </v>
      </c>
      <c r="H143" s="11" t="s">
        <v>649</v>
      </c>
      <c r="I143" s="31">
        <v>6630</v>
      </c>
      <c r="J143" s="12">
        <v>6396</v>
      </c>
      <c r="K143" s="13">
        <v>84</v>
      </c>
      <c r="L143" s="13">
        <v>15</v>
      </c>
      <c r="M143" s="13">
        <v>0</v>
      </c>
      <c r="N143" s="1"/>
      <c r="O143" s="1"/>
      <c r="P143" s="17">
        <v>93</v>
      </c>
      <c r="Q143" s="1"/>
      <c r="R143" s="1">
        <v>6</v>
      </c>
      <c r="S143" s="1"/>
      <c r="T143" s="1"/>
      <c r="U143" s="1">
        <v>6</v>
      </c>
      <c r="V143" s="40">
        <f t="shared" si="12"/>
        <v>0</v>
      </c>
      <c r="W143" s="40">
        <f t="shared" si="13"/>
        <v>9.372071227741331E-4</v>
      </c>
      <c r="X143" s="40">
        <f t="shared" si="14"/>
        <v>9.372071227741331E-4</v>
      </c>
      <c r="Y143" s="2">
        <f t="shared" si="15"/>
        <v>0.81874039938556065</v>
      </c>
      <c r="Z143" s="2">
        <f t="shared" si="16"/>
        <v>0.99906279287722588</v>
      </c>
      <c r="AA143" s="2">
        <f t="shared" si="17"/>
        <v>0.81797307005155362</v>
      </c>
      <c r="AB143" s="1"/>
    </row>
    <row r="144" spans="1:28" x14ac:dyDescent="0.25">
      <c r="A144" s="15" t="s">
        <v>425</v>
      </c>
      <c r="B144" s="16" t="s">
        <v>450</v>
      </c>
      <c r="C144" s="10" t="s">
        <v>451</v>
      </c>
      <c r="D144" s="10" t="str">
        <f>VLOOKUP(C144,Setup!A:F,3,)</f>
        <v>Air freshener AIR PURE Home Aroma Imperial Garden, 230 ml</v>
      </c>
      <c r="E144" s="10" t="str">
        <f>VLOOKUP(C144,Setup!A:F,4,)</f>
        <v>AIR PURE</v>
      </c>
      <c r="F144" s="10" t="str">
        <f>VLOOKUP(C144,Setup!A:F,5,)</f>
        <v>AIR FRESHENERS</v>
      </c>
      <c r="G144" s="10" t="str">
        <f>VLOOKUP(C144,Setup!A:F,6,)</f>
        <v xml:space="preserve">Air fresheners refill </v>
      </c>
      <c r="H144" s="11" t="s">
        <v>650</v>
      </c>
      <c r="I144" s="31">
        <v>22000</v>
      </c>
      <c r="J144" s="12">
        <v>20814</v>
      </c>
      <c r="K144" s="13">
        <v>84</v>
      </c>
      <c r="L144" s="13">
        <v>15</v>
      </c>
      <c r="M144" s="13">
        <v>0</v>
      </c>
      <c r="N144" s="1"/>
      <c r="O144" s="1"/>
      <c r="P144" s="17">
        <v>302</v>
      </c>
      <c r="Q144" s="1">
        <v>1</v>
      </c>
      <c r="R144" s="1">
        <v>1</v>
      </c>
      <c r="S144" s="1"/>
      <c r="T144" s="1"/>
      <c r="U144" s="1">
        <v>6</v>
      </c>
      <c r="V144" s="40">
        <f t="shared" si="12"/>
        <v>4.8042277203939468E-5</v>
      </c>
      <c r="W144" s="40">
        <f t="shared" si="13"/>
        <v>4.8042277203939468E-5</v>
      </c>
      <c r="X144" s="40">
        <f t="shared" si="14"/>
        <v>2.8818443804034583E-4</v>
      </c>
      <c r="Y144" s="2">
        <f t="shared" si="15"/>
        <v>0.82048249763481551</v>
      </c>
      <c r="Z144" s="2">
        <f t="shared" si="16"/>
        <v>0.9999519577227961</v>
      </c>
      <c r="AA144" s="2">
        <f t="shared" si="17"/>
        <v>0.8204430797872232</v>
      </c>
      <c r="AB144" s="1"/>
    </row>
    <row r="145" spans="1:28" x14ac:dyDescent="0.25">
      <c r="A145" s="15" t="s">
        <v>425</v>
      </c>
      <c r="B145" s="16" t="s">
        <v>454</v>
      </c>
      <c r="C145" s="10" t="s">
        <v>455</v>
      </c>
      <c r="D145" s="10" t="str">
        <f>VLOOKUP(C145,Setup!A:F,3,)</f>
        <v>Air freshener AIR PURE Home Aroma Pineapple punch, 230 ml</v>
      </c>
      <c r="E145" s="10" t="str">
        <f>VLOOKUP(C145,Setup!A:F,4,)</f>
        <v>AIR PURE</v>
      </c>
      <c r="F145" s="10" t="str">
        <f>VLOOKUP(C145,Setup!A:F,5,)</f>
        <v>AIR FRESHENERS</v>
      </c>
      <c r="G145" s="10" t="str">
        <f>VLOOKUP(C145,Setup!A:F,6,)</f>
        <v xml:space="preserve">Air fresheners refill </v>
      </c>
      <c r="H145" s="11" t="s">
        <v>651</v>
      </c>
      <c r="I145" s="31">
        <v>22000</v>
      </c>
      <c r="J145" s="12">
        <v>22062</v>
      </c>
      <c r="K145" s="13">
        <v>84</v>
      </c>
      <c r="L145" s="13">
        <v>15</v>
      </c>
      <c r="M145" s="13">
        <v>0</v>
      </c>
      <c r="N145" s="1"/>
      <c r="O145" s="1"/>
      <c r="P145" s="17">
        <f>90-10+266</f>
        <v>346</v>
      </c>
      <c r="Q145" s="1">
        <v>18</v>
      </c>
      <c r="R145" s="1">
        <v>15</v>
      </c>
      <c r="S145" s="1"/>
      <c r="T145" s="1"/>
      <c r="U145" s="1">
        <v>6</v>
      </c>
      <c r="V145" s="40">
        <f t="shared" si="12"/>
        <v>8.1521739130434778E-4</v>
      </c>
      <c r="W145" s="40">
        <f t="shared" si="13"/>
        <v>6.7944014132354945E-4</v>
      </c>
      <c r="X145" s="40">
        <f t="shared" si="14"/>
        <v>2.7188689505165849E-4</v>
      </c>
      <c r="Y145" s="2">
        <f t="shared" si="15"/>
        <v>0.759083402146986</v>
      </c>
      <c r="Z145" s="2">
        <f t="shared" si="16"/>
        <v>0.9993205598586764</v>
      </c>
      <c r="AA145" s="2">
        <f t="shared" si="17"/>
        <v>0.75856765041295482</v>
      </c>
      <c r="AB145" s="1"/>
    </row>
    <row r="146" spans="1:28" x14ac:dyDescent="0.25">
      <c r="A146" s="15" t="s">
        <v>425</v>
      </c>
      <c r="B146" s="16" t="s">
        <v>52</v>
      </c>
      <c r="C146" s="10" t="s">
        <v>53</v>
      </c>
      <c r="D146" s="10" t="str">
        <f>VLOOKUP(C146,Setup!A:F,3,)</f>
        <v>Air freshener AROMA VOYAGE Hello Aroma Verti , Tropical smoothie, 250 ml</v>
      </c>
      <c r="E146" s="10" t="str">
        <f>VLOOKUP(C146,Setup!A:F,4,)</f>
        <v>VERTI</v>
      </c>
      <c r="F146" s="10" t="str">
        <f>VLOOKUP(C146,Setup!A:F,5,)</f>
        <v>AIR FRESHENERS</v>
      </c>
      <c r="G146" s="10" t="str">
        <f>VLOOKUP(C146,Setup!A:F,6,)</f>
        <v xml:space="preserve">Air fresheners refill </v>
      </c>
      <c r="H146" s="11" t="s">
        <v>652</v>
      </c>
      <c r="I146" s="31">
        <v>6630</v>
      </c>
      <c r="J146" s="12">
        <v>6624</v>
      </c>
      <c r="K146" s="13">
        <v>84</v>
      </c>
      <c r="L146" s="13">
        <v>15</v>
      </c>
      <c r="M146" s="13">
        <v>0</v>
      </c>
      <c r="N146" s="1"/>
      <c r="O146" s="1"/>
      <c r="P146" s="17">
        <v>94</v>
      </c>
      <c r="Q146" s="1"/>
      <c r="R146" s="1"/>
      <c r="S146" s="1"/>
      <c r="T146" s="1"/>
      <c r="U146" s="1">
        <v>6</v>
      </c>
      <c r="V146" s="40">
        <f t="shared" si="12"/>
        <v>0</v>
      </c>
      <c r="W146" s="40">
        <f t="shared" si="13"/>
        <v>0</v>
      </c>
      <c r="X146" s="40">
        <f t="shared" si="14"/>
        <v>9.049773755656109E-4</v>
      </c>
      <c r="Y146" s="2">
        <f t="shared" si="15"/>
        <v>0.83890577507598785</v>
      </c>
      <c r="Z146" s="2">
        <f t="shared" si="16"/>
        <v>1</v>
      </c>
      <c r="AA146" s="2">
        <f t="shared" si="17"/>
        <v>0.83890577507598785</v>
      </c>
      <c r="AB146" s="1"/>
    </row>
    <row r="147" spans="1:28" x14ac:dyDescent="0.25">
      <c r="A147" s="15" t="s">
        <v>425</v>
      </c>
      <c r="B147" s="16" t="s">
        <v>61</v>
      </c>
      <c r="C147" s="10" t="s">
        <v>62</v>
      </c>
      <c r="D147" s="10" t="str">
        <f>VLOOKUP(C147,Setup!A:F,3,)</f>
        <v>Air freshener AROMA VOYAGE Hello Aroma Verti , Karelian berries, 250 ml</v>
      </c>
      <c r="E147" s="10" t="str">
        <f>VLOOKUP(C147,Setup!A:F,4,)</f>
        <v>VERTI</v>
      </c>
      <c r="F147" s="10" t="str">
        <f>VLOOKUP(C147,Setup!A:F,5,)</f>
        <v>AIR FRESHENERS</v>
      </c>
      <c r="G147" s="10" t="str">
        <f>VLOOKUP(C147,Setup!A:F,6,)</f>
        <v xml:space="preserve">Air fresheners refill </v>
      </c>
      <c r="H147" s="11" t="s">
        <v>653</v>
      </c>
      <c r="I147" s="31">
        <v>6630</v>
      </c>
      <c r="J147" s="12">
        <v>6702</v>
      </c>
      <c r="K147" s="13">
        <v>84</v>
      </c>
      <c r="L147" s="13">
        <v>15</v>
      </c>
      <c r="M147" s="13">
        <v>30</v>
      </c>
      <c r="N147" s="1"/>
      <c r="O147" s="1"/>
      <c r="P147" s="17">
        <v>127</v>
      </c>
      <c r="Q147" s="1"/>
      <c r="R147" s="1"/>
      <c r="S147" s="1"/>
      <c r="T147" s="1"/>
      <c r="U147" s="1">
        <v>6</v>
      </c>
      <c r="V147" s="40">
        <f t="shared" si="12"/>
        <v>0</v>
      </c>
      <c r="W147" s="40">
        <f t="shared" si="13"/>
        <v>0</v>
      </c>
      <c r="X147" s="40">
        <f t="shared" si="14"/>
        <v>8.9445438282647585E-4</v>
      </c>
      <c r="Y147" s="2">
        <f t="shared" si="15"/>
        <v>0.82253313696612662</v>
      </c>
      <c r="Z147" s="2">
        <f t="shared" si="16"/>
        <v>1</v>
      </c>
      <c r="AA147" s="2">
        <f t="shared" si="17"/>
        <v>0.82253313696612662</v>
      </c>
      <c r="AB147" s="1"/>
    </row>
    <row r="148" spans="1:28" x14ac:dyDescent="0.25">
      <c r="A148" s="15" t="s">
        <v>425</v>
      </c>
      <c r="B148" s="16" t="s">
        <v>55</v>
      </c>
      <c r="C148" s="10" t="s">
        <v>56</v>
      </c>
      <c r="D148" s="10" t="str">
        <f>VLOOKUP(C148,Setup!A:F,3,)</f>
        <v>Air freshener AROMA VOYAGE Hello Aroma Verti , Altai freshness, 250 ml</v>
      </c>
      <c r="E148" s="10" t="str">
        <f>VLOOKUP(C148,Setup!A:F,4,)</f>
        <v>VERTI</v>
      </c>
      <c r="F148" s="10" t="str">
        <f>VLOOKUP(C148,Setup!A:F,5,)</f>
        <v>AIR FRESHENERS</v>
      </c>
      <c r="G148" s="10" t="str">
        <f>VLOOKUP(C148,Setup!A:F,6,)</f>
        <v xml:space="preserve">Air fresheners refill </v>
      </c>
      <c r="H148" s="11" t="s">
        <v>654</v>
      </c>
      <c r="I148" s="31">
        <v>6630</v>
      </c>
      <c r="J148" s="12">
        <v>6624</v>
      </c>
      <c r="K148" s="13">
        <v>84</v>
      </c>
      <c r="L148" s="13">
        <v>15</v>
      </c>
      <c r="M148" s="13">
        <v>15</v>
      </c>
      <c r="N148" s="1"/>
      <c r="O148" s="1"/>
      <c r="P148" s="17">
        <v>112</v>
      </c>
      <c r="Q148" s="1"/>
      <c r="R148" s="1"/>
      <c r="S148" s="1"/>
      <c r="T148" s="1"/>
      <c r="U148" s="1">
        <v>6</v>
      </c>
      <c r="V148" s="40">
        <f t="shared" si="12"/>
        <v>0</v>
      </c>
      <c r="W148" s="40">
        <f t="shared" si="13"/>
        <v>0</v>
      </c>
      <c r="X148" s="40">
        <f t="shared" si="14"/>
        <v>9.049773755656109E-4</v>
      </c>
      <c r="Y148" s="2">
        <f t="shared" si="15"/>
        <v>0.81296023564064801</v>
      </c>
      <c r="Z148" s="2">
        <f t="shared" si="16"/>
        <v>1</v>
      </c>
      <c r="AA148" s="2">
        <f t="shared" si="17"/>
        <v>0.81296023564064801</v>
      </c>
      <c r="AB148" s="1"/>
    </row>
    <row r="149" spans="1:28" x14ac:dyDescent="0.25">
      <c r="A149" s="15" t="s">
        <v>425</v>
      </c>
      <c r="B149" s="16" t="s">
        <v>58</v>
      </c>
      <c r="C149" s="10" t="s">
        <v>59</v>
      </c>
      <c r="D149" s="10" t="str">
        <f>VLOOKUP(C149,Setup!A:F,3,)</f>
        <v>Air freshener AROMA VOYAGE Hello Aroma Verti , Chinese orchid, 250 ml</v>
      </c>
      <c r="E149" s="10" t="str">
        <f>VLOOKUP(C149,Setup!A:F,4,)</f>
        <v>VERTI</v>
      </c>
      <c r="F149" s="10" t="str">
        <f>VLOOKUP(C149,Setup!A:F,5,)</f>
        <v>AIR FRESHENERS</v>
      </c>
      <c r="G149" s="10" t="str">
        <f>VLOOKUP(C149,Setup!A:F,6,)</f>
        <v xml:space="preserve">Air fresheners refill </v>
      </c>
      <c r="H149" s="11" t="s">
        <v>655</v>
      </c>
      <c r="I149" s="31">
        <v>6630</v>
      </c>
      <c r="J149" s="12">
        <v>6810</v>
      </c>
      <c r="K149" s="13">
        <v>84</v>
      </c>
      <c r="L149" s="13">
        <v>15</v>
      </c>
      <c r="M149" s="13">
        <f>15</f>
        <v>15</v>
      </c>
      <c r="N149" s="1"/>
      <c r="O149" s="1"/>
      <c r="P149" s="17">
        <f>81-10+38</f>
        <v>109</v>
      </c>
      <c r="Q149" s="1">
        <f>7</f>
        <v>7</v>
      </c>
      <c r="R149" s="1"/>
      <c r="S149" s="1"/>
      <c r="T149" s="1"/>
      <c r="U149" s="1">
        <v>6</v>
      </c>
      <c r="V149" s="40">
        <f t="shared" si="12"/>
        <v>1.0268446530731993E-3</v>
      </c>
      <c r="W149" s="40">
        <f t="shared" si="13"/>
        <v>0</v>
      </c>
      <c r="X149" s="40">
        <f t="shared" si="14"/>
        <v>8.8028169014084509E-4</v>
      </c>
      <c r="Y149" s="2">
        <f t="shared" si="15"/>
        <v>0.86246200607902734</v>
      </c>
      <c r="Z149" s="2">
        <f t="shared" si="16"/>
        <v>1</v>
      </c>
      <c r="AA149" s="2">
        <f t="shared" si="17"/>
        <v>0.86246200607902734</v>
      </c>
      <c r="AB149" s="1"/>
    </row>
    <row r="150" spans="1:28" x14ac:dyDescent="0.25">
      <c r="A150" s="15" t="s">
        <v>425</v>
      </c>
      <c r="B150" s="16" t="s">
        <v>521</v>
      </c>
      <c r="C150" s="10" t="s">
        <v>427</v>
      </c>
      <c r="D150" s="10" t="str">
        <f>VLOOKUP(C150,Setup!A:F,3,)</f>
        <v>Air freshener LIBERHAUS Tropical island, 250 ml</v>
      </c>
      <c r="E150" s="10" t="str">
        <f>VLOOKUP(C150,Setup!A:F,4,)</f>
        <v>LIBERHAUS</v>
      </c>
      <c r="F150" s="10" t="str">
        <f>VLOOKUP(C150,Setup!A:F,5,)</f>
        <v>AIR FRESHENERS</v>
      </c>
      <c r="G150" s="10" t="str">
        <f>VLOOKUP(C150,Setup!A:F,6,)</f>
        <v xml:space="preserve">Air fresheners refill </v>
      </c>
      <c r="H150" s="11" t="s">
        <v>656</v>
      </c>
      <c r="I150" s="35">
        <v>44200</v>
      </c>
      <c r="J150" s="12">
        <v>44196</v>
      </c>
      <c r="K150" s="13">
        <v>84</v>
      </c>
      <c r="L150" s="13">
        <v>15</v>
      </c>
      <c r="M150" s="13">
        <v>60</v>
      </c>
      <c r="N150" s="1"/>
      <c r="O150" s="1"/>
      <c r="P150" s="17">
        <f>697-10</f>
        <v>687</v>
      </c>
      <c r="Q150" s="1">
        <v>3</v>
      </c>
      <c r="R150" s="1">
        <v>2</v>
      </c>
      <c r="S150" s="1"/>
      <c r="T150" s="1"/>
      <c r="U150" s="1">
        <v>6</v>
      </c>
      <c r="V150" s="40">
        <f t="shared" si="12"/>
        <v>6.7874838797257856E-5</v>
      </c>
      <c r="W150" s="40">
        <f t="shared" si="13"/>
        <v>4.5250916331055707E-5</v>
      </c>
      <c r="X150" s="40">
        <f t="shared" si="14"/>
        <v>1.3574046423238766E-4</v>
      </c>
      <c r="Y150" s="2">
        <f t="shared" si="15"/>
        <v>0.8391433128275233</v>
      </c>
      <c r="Z150" s="2">
        <f t="shared" si="16"/>
        <v>0.99995474908366899</v>
      </c>
      <c r="AA150" s="2">
        <f t="shared" si="17"/>
        <v>0.83910534082368482</v>
      </c>
      <c r="AB150" s="1"/>
    </row>
    <row r="151" spans="1:28" x14ac:dyDescent="0.25">
      <c r="A151" s="15" t="s">
        <v>425</v>
      </c>
      <c r="B151" s="16" t="s">
        <v>518</v>
      </c>
      <c r="C151" s="10" t="s">
        <v>519</v>
      </c>
      <c r="D151" s="10" t="str">
        <f>VLOOKUP(C151,Setup!A:F,3,)</f>
        <v>Air freshener LIBERHAUS Sunny mood, 250 ml</v>
      </c>
      <c r="E151" s="10" t="str">
        <f>VLOOKUP(C151,Setup!A:F,4,)</f>
        <v>LIBERHAUS</v>
      </c>
      <c r="F151" s="10" t="str">
        <f>VLOOKUP(C151,Setup!A:F,5,)</f>
        <v>AIR FRESHENERS</v>
      </c>
      <c r="G151" s="10" t="str">
        <f>VLOOKUP(C151,Setup!A:F,6,)</f>
        <v xml:space="preserve">Air fresheners refill </v>
      </c>
      <c r="H151" s="11" t="s">
        <v>657</v>
      </c>
      <c r="I151" s="31">
        <v>15470</v>
      </c>
      <c r="J151" s="12">
        <f>15696</f>
        <v>15696</v>
      </c>
      <c r="K151" s="13">
        <v>84</v>
      </c>
      <c r="L151" s="13">
        <v>15</v>
      </c>
      <c r="M151" s="13">
        <v>0</v>
      </c>
      <c r="N151" s="1"/>
      <c r="O151" s="1"/>
      <c r="P151" s="17">
        <v>220</v>
      </c>
      <c r="Q151" s="1"/>
      <c r="R151" s="1"/>
      <c r="S151" s="1"/>
      <c r="T151" s="1"/>
      <c r="U151" s="1">
        <v>6</v>
      </c>
      <c r="V151" s="40">
        <f t="shared" si="12"/>
        <v>0</v>
      </c>
      <c r="W151" s="40">
        <f t="shared" si="13"/>
        <v>0</v>
      </c>
      <c r="X151" s="40">
        <f t="shared" si="14"/>
        <v>3.8211692777990065E-4</v>
      </c>
      <c r="Y151" s="2">
        <f t="shared" si="15"/>
        <v>0.8493506493506493</v>
      </c>
      <c r="Z151" s="2">
        <f t="shared" si="16"/>
        <v>1</v>
      </c>
      <c r="AA151" s="2">
        <f t="shared" si="17"/>
        <v>0.8493506493506493</v>
      </c>
      <c r="AB151" s="1"/>
    </row>
    <row r="152" spans="1:28" x14ac:dyDescent="0.25">
      <c r="A152" s="15" t="s">
        <v>425</v>
      </c>
      <c r="B152" s="16" t="s">
        <v>67</v>
      </c>
      <c r="C152" s="10" t="s">
        <v>68</v>
      </c>
      <c r="D152" s="10" t="str">
        <f>VLOOKUP(C152,Setup!A:F,3,)</f>
        <v>Air freshener VERTI Sea salt and white tree, 250 ml</v>
      </c>
      <c r="E152" s="10" t="str">
        <f>VLOOKUP(C152,Setup!A:F,4,)</f>
        <v>VERTI</v>
      </c>
      <c r="F152" s="10" t="str">
        <f>VLOOKUP(C152,Setup!A:F,5,)</f>
        <v>AIR FRESHENERS</v>
      </c>
      <c r="G152" s="10" t="str">
        <f>VLOOKUP(C152,Setup!A:F,6,)</f>
        <v xml:space="preserve">Air fresheners refill </v>
      </c>
      <c r="H152" s="11" t="s">
        <v>658</v>
      </c>
      <c r="I152" s="31">
        <v>8000</v>
      </c>
      <c r="J152" s="12">
        <v>7956</v>
      </c>
      <c r="K152" s="13">
        <v>84</v>
      </c>
      <c r="L152" s="13">
        <v>15</v>
      </c>
      <c r="M152" s="13">
        <v>0</v>
      </c>
      <c r="N152" s="1"/>
      <c r="O152" s="1"/>
      <c r="P152" s="17">
        <v>115</v>
      </c>
      <c r="Q152" s="1"/>
      <c r="R152" s="1"/>
      <c r="S152" s="1"/>
      <c r="T152" s="1"/>
      <c r="U152" s="1">
        <v>6</v>
      </c>
      <c r="V152" s="40">
        <f t="shared" si="12"/>
        <v>0</v>
      </c>
      <c r="W152" s="40">
        <f t="shared" si="13"/>
        <v>0</v>
      </c>
      <c r="X152" s="40">
        <f t="shared" si="14"/>
        <v>7.5357950263752827E-4</v>
      </c>
      <c r="Y152" s="2">
        <f t="shared" si="15"/>
        <v>0.82360248447204965</v>
      </c>
      <c r="Z152" s="2">
        <f t="shared" si="16"/>
        <v>1</v>
      </c>
      <c r="AA152" s="2">
        <f t="shared" si="17"/>
        <v>0.82360248447204965</v>
      </c>
      <c r="AB152" s="1"/>
    </row>
    <row r="153" spans="1:28" x14ac:dyDescent="0.25">
      <c r="A153" s="15" t="s">
        <v>425</v>
      </c>
      <c r="B153" s="16" t="s">
        <v>70</v>
      </c>
      <c r="C153" s="10" t="s">
        <v>71</v>
      </c>
      <c r="D153" s="10" t="str">
        <f>VLOOKUP(C153,Setup!A:F,3,)</f>
        <v>Air freshener VERTI Black pepper and orange blossom, 250 ml</v>
      </c>
      <c r="E153" s="10" t="str">
        <f>VLOOKUP(C153,Setup!A:F,4,)</f>
        <v>VERTI</v>
      </c>
      <c r="F153" s="10" t="str">
        <f>VLOOKUP(C153,Setup!A:F,5,)</f>
        <v>AIR FRESHENERS</v>
      </c>
      <c r="G153" s="10" t="str">
        <f>VLOOKUP(C153,Setup!A:F,6,)</f>
        <v xml:space="preserve">Air fresheners refill </v>
      </c>
      <c r="H153" s="11" t="s">
        <v>659</v>
      </c>
      <c r="I153" s="31">
        <v>8000</v>
      </c>
      <c r="J153" s="12">
        <v>8142</v>
      </c>
      <c r="K153" s="13">
        <v>84</v>
      </c>
      <c r="L153" s="13">
        <v>15</v>
      </c>
      <c r="M153" s="13">
        <v>0</v>
      </c>
      <c r="N153" s="1"/>
      <c r="O153" s="1"/>
      <c r="P153" s="17">
        <v>130</v>
      </c>
      <c r="Q153" s="1"/>
      <c r="R153" s="1">
        <v>1</v>
      </c>
      <c r="S153" s="1"/>
      <c r="T153" s="1"/>
      <c r="U153" s="1">
        <v>6</v>
      </c>
      <c r="V153" s="40">
        <f t="shared" si="12"/>
        <v>0</v>
      </c>
      <c r="W153" s="40">
        <f t="shared" si="13"/>
        <v>1.2280486307257767E-4</v>
      </c>
      <c r="X153" s="40">
        <f t="shared" si="14"/>
        <v>7.3637702503681884E-4</v>
      </c>
      <c r="Y153" s="2">
        <f t="shared" si="15"/>
        <v>0.74560439560439562</v>
      </c>
      <c r="Z153" s="2">
        <f t="shared" si="16"/>
        <v>0.99987719513692741</v>
      </c>
      <c r="AA153" s="2">
        <f t="shared" si="17"/>
        <v>0.7455128317586871</v>
      </c>
      <c r="AB153" s="1"/>
    </row>
    <row r="154" spans="1:28" x14ac:dyDescent="0.25">
      <c r="A154" s="15" t="s">
        <v>425</v>
      </c>
      <c r="B154" s="16" t="s">
        <v>73</v>
      </c>
      <c r="C154" s="10" t="s">
        <v>74</v>
      </c>
      <c r="D154" s="10" t="str">
        <f>VLOOKUP(C154,Setup!A:F,3,)</f>
        <v>Air freshener VERTI Magnolia, 250 ml</v>
      </c>
      <c r="E154" s="10" t="str">
        <f>VLOOKUP(C154,Setup!A:F,4,)</f>
        <v>VERTI</v>
      </c>
      <c r="F154" s="10" t="str">
        <f>VLOOKUP(C154,Setup!A:F,5,)</f>
        <v>AIR FRESHENERS</v>
      </c>
      <c r="G154" s="10" t="str">
        <f>VLOOKUP(C154,Setup!A:F,6,)</f>
        <v xml:space="preserve">Air fresheners refill </v>
      </c>
      <c r="H154" s="11" t="s">
        <v>660</v>
      </c>
      <c r="I154" s="31">
        <v>8000</v>
      </c>
      <c r="J154" s="12">
        <v>7524</v>
      </c>
      <c r="K154" s="13">
        <v>84</v>
      </c>
      <c r="L154" s="13">
        <v>15</v>
      </c>
      <c r="M154" s="13">
        <v>0</v>
      </c>
      <c r="N154" s="1"/>
      <c r="O154" s="1"/>
      <c r="P154" s="17">
        <v>141</v>
      </c>
      <c r="Q154" s="1"/>
      <c r="R154" s="1">
        <v>7</v>
      </c>
      <c r="S154" s="1"/>
      <c r="T154" s="1"/>
      <c r="U154" s="1">
        <v>6</v>
      </c>
      <c r="V154" s="40">
        <f t="shared" si="12"/>
        <v>0</v>
      </c>
      <c r="W154" s="40">
        <f t="shared" si="13"/>
        <v>9.2949143540034529E-4</v>
      </c>
      <c r="X154" s="40">
        <f t="shared" si="14"/>
        <v>7.9681274900398409E-4</v>
      </c>
      <c r="Y154" s="2">
        <f t="shared" si="15"/>
        <v>0.63525835866261393</v>
      </c>
      <c r="Z154" s="2">
        <f t="shared" si="16"/>
        <v>0.99907050856459967</v>
      </c>
      <c r="AA154" s="2">
        <f t="shared" si="17"/>
        <v>0.63466789145897051</v>
      </c>
      <c r="AB154" s="1"/>
    </row>
    <row r="155" spans="1:28" x14ac:dyDescent="0.25">
      <c r="A155" s="15" t="s">
        <v>425</v>
      </c>
      <c r="B155" s="16" t="s">
        <v>64</v>
      </c>
      <c r="C155" s="10" t="s">
        <v>65</v>
      </c>
      <c r="D155" s="10" t="str">
        <f>VLOOKUP(C155,Setup!A:F,3,)</f>
        <v>Air freshener VERTI Vetiver and bamboo, 250 ml</v>
      </c>
      <c r="E155" s="10" t="str">
        <f>VLOOKUP(C155,Setup!A:F,4,)</f>
        <v>VERTI</v>
      </c>
      <c r="F155" s="10" t="str">
        <f>VLOOKUP(C155,Setup!A:F,5,)</f>
        <v>AIR FRESHENERS</v>
      </c>
      <c r="G155" s="10" t="str">
        <f>VLOOKUP(C155,Setup!A:F,6,)</f>
        <v xml:space="preserve">Air fresheners refill </v>
      </c>
      <c r="H155" s="11" t="s">
        <v>661</v>
      </c>
      <c r="I155" s="31">
        <v>8000</v>
      </c>
      <c r="J155" s="12">
        <f>6186+1998</f>
        <v>8184</v>
      </c>
      <c r="K155" s="13">
        <v>84</v>
      </c>
      <c r="L155" s="13">
        <v>15</v>
      </c>
      <c r="M155" s="13">
        <v>0</v>
      </c>
      <c r="N155" s="1"/>
      <c r="O155" s="1"/>
      <c r="P155" s="17">
        <f>129-10+23</f>
        <v>142</v>
      </c>
      <c r="Q155" s="1"/>
      <c r="R155" s="1">
        <v>1</v>
      </c>
      <c r="S155" s="1"/>
      <c r="T155" s="1"/>
      <c r="U155" s="1">
        <v>6</v>
      </c>
      <c r="V155" s="40">
        <f t="shared" si="12"/>
        <v>0</v>
      </c>
      <c r="W155" s="40">
        <f t="shared" si="13"/>
        <v>1.2217470983506414E-4</v>
      </c>
      <c r="X155" s="40">
        <f t="shared" si="14"/>
        <v>7.326007326007326E-4</v>
      </c>
      <c r="Y155" s="2">
        <f t="shared" si="15"/>
        <v>0.6861167002012073</v>
      </c>
      <c r="Z155" s="2">
        <f t="shared" si="16"/>
        <v>0.99987782529016489</v>
      </c>
      <c r="AA155" s="2">
        <f t="shared" si="17"/>
        <v>0.68603287409244718</v>
      </c>
      <c r="AB155" s="1"/>
    </row>
    <row r="156" spans="1:28" x14ac:dyDescent="0.25">
      <c r="A156" s="15" t="s">
        <v>425</v>
      </c>
      <c r="B156" s="16" t="s">
        <v>503</v>
      </c>
      <c r="C156" s="10" t="s">
        <v>504</v>
      </c>
      <c r="D156" s="10" t="str">
        <f>VLOOKUP(C156,Setup!A:F,3,)</f>
        <v>Air freshener MOYA TSENA Typhoon, 250 ml</v>
      </c>
      <c r="E156" s="10" t="str">
        <f>VLOOKUP(C156,Setup!A:F,4,)</f>
        <v>MOYA TSENA</v>
      </c>
      <c r="F156" s="10" t="str">
        <f>VLOOKUP(C156,Setup!A:F,5,)</f>
        <v>AIR FRESHENERS</v>
      </c>
      <c r="G156" s="10" t="str">
        <f>VLOOKUP(C156,Setup!A:F,6,)</f>
        <v xml:space="preserve">Air fresheners refill </v>
      </c>
      <c r="H156" s="11" t="s">
        <v>662</v>
      </c>
      <c r="I156" s="31">
        <v>2600</v>
      </c>
      <c r="J156" s="12">
        <v>2670</v>
      </c>
      <c r="K156" s="13">
        <v>84</v>
      </c>
      <c r="L156" s="13">
        <v>15</v>
      </c>
      <c r="M156" s="13">
        <v>0</v>
      </c>
      <c r="N156" s="1"/>
      <c r="O156" s="1"/>
      <c r="P156" s="17">
        <v>47</v>
      </c>
      <c r="Q156" s="1"/>
      <c r="R156" s="1"/>
      <c r="S156" s="1"/>
      <c r="T156" s="1"/>
      <c r="U156" s="1">
        <v>6</v>
      </c>
      <c r="V156" s="40">
        <f t="shared" si="12"/>
        <v>0</v>
      </c>
      <c r="W156" s="40">
        <f t="shared" si="13"/>
        <v>0</v>
      </c>
      <c r="X156" s="40">
        <f t="shared" si="14"/>
        <v>2.242152466367713E-3</v>
      </c>
      <c r="Y156" s="2">
        <f t="shared" si="15"/>
        <v>0.67629179331306988</v>
      </c>
      <c r="Z156" s="2">
        <f t="shared" si="16"/>
        <v>1</v>
      </c>
      <c r="AA156" s="2">
        <f t="shared" si="17"/>
        <v>0.67629179331306988</v>
      </c>
      <c r="AB156" s="1"/>
    </row>
    <row r="157" spans="1:28" x14ac:dyDescent="0.25">
      <c r="A157" s="15" t="s">
        <v>425</v>
      </c>
      <c r="B157" s="16" t="s">
        <v>509</v>
      </c>
      <c r="C157" s="10" t="s">
        <v>510</v>
      </c>
      <c r="D157" s="10" t="str">
        <f>VLOOKUP(C157,Setup!A:F,3,)</f>
        <v>Air freshener NUZHNIE VESHI Tropical orchid, 250 ml, N</v>
      </c>
      <c r="E157" s="10" t="str">
        <f>VLOOKUP(C157,Setup!A:F,4,)</f>
        <v>NUZHNYE VESHI</v>
      </c>
      <c r="F157" s="10" t="str">
        <f>VLOOKUP(C157,Setup!A:F,5,)</f>
        <v>AIR FRESHENERS</v>
      </c>
      <c r="G157" s="10" t="str">
        <f>VLOOKUP(C157,Setup!A:F,6,)</f>
        <v xml:space="preserve">Air fresheners refill </v>
      </c>
      <c r="H157" s="11" t="s">
        <v>663</v>
      </c>
      <c r="I157" s="31">
        <v>4100</v>
      </c>
      <c r="J157" s="12">
        <v>4234</v>
      </c>
      <c r="K157" s="13">
        <v>84</v>
      </c>
      <c r="L157" s="13">
        <v>15</v>
      </c>
      <c r="M157" s="13">
        <v>0</v>
      </c>
      <c r="N157" s="1"/>
      <c r="O157" s="1"/>
      <c r="P157" s="17">
        <v>70</v>
      </c>
      <c r="Q157" s="1">
        <v>1</v>
      </c>
      <c r="R157" s="1">
        <v>2</v>
      </c>
      <c r="S157" s="1"/>
      <c r="T157" s="1"/>
      <c r="U157" s="1">
        <v>6</v>
      </c>
      <c r="V157" s="40">
        <f t="shared" si="12"/>
        <v>2.3612750885478159E-4</v>
      </c>
      <c r="W157" s="40">
        <f t="shared" si="13"/>
        <v>4.7214353163361664E-4</v>
      </c>
      <c r="X157" s="40">
        <f t="shared" si="14"/>
        <v>1.4150943396226414E-3</v>
      </c>
      <c r="Y157" s="2">
        <f t="shared" si="15"/>
        <v>0.72006802721088436</v>
      </c>
      <c r="Z157" s="2">
        <f t="shared" si="16"/>
        <v>0.99952785646836639</v>
      </c>
      <c r="AA157" s="2">
        <f t="shared" si="17"/>
        <v>0.71972805174950061</v>
      </c>
      <c r="AB157" s="1"/>
    </row>
    <row r="158" spans="1:28" x14ac:dyDescent="0.25">
      <c r="A158" s="15" t="s">
        <v>425</v>
      </c>
      <c r="B158" s="16" t="s">
        <v>512</v>
      </c>
      <c r="C158" s="10" t="s">
        <v>513</v>
      </c>
      <c r="D158" s="10" t="str">
        <f>VLOOKUP(C158,Setup!A:F,3,)</f>
        <v>Air freshener NUZHNIE VESHI Blooming sakura, 250 ml, N</v>
      </c>
      <c r="E158" s="10" t="str">
        <f>VLOOKUP(C158,Setup!A:F,4,)</f>
        <v>NUZHNYE VESHI</v>
      </c>
      <c r="F158" s="10" t="str">
        <f>VLOOKUP(C158,Setup!A:F,5,)</f>
        <v>AIR FRESHENERS</v>
      </c>
      <c r="G158" s="10" t="str">
        <f>VLOOKUP(C158,Setup!A:F,6,)</f>
        <v xml:space="preserve">Air fresheners refill </v>
      </c>
      <c r="H158" s="11" t="s">
        <v>664</v>
      </c>
      <c r="I158" s="31">
        <v>3850</v>
      </c>
      <c r="J158" s="12">
        <v>3968</v>
      </c>
      <c r="K158" s="13">
        <v>84</v>
      </c>
      <c r="L158" s="13">
        <v>15</v>
      </c>
      <c r="M158" s="13">
        <v>0</v>
      </c>
      <c r="N158" s="1"/>
      <c r="O158" s="1"/>
      <c r="P158" s="17">
        <v>57</v>
      </c>
      <c r="Q158" s="1">
        <v>3</v>
      </c>
      <c r="R158" s="1"/>
      <c r="S158" s="1"/>
      <c r="T158" s="1"/>
      <c r="U158" s="1">
        <v>6</v>
      </c>
      <c r="V158" s="40">
        <f t="shared" si="12"/>
        <v>7.5547720977083856E-4</v>
      </c>
      <c r="W158" s="40">
        <f t="shared" si="13"/>
        <v>0</v>
      </c>
      <c r="X158" s="40">
        <f t="shared" si="14"/>
        <v>1.5098137896326119E-3</v>
      </c>
      <c r="Y158" s="2">
        <f t="shared" si="15"/>
        <v>0.82873851294903922</v>
      </c>
      <c r="Z158" s="2">
        <f t="shared" si="16"/>
        <v>1</v>
      </c>
      <c r="AA158" s="2">
        <f t="shared" si="17"/>
        <v>0.82873851294903922</v>
      </c>
      <c r="AB158" s="1"/>
    </row>
    <row r="159" spans="1:28" x14ac:dyDescent="0.25">
      <c r="A159" s="15" t="s">
        <v>425</v>
      </c>
      <c r="B159" s="16" t="s">
        <v>506</v>
      </c>
      <c r="C159" s="10" t="s">
        <v>507</v>
      </c>
      <c r="D159" s="10" t="str">
        <f>VLOOKUP(C159,Setup!A:F,3,)</f>
        <v>Air freshener NUZHNIE VESHI Juicy lime, 250 ml, N</v>
      </c>
      <c r="E159" s="10" t="str">
        <f>VLOOKUP(C159,Setup!A:F,4,)</f>
        <v>NUZHNYE VESHI</v>
      </c>
      <c r="F159" s="10" t="str">
        <f>VLOOKUP(C159,Setup!A:F,5,)</f>
        <v>AIR FRESHENERS</v>
      </c>
      <c r="G159" s="10" t="str">
        <f>VLOOKUP(C159,Setup!A:F,6,)</f>
        <v xml:space="preserve">Air fresheners refill </v>
      </c>
      <c r="H159" s="11" t="s">
        <v>665</v>
      </c>
      <c r="I159" s="31">
        <v>4100</v>
      </c>
      <c r="J159" s="12">
        <v>4196</v>
      </c>
      <c r="K159" s="13">
        <v>60</v>
      </c>
      <c r="L159" s="13">
        <v>30</v>
      </c>
      <c r="M159" s="13">
        <v>0</v>
      </c>
      <c r="N159" s="1"/>
      <c r="O159" s="1"/>
      <c r="P159" s="17">
        <v>95</v>
      </c>
      <c r="Q159" s="1">
        <v>1</v>
      </c>
      <c r="R159" s="1">
        <v>1</v>
      </c>
      <c r="S159" s="1"/>
      <c r="T159" s="1"/>
      <c r="U159" s="1">
        <v>6</v>
      </c>
      <c r="V159" s="40">
        <f t="shared" si="12"/>
        <v>2.3826542768644269E-4</v>
      </c>
      <c r="W159" s="40">
        <f t="shared" si="13"/>
        <v>2.3826542768644269E-4</v>
      </c>
      <c r="X159" s="40">
        <f t="shared" si="14"/>
        <v>1.4278914802475012E-3</v>
      </c>
      <c r="Y159" s="2">
        <f t="shared" si="15"/>
        <v>0.73614035087719298</v>
      </c>
      <c r="Z159" s="2">
        <f t="shared" si="16"/>
        <v>0.99976173457231354</v>
      </c>
      <c r="AA159" s="2">
        <f t="shared" si="17"/>
        <v>0.73596495408165397</v>
      </c>
      <c r="AB159" s="1" t="s">
        <v>4859</v>
      </c>
    </row>
    <row r="160" spans="1:28" x14ac:dyDescent="0.25">
      <c r="A160" s="15" t="s">
        <v>425</v>
      </c>
      <c r="B160" s="16" t="s">
        <v>515</v>
      </c>
      <c r="C160" s="10" t="s">
        <v>516</v>
      </c>
      <c r="D160" s="10" t="str">
        <f>VLOOKUP(C160,Setup!A:F,3,)</f>
        <v>Air freshener MOYA TSENA Pomegranate, 250 ml</v>
      </c>
      <c r="E160" s="10" t="str">
        <f>VLOOKUP(C160,Setup!A:F,4,)</f>
        <v>MOYA TSENA</v>
      </c>
      <c r="F160" s="10" t="str">
        <f>VLOOKUP(C160,Setup!A:F,5,)</f>
        <v>AIR FRESHENERS</v>
      </c>
      <c r="G160" s="10" t="str">
        <f>VLOOKUP(C160,Setup!A:F,6,)</f>
        <v xml:space="preserve">Air fresheners refill </v>
      </c>
      <c r="H160" s="11" t="s">
        <v>666</v>
      </c>
      <c r="I160" s="31">
        <v>2600</v>
      </c>
      <c r="J160" s="12">
        <v>2646</v>
      </c>
      <c r="K160" s="13">
        <v>84</v>
      </c>
      <c r="L160" s="13">
        <v>15</v>
      </c>
      <c r="M160" s="13">
        <v>0</v>
      </c>
      <c r="N160" s="1"/>
      <c r="O160" s="1"/>
      <c r="P160" s="17">
        <v>46</v>
      </c>
      <c r="Q160" s="1">
        <v>3</v>
      </c>
      <c r="R160" s="1">
        <v>1</v>
      </c>
      <c r="S160" s="1"/>
      <c r="T160" s="1"/>
      <c r="U160" s="1">
        <v>6</v>
      </c>
      <c r="V160" s="40">
        <f t="shared" si="12"/>
        <v>1.1325028312570782E-3</v>
      </c>
      <c r="W160" s="40">
        <f t="shared" si="13"/>
        <v>3.7778617302606723E-4</v>
      </c>
      <c r="X160" s="40">
        <f t="shared" si="14"/>
        <v>2.2624434389140274E-3</v>
      </c>
      <c r="Y160" s="2">
        <f t="shared" si="15"/>
        <v>0.68478260869565222</v>
      </c>
      <c r="Z160" s="2">
        <f t="shared" si="16"/>
        <v>0.99962221382697392</v>
      </c>
      <c r="AA160" s="2">
        <f t="shared" si="17"/>
        <v>0.68452390729455825</v>
      </c>
      <c r="AB160" s="1" t="s">
        <v>4859</v>
      </c>
    </row>
    <row r="161" spans="1:28" x14ac:dyDescent="0.25">
      <c r="A161" s="15" t="s">
        <v>425</v>
      </c>
      <c r="B161" s="16" t="s">
        <v>52</v>
      </c>
      <c r="C161" s="10" t="s">
        <v>53</v>
      </c>
      <c r="D161" s="10" t="str">
        <f>VLOOKUP(C161,Setup!A:F,3,)</f>
        <v>Air freshener AROMA VOYAGE Hello Aroma Verti , Tropical smoothie, 250 ml</v>
      </c>
      <c r="E161" s="10" t="str">
        <f>VLOOKUP(C161,Setup!A:F,4,)</f>
        <v>VERTI</v>
      </c>
      <c r="F161" s="10" t="str">
        <f>VLOOKUP(C161,Setup!A:F,5,)</f>
        <v>AIR FRESHENERS</v>
      </c>
      <c r="G161" s="10" t="str">
        <f>VLOOKUP(C161,Setup!A:F,6,)</f>
        <v xml:space="preserve">Air fresheners refill </v>
      </c>
      <c r="H161" s="11" t="s">
        <v>667</v>
      </c>
      <c r="I161" s="31">
        <v>11500</v>
      </c>
      <c r="J161" s="12">
        <v>11640</v>
      </c>
      <c r="K161" s="13">
        <v>84</v>
      </c>
      <c r="L161" s="13">
        <v>30</v>
      </c>
      <c r="M161" s="13">
        <v>0</v>
      </c>
      <c r="N161" s="1"/>
      <c r="O161" s="1"/>
      <c r="P161" s="17">
        <v>202</v>
      </c>
      <c r="Q161" s="1"/>
      <c r="R161" s="1"/>
      <c r="S161" s="1"/>
      <c r="T161" s="1"/>
      <c r="U161" s="1">
        <v>6</v>
      </c>
      <c r="V161" s="40">
        <f t="shared" si="12"/>
        <v>0</v>
      </c>
      <c r="W161" s="40">
        <f t="shared" si="13"/>
        <v>0</v>
      </c>
      <c r="X161" s="40">
        <f t="shared" si="14"/>
        <v>5.1519835136527566E-4</v>
      </c>
      <c r="Y161" s="2">
        <f t="shared" si="15"/>
        <v>0.68599717114568604</v>
      </c>
      <c r="Z161" s="2">
        <f t="shared" si="16"/>
        <v>1</v>
      </c>
      <c r="AA161" s="2">
        <f t="shared" si="17"/>
        <v>0.68599717114568604</v>
      </c>
      <c r="AB161" s="1"/>
    </row>
    <row r="162" spans="1:28" x14ac:dyDescent="0.25">
      <c r="A162" s="15" t="s">
        <v>425</v>
      </c>
      <c r="B162" s="16" t="s">
        <v>55</v>
      </c>
      <c r="C162" s="10" t="s">
        <v>56</v>
      </c>
      <c r="D162" s="10" t="str">
        <f>VLOOKUP(C162,Setup!A:F,3,)</f>
        <v>Air freshener AROMA VOYAGE Hello Aroma Verti , Altai freshness, 250 ml</v>
      </c>
      <c r="E162" s="10" t="str">
        <f>VLOOKUP(C162,Setup!A:F,4,)</f>
        <v>VERTI</v>
      </c>
      <c r="F162" s="10" t="str">
        <f>VLOOKUP(C162,Setup!A:F,5,)</f>
        <v>AIR FRESHENERS</v>
      </c>
      <c r="G162" s="10" t="str">
        <f>VLOOKUP(C162,Setup!A:F,6,)</f>
        <v xml:space="preserve">Air fresheners refill </v>
      </c>
      <c r="H162" s="11" t="s">
        <v>668</v>
      </c>
      <c r="I162" s="31">
        <v>11500</v>
      </c>
      <c r="J162" s="12">
        <f>9600+180+1920</f>
        <v>11700</v>
      </c>
      <c r="K162" s="13">
        <v>84</v>
      </c>
      <c r="L162" s="13">
        <v>15</v>
      </c>
      <c r="M162" s="13">
        <v>0</v>
      </c>
      <c r="N162" s="1"/>
      <c r="O162" s="1"/>
      <c r="P162" s="17">
        <f>195-10</f>
        <v>185</v>
      </c>
      <c r="Q162" s="1"/>
      <c r="R162" s="1">
        <v>3</v>
      </c>
      <c r="S162" s="1"/>
      <c r="T162" s="1"/>
      <c r="U162" s="1">
        <f>6</f>
        <v>6</v>
      </c>
      <c r="V162" s="40">
        <f t="shared" si="12"/>
        <v>0</v>
      </c>
      <c r="W162" s="40">
        <f t="shared" si="13"/>
        <v>2.563445270443476E-4</v>
      </c>
      <c r="X162" s="40">
        <f t="shared" si="14"/>
        <v>5.1255766273705791E-4</v>
      </c>
      <c r="Y162" s="2">
        <f t="shared" si="15"/>
        <v>0.75289575289575295</v>
      </c>
      <c r="Z162" s="2">
        <f t="shared" si="16"/>
        <v>0.99974365547295563</v>
      </c>
      <c r="AA162" s="2">
        <f t="shared" si="17"/>
        <v>0.75270275219006322</v>
      </c>
      <c r="AB162" s="1"/>
    </row>
    <row r="163" spans="1:28" x14ac:dyDescent="0.25">
      <c r="A163" s="15" t="s">
        <v>425</v>
      </c>
      <c r="B163" s="16" t="s">
        <v>61</v>
      </c>
      <c r="C163" s="10" t="s">
        <v>62</v>
      </c>
      <c r="D163" s="10" t="str">
        <f>VLOOKUP(C163,Setup!A:F,3,)</f>
        <v>Air freshener AROMA VOYAGE Hello Aroma Verti , Karelian berries, 250 ml</v>
      </c>
      <c r="E163" s="10" t="str">
        <f>VLOOKUP(C163,Setup!A:F,4,)</f>
        <v>VERTI</v>
      </c>
      <c r="F163" s="10" t="str">
        <f>VLOOKUP(C163,Setup!A:F,5,)</f>
        <v>AIR FRESHENERS</v>
      </c>
      <c r="G163" s="10" t="str">
        <f>VLOOKUP(C163,Setup!A:F,6,)</f>
        <v xml:space="preserve">Air fresheners refill </v>
      </c>
      <c r="H163" s="11" t="s">
        <v>669</v>
      </c>
      <c r="I163" s="31">
        <v>11500</v>
      </c>
      <c r="J163" s="12">
        <v>11700</v>
      </c>
      <c r="K163" s="13">
        <v>84</v>
      </c>
      <c r="L163" s="13">
        <v>15</v>
      </c>
      <c r="M163" s="13">
        <v>0</v>
      </c>
      <c r="N163" s="1"/>
      <c r="O163" s="1"/>
      <c r="P163" s="17">
        <f>180</f>
        <v>180</v>
      </c>
      <c r="Q163" s="1">
        <v>1</v>
      </c>
      <c r="R163" s="1">
        <v>7</v>
      </c>
      <c r="S163" s="1"/>
      <c r="T163" s="1"/>
      <c r="U163" s="1">
        <v>6</v>
      </c>
      <c r="V163" s="40">
        <f t="shared" si="12"/>
        <v>8.5462780958892406E-5</v>
      </c>
      <c r="W163" s="40">
        <f t="shared" si="13"/>
        <v>5.9793286068164349E-4</v>
      </c>
      <c r="X163" s="40">
        <f t="shared" si="14"/>
        <v>5.1255766273705791E-4</v>
      </c>
      <c r="Y163" s="2">
        <f t="shared" si="15"/>
        <v>0.77380952380952384</v>
      </c>
      <c r="Z163" s="2">
        <f t="shared" si="16"/>
        <v>0.99940206713931834</v>
      </c>
      <c r="AA163" s="2">
        <f t="shared" si="17"/>
        <v>0.7733468376673297</v>
      </c>
      <c r="AB163" s="1"/>
    </row>
    <row r="164" spans="1:28" x14ac:dyDescent="0.25">
      <c r="A164" s="15" t="s">
        <v>425</v>
      </c>
      <c r="B164" s="16" t="s">
        <v>58</v>
      </c>
      <c r="C164" s="10" t="s">
        <v>59</v>
      </c>
      <c r="D164" s="10" t="str">
        <f>VLOOKUP(C164,Setup!A:F,3,)</f>
        <v>Air freshener AROMA VOYAGE Hello Aroma Verti , Chinese orchid, 250 ml</v>
      </c>
      <c r="E164" s="10" t="str">
        <f>VLOOKUP(C164,Setup!A:F,4,)</f>
        <v>VERTI</v>
      </c>
      <c r="F164" s="10" t="str">
        <f>VLOOKUP(C164,Setup!A:F,5,)</f>
        <v>AIR FRESHENERS</v>
      </c>
      <c r="G164" s="10" t="str">
        <f>VLOOKUP(C164,Setup!A:F,6,)</f>
        <v xml:space="preserve">Air fresheners refill </v>
      </c>
      <c r="H164" s="11" t="s">
        <v>670</v>
      </c>
      <c r="I164" s="31">
        <v>11500</v>
      </c>
      <c r="J164" s="12">
        <v>11706</v>
      </c>
      <c r="K164" s="13">
        <v>84</v>
      </c>
      <c r="L164" s="13">
        <v>15</v>
      </c>
      <c r="M164" s="13">
        <v>0</v>
      </c>
      <c r="N164" s="1"/>
      <c r="O164" s="1"/>
      <c r="P164" s="17">
        <v>166</v>
      </c>
      <c r="Q164" s="1">
        <v>1</v>
      </c>
      <c r="R164" s="1"/>
      <c r="S164" s="1"/>
      <c r="T164" s="1"/>
      <c r="U164" s="1">
        <v>6</v>
      </c>
      <c r="V164" s="40">
        <f t="shared" si="12"/>
        <v>8.5418980097377634E-5</v>
      </c>
      <c r="W164" s="40">
        <f t="shared" si="13"/>
        <v>0</v>
      </c>
      <c r="X164" s="40">
        <f t="shared" si="14"/>
        <v>5.1229508196721314E-4</v>
      </c>
      <c r="Y164" s="2">
        <f t="shared" si="15"/>
        <v>0.83950086058519791</v>
      </c>
      <c r="Z164" s="2">
        <f t="shared" si="16"/>
        <v>1</v>
      </c>
      <c r="AA164" s="2">
        <f t="shared" si="17"/>
        <v>0.83950086058519791</v>
      </c>
      <c r="AB164" s="1"/>
    </row>
    <row r="165" spans="1:28" x14ac:dyDescent="0.25">
      <c r="A165" s="15" t="s">
        <v>425</v>
      </c>
      <c r="B165" s="16" t="s">
        <v>671</v>
      </c>
      <c r="C165" s="10" t="s">
        <v>672</v>
      </c>
      <c r="D165" s="10" t="str">
        <f>VLOOKUP(C165,Setup!A:F,3,)</f>
        <v>Air freshener KRASNAYA PTICHKA Berry cocktail, 250 ml</v>
      </c>
      <c r="E165" s="10" t="str">
        <f>VLOOKUP(C165,Setup!A:F,4,)</f>
        <v>AUCHAN</v>
      </c>
      <c r="F165" s="10" t="str">
        <f>VLOOKUP(C165,Setup!A:F,5,)</f>
        <v>AIR FRESHENERS</v>
      </c>
      <c r="G165" s="10" t="str">
        <f>VLOOKUP(C165,Setup!A:F,6,)</f>
        <v xml:space="preserve">Air fresheners refill </v>
      </c>
      <c r="H165" s="11" t="s">
        <v>673</v>
      </c>
      <c r="I165" s="31">
        <v>7000</v>
      </c>
      <c r="J165" s="12">
        <v>7140</v>
      </c>
      <c r="K165" s="13">
        <v>84</v>
      </c>
      <c r="L165" s="13">
        <v>15</v>
      </c>
      <c r="M165" s="13">
        <v>0</v>
      </c>
      <c r="N165" s="1"/>
      <c r="O165" s="1"/>
      <c r="P165" s="17">
        <v>109</v>
      </c>
      <c r="Q165" s="1">
        <v>2</v>
      </c>
      <c r="R165" s="1">
        <v>4</v>
      </c>
      <c r="S165" s="1"/>
      <c r="T165" s="1"/>
      <c r="U165" s="1">
        <v>6</v>
      </c>
      <c r="V165" s="40">
        <f t="shared" si="12"/>
        <v>2.8003360403248392E-4</v>
      </c>
      <c r="W165" s="40">
        <f t="shared" si="13"/>
        <v>5.5991041433370661E-4</v>
      </c>
      <c r="X165" s="40">
        <f t="shared" si="14"/>
        <v>8.3963056255247689E-4</v>
      </c>
      <c r="Y165" s="2">
        <f t="shared" si="15"/>
        <v>0.77981651376146788</v>
      </c>
      <c r="Z165" s="2">
        <f t="shared" si="16"/>
        <v>0.99944008958566632</v>
      </c>
      <c r="AA165" s="2">
        <f t="shared" si="17"/>
        <v>0.77937988637414346</v>
      </c>
      <c r="AB165" s="1"/>
    </row>
    <row r="166" spans="1:28" x14ac:dyDescent="0.25">
      <c r="A166" s="15" t="s">
        <v>425</v>
      </c>
      <c r="B166" s="16" t="s">
        <v>674</v>
      </c>
      <c r="C166" s="10" t="s">
        <v>675</v>
      </c>
      <c r="D166" s="10" t="str">
        <f>VLOOKUP(C166,Setup!A:F,3,)</f>
        <v>Air freshener KRASNAYA PTICHKA Spicy orange and cranberries, 250 ml</v>
      </c>
      <c r="E166" s="10" t="str">
        <f>VLOOKUP(C166,Setup!A:F,4,)</f>
        <v>AUCHAN</v>
      </c>
      <c r="F166" s="10" t="str">
        <f>VLOOKUP(C166,Setup!A:F,5,)</f>
        <v>AIR FRESHENERS</v>
      </c>
      <c r="G166" s="10" t="str">
        <f>VLOOKUP(C166,Setup!A:F,6,)</f>
        <v xml:space="preserve">Air fresheners refill </v>
      </c>
      <c r="H166" s="11" t="s">
        <v>676</v>
      </c>
      <c r="I166" s="31">
        <v>5000</v>
      </c>
      <c r="J166" s="12">
        <v>5052</v>
      </c>
      <c r="K166" s="13">
        <v>84</v>
      </c>
      <c r="L166" s="13">
        <v>15</v>
      </c>
      <c r="M166" s="13">
        <v>0</v>
      </c>
      <c r="N166" s="1"/>
      <c r="O166" s="1"/>
      <c r="P166" s="17">
        <v>78</v>
      </c>
      <c r="Q166" s="1">
        <v>3</v>
      </c>
      <c r="R166" s="1">
        <v>2</v>
      </c>
      <c r="S166" s="1"/>
      <c r="T166" s="1"/>
      <c r="U166" s="1">
        <v>6</v>
      </c>
      <c r="V166" s="40">
        <f t="shared" si="12"/>
        <v>5.9347181008902075E-4</v>
      </c>
      <c r="W166" s="40">
        <f t="shared" si="13"/>
        <v>3.9572615749901069E-4</v>
      </c>
      <c r="X166" s="40">
        <f t="shared" si="14"/>
        <v>1.1862396204033216E-3</v>
      </c>
      <c r="Y166" s="2">
        <f t="shared" si="15"/>
        <v>0.7710622710622711</v>
      </c>
      <c r="Z166" s="2">
        <f t="shared" si="16"/>
        <v>0.99960427384250095</v>
      </c>
      <c r="AA166" s="2">
        <f t="shared" si="17"/>
        <v>0.77075714155255115</v>
      </c>
      <c r="AB166" s="1"/>
    </row>
    <row r="167" spans="1:28" x14ac:dyDescent="0.25">
      <c r="A167" s="15" t="s">
        <v>425</v>
      </c>
      <c r="B167" s="16" t="s">
        <v>583</v>
      </c>
      <c r="C167" s="10" t="s">
        <v>584</v>
      </c>
      <c r="D167" s="10" t="str">
        <f>VLOOKUP(C167,Setup!A:F,3,)</f>
        <v>Air freshener LENTA Verti Floral veil, 250 ml, Sl</v>
      </c>
      <c r="E167" s="10" t="str">
        <f>VLOOKUP(C167,Setup!A:F,4,)</f>
        <v>LENTA</v>
      </c>
      <c r="F167" s="10" t="str">
        <f>VLOOKUP(C167,Setup!A:F,5,)</f>
        <v>AIR FRESHENERS</v>
      </c>
      <c r="G167" s="10" t="str">
        <f>VLOOKUP(C167,Setup!A:F,6,)</f>
        <v xml:space="preserve">Air fresheners refill </v>
      </c>
      <c r="H167" s="11" t="s">
        <v>677</v>
      </c>
      <c r="I167" s="31">
        <v>4256</v>
      </c>
      <c r="J167" s="12">
        <v>4320</v>
      </c>
      <c r="K167" s="13">
        <v>84</v>
      </c>
      <c r="L167" s="13">
        <v>15</v>
      </c>
      <c r="M167" s="13">
        <v>0</v>
      </c>
      <c r="N167" s="1"/>
      <c r="O167" s="1"/>
      <c r="P167" s="17">
        <v>77</v>
      </c>
      <c r="Q167" s="1">
        <v>4</v>
      </c>
      <c r="R167" s="1"/>
      <c r="S167" s="1"/>
      <c r="T167" s="1"/>
      <c r="U167" s="1">
        <v>4</v>
      </c>
      <c r="V167" s="40">
        <f t="shared" si="12"/>
        <v>9.2506938020351531E-4</v>
      </c>
      <c r="W167" s="40">
        <f t="shared" si="13"/>
        <v>0</v>
      </c>
      <c r="X167" s="40">
        <f t="shared" si="14"/>
        <v>9.2506938020351531E-4</v>
      </c>
      <c r="Y167" s="2">
        <f t="shared" si="15"/>
        <v>0.66790352504638217</v>
      </c>
      <c r="Z167" s="2">
        <f t="shared" si="16"/>
        <v>1</v>
      </c>
      <c r="AA167" s="2">
        <f t="shared" si="17"/>
        <v>0.66790352504638217</v>
      </c>
      <c r="AB167" s="1"/>
    </row>
    <row r="168" spans="1:28" x14ac:dyDescent="0.25">
      <c r="A168" s="15" t="s">
        <v>425</v>
      </c>
      <c r="B168" s="16" t="s">
        <v>586</v>
      </c>
      <c r="C168" s="10" t="s">
        <v>587</v>
      </c>
      <c r="D168" s="10" t="str">
        <f>VLOOKUP(C168,Setup!A:F,3,)</f>
        <v>Air freshener LENTA Forest berry, 250 ml, Sl</v>
      </c>
      <c r="E168" s="10" t="str">
        <f>VLOOKUP(C168,Setup!A:F,4,)</f>
        <v>LENTA</v>
      </c>
      <c r="F168" s="10" t="str">
        <f>VLOOKUP(C168,Setup!A:F,5,)</f>
        <v>AIR FRESHENERS</v>
      </c>
      <c r="G168" s="10" t="str">
        <f>VLOOKUP(C168,Setup!A:F,6,)</f>
        <v xml:space="preserve">Air fresheners refill </v>
      </c>
      <c r="H168" s="11" t="s">
        <v>678</v>
      </c>
      <c r="I168" s="31">
        <v>3908</v>
      </c>
      <c r="J168" s="12">
        <v>3936</v>
      </c>
      <c r="K168" s="13">
        <v>84</v>
      </c>
      <c r="L168" s="13">
        <v>15</v>
      </c>
      <c r="M168" s="13">
        <v>0</v>
      </c>
      <c r="N168" s="1"/>
      <c r="O168" s="1"/>
      <c r="P168" s="17">
        <v>61</v>
      </c>
      <c r="Q168" s="1"/>
      <c r="R168" s="1"/>
      <c r="S168" s="1"/>
      <c r="T168" s="1"/>
      <c r="U168" s="1">
        <v>4</v>
      </c>
      <c r="V168" s="40">
        <f t="shared" si="12"/>
        <v>0</v>
      </c>
      <c r="W168" s="40">
        <f t="shared" si="13"/>
        <v>0</v>
      </c>
      <c r="X168" s="40">
        <f t="shared" si="14"/>
        <v>1.0152284263959391E-3</v>
      </c>
      <c r="Y168" s="2">
        <f t="shared" si="15"/>
        <v>0.76814988290398123</v>
      </c>
      <c r="Z168" s="2">
        <f t="shared" si="16"/>
        <v>1</v>
      </c>
      <c r="AA168" s="2">
        <f t="shared" si="17"/>
        <v>0.76814988290398123</v>
      </c>
      <c r="AB168" s="1"/>
    </row>
    <row r="169" spans="1:28" x14ac:dyDescent="0.25">
      <c r="A169" s="15" t="s">
        <v>425</v>
      </c>
      <c r="B169" s="16" t="s">
        <v>592</v>
      </c>
      <c r="C169" s="10" t="s">
        <v>593</v>
      </c>
      <c r="D169" s="10" t="str">
        <f>VLOOKUP(C169,Setup!A:F,3,)</f>
        <v>Air freshener LENTA Verti Mocco, 250 ml, Sl</v>
      </c>
      <c r="E169" s="10" t="str">
        <f>VLOOKUP(C169,Setup!A:F,4,)</f>
        <v>LENTA</v>
      </c>
      <c r="F169" s="10" t="str">
        <f>VLOOKUP(C169,Setup!A:F,5,)</f>
        <v>AIR FRESHENERS</v>
      </c>
      <c r="G169" s="10" t="str">
        <f>VLOOKUP(C169,Setup!A:F,6,)</f>
        <v xml:space="preserve">Air fresheners refill </v>
      </c>
      <c r="H169" s="11" t="s">
        <v>679</v>
      </c>
      <c r="I169" s="31">
        <v>1844</v>
      </c>
      <c r="J169" s="12">
        <v>1812</v>
      </c>
      <c r="K169" s="13">
        <v>84</v>
      </c>
      <c r="L169" s="13">
        <v>15</v>
      </c>
      <c r="M169" s="13">
        <v>0</v>
      </c>
      <c r="N169" s="1"/>
      <c r="O169" s="1"/>
      <c r="P169" s="17">
        <f>64-10</f>
        <v>54</v>
      </c>
      <c r="Q169" s="1"/>
      <c r="R169" s="1"/>
      <c r="S169" s="1"/>
      <c r="T169" s="1"/>
      <c r="U169" s="1">
        <v>4</v>
      </c>
      <c r="V169" s="40">
        <f t="shared" si="12"/>
        <v>0</v>
      </c>
      <c r="W169" s="40">
        <f t="shared" si="13"/>
        <v>0</v>
      </c>
      <c r="X169" s="40">
        <f t="shared" si="14"/>
        <v>2.2026431718061676E-3</v>
      </c>
      <c r="Y169" s="2">
        <f t="shared" si="15"/>
        <v>0.39947089947089948</v>
      </c>
      <c r="Z169" s="2">
        <f t="shared" si="16"/>
        <v>1</v>
      </c>
      <c r="AA169" s="2">
        <f t="shared" si="17"/>
        <v>0.39947089947089948</v>
      </c>
      <c r="AB169" s="1"/>
    </row>
    <row r="170" spans="1:28" x14ac:dyDescent="0.25">
      <c r="I170" s="22">
        <f t="shared" ref="I170:J170" si="18">SUM(I2:I169)</f>
        <v>1519655</v>
      </c>
      <c r="J170" s="22">
        <f t="shared" si="18"/>
        <v>1524160</v>
      </c>
      <c r="K170" s="22">
        <f t="shared" ref="K170" si="19">SUM(K2:K169)</f>
        <v>13860</v>
      </c>
      <c r="L170" s="22">
        <f t="shared" ref="L170" si="20">SUM(L2:L169)</f>
        <v>2775</v>
      </c>
      <c r="M170" s="22">
        <f t="shared" ref="M170" si="21">SUM(M2:M169)</f>
        <v>495</v>
      </c>
      <c r="N170" s="22">
        <f t="shared" ref="N170:T170" si="22">SUM(N2:N169)</f>
        <v>223</v>
      </c>
      <c r="P170" s="22">
        <f t="shared" si="22"/>
        <v>24129</v>
      </c>
      <c r="Q170" s="22">
        <f t="shared" si="22"/>
        <v>566</v>
      </c>
      <c r="R170" s="22">
        <f t="shared" si="22"/>
        <v>276</v>
      </c>
      <c r="S170" s="22">
        <f t="shared" si="22"/>
        <v>0</v>
      </c>
      <c r="T170" s="22">
        <f t="shared" si="22"/>
        <v>0</v>
      </c>
      <c r="U170" s="22">
        <f>SUM(U2:U169)</f>
        <v>962</v>
      </c>
      <c r="V170" s="41">
        <f t="shared" si="12"/>
        <v>3.7121423783683099E-4</v>
      </c>
      <c r="W170" s="41">
        <f t="shared" si="13"/>
        <v>1.8105056558622337E-4</v>
      </c>
      <c r="X170" s="41">
        <f t="shared" si="14"/>
        <v>6.3076921059430002E-4</v>
      </c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2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EBC7-D130-43A3-B13E-5D4B740BE00C}">
  <sheetPr>
    <pageSetUpPr fitToPage="1"/>
  </sheetPr>
  <dimension ref="A1:AB161"/>
  <sheetViews>
    <sheetView topLeftCell="B1" zoomScale="57" zoomScaleNormal="57" workbookViewId="0">
      <pane ySplit="1" topLeftCell="A35" activePane="bottomLeft" state="frozen"/>
      <selection pane="bottomLeft" activeCell="K131" sqref="K131"/>
    </sheetView>
  </sheetViews>
  <sheetFormatPr defaultColWidth="9" defaultRowHeight="15.75" x14ac:dyDescent="0.25"/>
  <cols>
    <col min="1" max="1" width="4.42578125" style="3" customWidth="1"/>
    <col min="2" max="2" width="75.85546875" style="3" customWidth="1"/>
    <col min="3" max="3" width="15.28515625" style="3" customWidth="1"/>
    <col min="4" max="4" width="68.42578125" style="3" customWidth="1"/>
    <col min="5" max="5" width="27.140625" style="3" customWidth="1"/>
    <col min="6" max="6" width="21.140625" style="3" customWidth="1"/>
    <col min="7" max="7" width="28.5703125" style="3" customWidth="1"/>
    <col min="8" max="8" width="9" style="3"/>
    <col min="9" max="9" width="12.5703125" style="3" customWidth="1"/>
    <col min="10" max="10" width="13.85546875" style="3" customWidth="1"/>
    <col min="11" max="11" width="13.28515625" style="3" customWidth="1"/>
    <col min="12" max="12" width="9" style="3" customWidth="1"/>
    <col min="13" max="13" width="10.7109375" style="3" customWidth="1"/>
    <col min="14" max="14" width="13.5703125" style="3" customWidth="1"/>
    <col min="15" max="15" width="72.140625" style="3" customWidth="1"/>
    <col min="16" max="16" width="11.5703125" style="3" customWidth="1"/>
    <col min="17" max="17" width="10.85546875" style="3" customWidth="1"/>
    <col min="18" max="18" width="14.85546875" style="3" customWidth="1"/>
    <col min="19" max="20" width="10.28515625" style="3" hidden="1" customWidth="1"/>
    <col min="21" max="24" width="14.5703125" style="3" customWidth="1"/>
    <col min="25" max="25" width="8.42578125" style="3" customWidth="1"/>
    <col min="26" max="26" width="9.140625" style="3" customWidth="1"/>
    <col min="27" max="27" width="9.42578125" style="3" customWidth="1"/>
    <col min="28" max="28" width="12.28515625" style="3" customWidth="1"/>
    <col min="29" max="16384" width="9" style="3"/>
  </cols>
  <sheetData>
    <row r="1" spans="1:28" ht="94.5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1" t="s">
        <v>8</v>
      </c>
      <c r="J1" s="21" t="s">
        <v>9</v>
      </c>
      <c r="K1" s="21" t="s">
        <v>4861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4856</v>
      </c>
      <c r="W1" s="21" t="s">
        <v>4857</v>
      </c>
      <c r="X1" s="21" t="s">
        <v>4858</v>
      </c>
      <c r="Y1" s="21" t="s">
        <v>20</v>
      </c>
      <c r="Z1" s="21" t="s">
        <v>21</v>
      </c>
      <c r="AA1" s="21" t="s">
        <v>22</v>
      </c>
      <c r="AB1" s="21" t="s">
        <v>23</v>
      </c>
    </row>
    <row r="2" spans="1:28" x14ac:dyDescent="0.25">
      <c r="A2" s="15" t="s">
        <v>680</v>
      </c>
      <c r="B2" s="10" t="s">
        <v>681</v>
      </c>
      <c r="C2" s="10" t="s">
        <v>682</v>
      </c>
      <c r="D2" s="10" t="str">
        <f>VLOOKUP(C2,Setup!A:F,3,)</f>
        <v>Air freshener LIBERHAUS Berry explosion, 300 ml</v>
      </c>
      <c r="E2" s="10" t="str">
        <f>VLOOKUP(C2,Setup!A:F,4,)</f>
        <v>LIBERHAUS</v>
      </c>
      <c r="F2" s="10" t="str">
        <f>VLOOKUP(C2,Setup!A:F,5,)</f>
        <v>AIR FRESHENERS</v>
      </c>
      <c r="G2" s="10" t="str">
        <f>VLOOKUP(C2,Setup!A:F,6,)</f>
        <v>Air fresheners waterbase</v>
      </c>
      <c r="H2" s="11" t="s">
        <v>683</v>
      </c>
      <c r="I2" s="36">
        <v>59292</v>
      </c>
      <c r="J2" s="12">
        <v>60444</v>
      </c>
      <c r="K2" s="13">
        <v>140</v>
      </c>
      <c r="L2" s="13">
        <v>15</v>
      </c>
      <c r="M2" s="13">
        <v>15</v>
      </c>
      <c r="N2" s="1"/>
      <c r="O2" s="1"/>
      <c r="P2" s="13">
        <f>524</f>
        <v>524</v>
      </c>
      <c r="Q2" s="1">
        <v>3</v>
      </c>
      <c r="R2" s="1">
        <v>20</v>
      </c>
      <c r="S2" s="1"/>
      <c r="T2" s="1"/>
      <c r="U2" s="1">
        <v>6</v>
      </c>
      <c r="V2" s="40">
        <f>Q2/(Q2+J2)</f>
        <v>4.9630254603206117E-5</v>
      </c>
      <c r="W2" s="40">
        <f>R2/(R2+J2)</f>
        <v>3.3077533739084416E-4</v>
      </c>
      <c r="X2" s="40">
        <f>U2/(U2+J2)</f>
        <v>9.9255583126550868E-5</v>
      </c>
      <c r="Y2" s="2">
        <f>(J2/(K2*(P2-M2-N2)))</f>
        <v>0.84821779399382546</v>
      </c>
      <c r="Z2" s="2">
        <f>(J2/(J2+R2+S2-T2))</f>
        <v>0.9996692246626091</v>
      </c>
      <c r="AA2" s="2">
        <f>Y2*Z2</f>
        <v>0.84793722446683617</v>
      </c>
      <c r="AB2" s="1"/>
    </row>
    <row r="3" spans="1:28" x14ac:dyDescent="0.25">
      <c r="A3" s="15" t="s">
        <v>680</v>
      </c>
      <c r="B3" s="10" t="s">
        <v>684</v>
      </c>
      <c r="C3" s="10" t="s">
        <v>685</v>
      </c>
      <c r="D3" s="10" t="str">
        <f>VLOOKUP(C3,Setup!A:F,3,)</f>
        <v>Air freshener AIR PURE BY ALPEN Alpine morning, 300 ml</v>
      </c>
      <c r="E3" s="10" t="str">
        <f>VLOOKUP(C3,Setup!A:F,4,)</f>
        <v>ALPEN</v>
      </c>
      <c r="F3" s="10" t="str">
        <f>VLOOKUP(C3,Setup!A:F,5,)</f>
        <v>AIR FRESHENERS</v>
      </c>
      <c r="G3" s="10" t="str">
        <f>VLOOKUP(C3,Setup!A:F,6,)</f>
        <v>Air fresheners waterbase</v>
      </c>
      <c r="H3" s="11" t="s">
        <v>686</v>
      </c>
      <c r="I3" s="36">
        <v>10980</v>
      </c>
      <c r="J3" s="12">
        <f>6696+888+3372</f>
        <v>10956</v>
      </c>
      <c r="K3" s="13">
        <v>140</v>
      </c>
      <c r="L3" s="13">
        <v>15</v>
      </c>
      <c r="M3" s="13">
        <v>0</v>
      </c>
      <c r="N3" s="1">
        <v>63</v>
      </c>
      <c r="O3" s="1" t="s">
        <v>4846</v>
      </c>
      <c r="P3" s="13">
        <f>91-10+111</f>
        <v>192</v>
      </c>
      <c r="Q3" s="1">
        <f>2+2</f>
        <v>4</v>
      </c>
      <c r="R3" s="1">
        <f>7+4</f>
        <v>11</v>
      </c>
      <c r="S3" s="1"/>
      <c r="T3" s="1"/>
      <c r="U3" s="1">
        <v>6</v>
      </c>
      <c r="V3" s="40">
        <f t="shared" ref="V3:V66" si="0">Q3/(Q3+J3)</f>
        <v>3.6496350364963501E-4</v>
      </c>
      <c r="W3" s="40">
        <f t="shared" ref="W3:W66" si="1">R3/(R3+J3)</f>
        <v>1.0030090270812437E-3</v>
      </c>
      <c r="X3" s="40">
        <f t="shared" ref="X3:X66" si="2">U3/(U3+J3)</f>
        <v>5.4734537493158185E-4</v>
      </c>
      <c r="Y3" s="2">
        <f t="shared" ref="Y3:Y66" si="3">(J3/(K3*(P3-M3-N3)))</f>
        <v>0.60664451827242527</v>
      </c>
      <c r="Z3" s="2">
        <f t="shared" ref="Z3:Z66" si="4">(J3/(J3+R3+S3-T3))</f>
        <v>0.99899699097291872</v>
      </c>
      <c r="AA3" s="2">
        <f t="shared" ref="AA3:AA66" si="5">Y3*Z3</f>
        <v>0.60603604834436864</v>
      </c>
      <c r="AB3" s="1"/>
    </row>
    <row r="4" spans="1:28" x14ac:dyDescent="0.25">
      <c r="A4" s="15" t="s">
        <v>680</v>
      </c>
      <c r="B4" s="10" t="s">
        <v>687</v>
      </c>
      <c r="C4" s="10" t="s">
        <v>688</v>
      </c>
      <c r="D4" s="10" t="str">
        <f>VLOOKUP(C4,Setup!A:F,3,)</f>
        <v>Air freshener ALPEN Violet field, 300 ml</v>
      </c>
      <c r="E4" s="10" t="str">
        <f>VLOOKUP(C4,Setup!A:F,4,)</f>
        <v>ALPEN</v>
      </c>
      <c r="F4" s="10" t="str">
        <f>VLOOKUP(C4,Setup!A:F,5,)</f>
        <v>AIR FRESHENERS</v>
      </c>
      <c r="G4" s="10" t="str">
        <f>VLOOKUP(C4,Setup!A:F,6,)</f>
        <v>Air fresheners waterbase</v>
      </c>
      <c r="H4" s="11" t="s">
        <v>689</v>
      </c>
      <c r="I4" s="36">
        <v>11550</v>
      </c>
      <c r="J4" s="12">
        <v>11532</v>
      </c>
      <c r="K4" s="13">
        <v>140</v>
      </c>
      <c r="L4" s="13">
        <v>15</v>
      </c>
      <c r="M4" s="13">
        <v>0</v>
      </c>
      <c r="N4" s="1"/>
      <c r="O4" s="1"/>
      <c r="P4" s="13">
        <v>121</v>
      </c>
      <c r="Q4" s="1">
        <v>2</v>
      </c>
      <c r="R4" s="1">
        <v>2</v>
      </c>
      <c r="S4" s="1"/>
      <c r="T4" s="1"/>
      <c r="U4" s="1">
        <v>6</v>
      </c>
      <c r="V4" s="40">
        <f t="shared" si="0"/>
        <v>1.7340038148083925E-4</v>
      </c>
      <c r="W4" s="40">
        <f t="shared" si="1"/>
        <v>1.7340038148083925E-4</v>
      </c>
      <c r="X4" s="40">
        <f t="shared" si="2"/>
        <v>5.2002080083203334E-4</v>
      </c>
      <c r="Y4" s="2">
        <f t="shared" si="3"/>
        <v>0.68075560802833535</v>
      </c>
      <c r="Z4" s="2">
        <f t="shared" si="4"/>
        <v>0.99982659961851916</v>
      </c>
      <c r="AA4" s="2">
        <f t="shared" si="5"/>
        <v>0.68063756474620807</v>
      </c>
      <c r="AB4" s="1"/>
    </row>
    <row r="5" spans="1:28" x14ac:dyDescent="0.25">
      <c r="A5" s="15" t="s">
        <v>680</v>
      </c>
      <c r="B5" s="10" t="s">
        <v>690</v>
      </c>
      <c r="C5" s="10" t="s">
        <v>691</v>
      </c>
      <c r="D5" s="10" t="str">
        <f>VLOOKUP(C5,Setup!A:F,3,)</f>
        <v>Air freshener ALPEN Blooming apple tree, 300 ml</v>
      </c>
      <c r="E5" s="10" t="str">
        <f>VLOOKUP(C5,Setup!A:F,4,)</f>
        <v>ALPEN</v>
      </c>
      <c r="F5" s="10" t="str">
        <f>VLOOKUP(C5,Setup!A:F,5,)</f>
        <v>AIR FRESHENERS</v>
      </c>
      <c r="G5" s="10" t="str">
        <f>VLOOKUP(C5,Setup!A:F,6,)</f>
        <v>Air fresheners waterbase</v>
      </c>
      <c r="H5" s="11" t="s">
        <v>692</v>
      </c>
      <c r="I5" s="36">
        <v>13176</v>
      </c>
      <c r="J5" s="12">
        <v>13164</v>
      </c>
      <c r="K5" s="13">
        <v>140</v>
      </c>
      <c r="L5" s="13">
        <v>15</v>
      </c>
      <c r="M5" s="13">
        <v>0</v>
      </c>
      <c r="N5" s="1"/>
      <c r="O5" s="1"/>
      <c r="P5" s="13">
        <v>133</v>
      </c>
      <c r="Q5" s="1">
        <v>4</v>
      </c>
      <c r="R5" s="1">
        <v>2</v>
      </c>
      <c r="S5" s="1"/>
      <c r="T5" s="1"/>
      <c r="U5" s="1">
        <v>6</v>
      </c>
      <c r="V5" s="40">
        <f t="shared" si="0"/>
        <v>3.0376670716889426E-4</v>
      </c>
      <c r="W5" s="40">
        <f t="shared" si="1"/>
        <v>1.5190642564180464E-4</v>
      </c>
      <c r="X5" s="40">
        <f t="shared" si="2"/>
        <v>4.5558086560364467E-4</v>
      </c>
      <c r="Y5" s="2">
        <f t="shared" si="3"/>
        <v>0.70698174006444681</v>
      </c>
      <c r="Z5" s="2">
        <f t="shared" si="4"/>
        <v>0.99984809357435822</v>
      </c>
      <c r="AA5" s="2">
        <f t="shared" si="5"/>
        <v>0.70687434499531965</v>
      </c>
      <c r="AB5" s="1"/>
    </row>
    <row r="6" spans="1:28" x14ac:dyDescent="0.25">
      <c r="A6" s="15" t="s">
        <v>680</v>
      </c>
      <c r="B6" s="10" t="s">
        <v>693</v>
      </c>
      <c r="C6" s="10" t="s">
        <v>694</v>
      </c>
      <c r="D6" s="10" t="str">
        <f>VLOOKUP(C6,Setup!A:F,3,)</f>
        <v>Air freshener ALPEN Sunny Orange, 300 ml</v>
      </c>
      <c r="E6" s="10" t="str">
        <f>VLOOKUP(C6,Setup!A:F,4,)</f>
        <v>ALPEN</v>
      </c>
      <c r="F6" s="10" t="str">
        <f>VLOOKUP(C6,Setup!A:F,5,)</f>
        <v>AIR FRESHENERS</v>
      </c>
      <c r="G6" s="10" t="str">
        <f>VLOOKUP(C6,Setup!A:F,6,)</f>
        <v>Air fresheners waterbase</v>
      </c>
      <c r="H6" s="11" t="s">
        <v>695</v>
      </c>
      <c r="I6" s="36">
        <v>9240</v>
      </c>
      <c r="J6" s="12">
        <v>9348</v>
      </c>
      <c r="K6" s="13">
        <v>140</v>
      </c>
      <c r="L6" s="13">
        <v>15</v>
      </c>
      <c r="M6" s="13">
        <v>0</v>
      </c>
      <c r="N6" s="1"/>
      <c r="O6" s="1"/>
      <c r="P6" s="13">
        <v>83</v>
      </c>
      <c r="Q6" s="1">
        <v>2</v>
      </c>
      <c r="R6" s="1">
        <v>1</v>
      </c>
      <c r="S6" s="1"/>
      <c r="T6" s="1"/>
      <c r="U6" s="1">
        <v>6</v>
      </c>
      <c r="V6" s="40">
        <f t="shared" si="0"/>
        <v>2.1390374331550801E-4</v>
      </c>
      <c r="W6" s="40">
        <f t="shared" si="1"/>
        <v>1.0696331158412665E-4</v>
      </c>
      <c r="X6" s="40">
        <f t="shared" si="2"/>
        <v>6.4143681847338033E-4</v>
      </c>
      <c r="Y6" s="2">
        <f t="shared" si="3"/>
        <v>0.80447504302925987</v>
      </c>
      <c r="Z6" s="2">
        <f t="shared" si="4"/>
        <v>0.99989303668841589</v>
      </c>
      <c r="AA6" s="2">
        <f t="shared" si="5"/>
        <v>0.80438899371457073</v>
      </c>
      <c r="AB6" s="1"/>
    </row>
    <row r="7" spans="1:28" x14ac:dyDescent="0.25">
      <c r="A7" s="15" t="s">
        <v>680</v>
      </c>
      <c r="B7" s="10" t="s">
        <v>696</v>
      </c>
      <c r="C7" s="10" t="s">
        <v>697</v>
      </c>
      <c r="D7" s="10" t="str">
        <f>VLOOKUP(C7,Setup!A:F,3,)</f>
        <v>Air freshener ALPEN Forest breeze, 300 ml</v>
      </c>
      <c r="E7" s="10" t="str">
        <f>VLOOKUP(C7,Setup!A:F,4,)</f>
        <v>ALPEN</v>
      </c>
      <c r="F7" s="10" t="str">
        <f>VLOOKUP(C7,Setup!A:F,5,)</f>
        <v>AIR FRESHENERS</v>
      </c>
      <c r="G7" s="10" t="str">
        <f>VLOOKUP(C7,Setup!A:F,6,)</f>
        <v>Air fresheners waterbase</v>
      </c>
      <c r="H7" s="11" t="s">
        <v>698</v>
      </c>
      <c r="I7" s="36">
        <v>12185</v>
      </c>
      <c r="J7" s="12">
        <v>12288</v>
      </c>
      <c r="K7" s="13">
        <v>140</v>
      </c>
      <c r="L7" s="13">
        <v>15</v>
      </c>
      <c r="M7" s="13">
        <v>0</v>
      </c>
      <c r="N7" s="1"/>
      <c r="O7" s="1"/>
      <c r="P7" s="13">
        <v>111</v>
      </c>
      <c r="Q7" s="1">
        <v>2</v>
      </c>
      <c r="R7" s="1">
        <v>1</v>
      </c>
      <c r="S7" s="1"/>
      <c r="T7" s="1"/>
      <c r="U7" s="1">
        <v>6</v>
      </c>
      <c r="V7" s="40">
        <f t="shared" si="0"/>
        <v>1.6273393002441008E-4</v>
      </c>
      <c r="W7" s="40">
        <f t="shared" si="1"/>
        <v>8.1373586133940925E-5</v>
      </c>
      <c r="X7" s="40">
        <f t="shared" si="2"/>
        <v>4.880429477794046E-4</v>
      </c>
      <c r="Y7" s="2">
        <f t="shared" si="3"/>
        <v>0.79073359073359073</v>
      </c>
      <c r="Z7" s="2">
        <f t="shared" si="4"/>
        <v>0.99991862641386609</v>
      </c>
      <c r="AA7" s="2">
        <f t="shared" si="5"/>
        <v>0.79066924590563614</v>
      </c>
      <c r="AB7" s="1"/>
    </row>
    <row r="8" spans="1:28" x14ac:dyDescent="0.25">
      <c r="A8" s="15" t="s">
        <v>680</v>
      </c>
      <c r="B8" s="10" t="s">
        <v>699</v>
      </c>
      <c r="C8" s="10" t="s">
        <v>700</v>
      </c>
      <c r="D8" s="10" t="str">
        <f>VLOOKUP(C8,Setup!A:F,3,)</f>
        <v>Air freshener ALPEN Flowers After the rain, 300 ml</v>
      </c>
      <c r="E8" s="10" t="str">
        <f>VLOOKUP(C8,Setup!A:F,4,)</f>
        <v>ALPEN</v>
      </c>
      <c r="F8" s="10" t="str">
        <f>VLOOKUP(C8,Setup!A:F,5,)</f>
        <v>AIR FRESHENERS</v>
      </c>
      <c r="G8" s="10" t="str">
        <f>VLOOKUP(C8,Setup!A:F,6,)</f>
        <v>Air fresheners waterbase</v>
      </c>
      <c r="H8" s="11" t="s">
        <v>701</v>
      </c>
      <c r="I8" s="36">
        <v>12012</v>
      </c>
      <c r="J8" s="12">
        <v>12000</v>
      </c>
      <c r="K8" s="13">
        <v>140</v>
      </c>
      <c r="L8" s="13">
        <v>15</v>
      </c>
      <c r="M8" s="13">
        <v>0</v>
      </c>
      <c r="N8" s="1"/>
      <c r="O8" s="1"/>
      <c r="P8" s="13">
        <v>96</v>
      </c>
      <c r="Q8" s="1">
        <v>3</v>
      </c>
      <c r="R8" s="1">
        <v>5</v>
      </c>
      <c r="S8" s="1"/>
      <c r="T8" s="1"/>
      <c r="U8" s="1">
        <v>6</v>
      </c>
      <c r="V8" s="40">
        <f t="shared" si="0"/>
        <v>2.4993751562109475E-4</v>
      </c>
      <c r="W8" s="40">
        <f t="shared" si="1"/>
        <v>4.1649312786339027E-4</v>
      </c>
      <c r="X8" s="40">
        <f t="shared" si="2"/>
        <v>4.9975012493753122E-4</v>
      </c>
      <c r="Y8" s="2">
        <f t="shared" si="3"/>
        <v>0.8928571428571429</v>
      </c>
      <c r="Z8" s="2">
        <f t="shared" si="4"/>
        <v>0.9995835068721366</v>
      </c>
      <c r="AA8" s="2">
        <f t="shared" si="5"/>
        <v>0.89248527399297917</v>
      </c>
      <c r="AB8" s="1"/>
    </row>
    <row r="9" spans="1:28" x14ac:dyDescent="0.25">
      <c r="A9" s="15" t="s">
        <v>680</v>
      </c>
      <c r="B9" s="10" t="s">
        <v>702</v>
      </c>
      <c r="C9" s="10" t="s">
        <v>703</v>
      </c>
      <c r="D9" s="10" t="str">
        <f>VLOOKUP(C9,Setup!A:F,3,)</f>
        <v>Air freshener ALPEN Citrus freshness, 300 ml</v>
      </c>
      <c r="E9" s="10" t="str">
        <f>VLOOKUP(C9,Setup!A:F,4,)</f>
        <v>ALPEN</v>
      </c>
      <c r="F9" s="10" t="str">
        <f>VLOOKUP(C9,Setup!A:F,5,)</f>
        <v>AIR FRESHENERS</v>
      </c>
      <c r="G9" s="10" t="str">
        <f>VLOOKUP(C9,Setup!A:F,6,)</f>
        <v>Air fresheners waterbase</v>
      </c>
      <c r="H9" s="11" t="s">
        <v>704</v>
      </c>
      <c r="I9" s="36">
        <v>9240</v>
      </c>
      <c r="J9" s="12">
        <f>6804+732+1752</f>
        <v>9288</v>
      </c>
      <c r="K9" s="13">
        <v>140</v>
      </c>
      <c r="L9" s="13">
        <v>15</v>
      </c>
      <c r="M9" s="13">
        <v>0</v>
      </c>
      <c r="N9" s="1"/>
      <c r="O9" s="1"/>
      <c r="P9" s="13">
        <f>80-10+15</f>
        <v>85</v>
      </c>
      <c r="Q9" s="1">
        <f>3</f>
        <v>3</v>
      </c>
      <c r="R9" s="1">
        <f>1</f>
        <v>1</v>
      </c>
      <c r="S9" s="1"/>
      <c r="T9" s="1"/>
      <c r="U9" s="1">
        <v>6</v>
      </c>
      <c r="V9" s="40">
        <f t="shared" si="0"/>
        <v>3.2289312237649337E-4</v>
      </c>
      <c r="W9" s="40">
        <f t="shared" si="1"/>
        <v>1.0765421466250404E-4</v>
      </c>
      <c r="X9" s="40">
        <f t="shared" si="2"/>
        <v>6.4557779212395089E-4</v>
      </c>
      <c r="Y9" s="2">
        <f t="shared" si="3"/>
        <v>0.78050420168067225</v>
      </c>
      <c r="Z9" s="2">
        <f t="shared" si="4"/>
        <v>0.99989234578533748</v>
      </c>
      <c r="AA9" s="2">
        <f t="shared" si="5"/>
        <v>0.78042017711379952</v>
      </c>
      <c r="AB9" s="1"/>
    </row>
    <row r="10" spans="1:28" x14ac:dyDescent="0.25">
      <c r="A10" s="15" t="s">
        <v>680</v>
      </c>
      <c r="B10" s="10" t="s">
        <v>705</v>
      </c>
      <c r="C10" s="10" t="s">
        <v>706</v>
      </c>
      <c r="D10" s="10" t="str">
        <f>VLOOKUP(C10,Setup!A:F,3,)</f>
        <v>Air freshener GREEN COLLECTION BY PROVENCE Invigorating Lime, 300 ml</v>
      </c>
      <c r="E10" s="10" t="str">
        <f>VLOOKUP(C10,Setup!A:F,4,)</f>
        <v>GREEN COLLECTION BY PROVENCE</v>
      </c>
      <c r="F10" s="10" t="str">
        <f>VLOOKUP(C10,Setup!A:F,5,)</f>
        <v>AIR FRESHENERS</v>
      </c>
      <c r="G10" s="10" t="str">
        <f>VLOOKUP(C10,Setup!A:F,6,)</f>
        <v>Air fresheners waterbase</v>
      </c>
      <c r="H10" s="11" t="s">
        <v>707</v>
      </c>
      <c r="I10" s="31">
        <v>1500</v>
      </c>
      <c r="J10" s="12">
        <v>1500</v>
      </c>
      <c r="K10" s="13">
        <v>140</v>
      </c>
      <c r="L10" s="13">
        <v>15</v>
      </c>
      <c r="M10" s="13">
        <v>0</v>
      </c>
      <c r="N10" s="1">
        <v>15</v>
      </c>
      <c r="O10" s="1" t="s">
        <v>4841</v>
      </c>
      <c r="P10" s="13">
        <v>50</v>
      </c>
      <c r="Q10" s="1"/>
      <c r="R10" s="1"/>
      <c r="S10" s="1"/>
      <c r="T10" s="1"/>
      <c r="U10" s="1">
        <v>4</v>
      </c>
      <c r="V10" s="40">
        <f t="shared" si="0"/>
        <v>0</v>
      </c>
      <c r="W10" s="40">
        <f t="shared" si="1"/>
        <v>0</v>
      </c>
      <c r="X10" s="40">
        <f t="shared" si="2"/>
        <v>2.6595744680851063E-3</v>
      </c>
      <c r="Y10" s="2">
        <f t="shared" si="3"/>
        <v>0.30612244897959184</v>
      </c>
      <c r="Z10" s="2">
        <f t="shared" si="4"/>
        <v>1</v>
      </c>
      <c r="AA10" s="2">
        <f t="shared" si="5"/>
        <v>0.30612244897959184</v>
      </c>
      <c r="AB10" s="1"/>
    </row>
    <row r="11" spans="1:28" x14ac:dyDescent="0.25">
      <c r="A11" s="15" t="s">
        <v>680</v>
      </c>
      <c r="B11" s="10" t="s">
        <v>708</v>
      </c>
      <c r="C11" s="10" t="s">
        <v>709</v>
      </c>
      <c r="D11" s="10" t="str">
        <f>VLOOKUP(C11,Setup!A:F,3,)</f>
        <v>Air freshener GREEN COLLECTION BY PROVENCE Invigorating Lime, 300 ml</v>
      </c>
      <c r="E11" s="10" t="str">
        <f>VLOOKUP(C11,Setup!A:F,4,)</f>
        <v>GREEN COLLECTION BY PROVENCE</v>
      </c>
      <c r="F11" s="10" t="str">
        <f>VLOOKUP(C11,Setup!A:F,5,)</f>
        <v>AIR FRESHENERS</v>
      </c>
      <c r="G11" s="10" t="str">
        <f>VLOOKUP(C11,Setup!A:F,6,)</f>
        <v>Air fresheners waterbase</v>
      </c>
      <c r="H11" s="11" t="s">
        <v>707</v>
      </c>
      <c r="I11" s="31">
        <v>829</v>
      </c>
      <c r="J11" s="12">
        <v>804</v>
      </c>
      <c r="K11" s="13">
        <v>140</v>
      </c>
      <c r="L11" s="13">
        <v>0</v>
      </c>
      <c r="M11" s="13">
        <v>0</v>
      </c>
      <c r="N11" s="1"/>
      <c r="O11" s="1"/>
      <c r="P11" s="13">
        <v>25</v>
      </c>
      <c r="Q11" s="1"/>
      <c r="R11" s="1"/>
      <c r="S11" s="1"/>
      <c r="T11" s="1"/>
      <c r="U11" s="1"/>
      <c r="V11" s="40">
        <f t="shared" si="0"/>
        <v>0</v>
      </c>
      <c r="W11" s="40">
        <f t="shared" si="1"/>
        <v>0</v>
      </c>
      <c r="X11" s="40">
        <f t="shared" si="2"/>
        <v>0</v>
      </c>
      <c r="Y11" s="2">
        <f t="shared" si="3"/>
        <v>0.2297142857142857</v>
      </c>
      <c r="Z11" s="2">
        <f t="shared" si="4"/>
        <v>1</v>
      </c>
      <c r="AA11" s="2">
        <f t="shared" si="5"/>
        <v>0.2297142857142857</v>
      </c>
      <c r="AB11" s="1"/>
    </row>
    <row r="12" spans="1:28" x14ac:dyDescent="0.25">
      <c r="A12" s="15" t="s">
        <v>680</v>
      </c>
      <c r="B12" s="10" t="s">
        <v>710</v>
      </c>
      <c r="C12" s="10" t="s">
        <v>711</v>
      </c>
      <c r="D12" s="10" t="str">
        <f>VLOOKUP(C12,Setup!A:F,3,)</f>
        <v>Air freshener GREEN COLLECTION BY PROVENCE Pomegranate Lemonade, 300 ml</v>
      </c>
      <c r="E12" s="10" t="str">
        <f>VLOOKUP(C12,Setup!A:F,4,)</f>
        <v>GREEN COLLECTION BY PROVENCE</v>
      </c>
      <c r="F12" s="10" t="str">
        <f>VLOOKUP(C12,Setup!A:F,5,)</f>
        <v>AIR FRESHENERS</v>
      </c>
      <c r="G12" s="10" t="str">
        <f>VLOOKUP(C12,Setup!A:F,6,)</f>
        <v>Air fresheners waterbase</v>
      </c>
      <c r="H12" s="11" t="s">
        <v>712</v>
      </c>
      <c r="I12" s="31">
        <v>1750</v>
      </c>
      <c r="J12" s="12">
        <v>1776</v>
      </c>
      <c r="K12" s="13">
        <v>140</v>
      </c>
      <c r="L12" s="13">
        <v>15</v>
      </c>
      <c r="M12" s="13">
        <v>0</v>
      </c>
      <c r="N12" s="1"/>
      <c r="O12" s="1"/>
      <c r="P12" s="13">
        <v>20</v>
      </c>
      <c r="Q12" s="1"/>
      <c r="R12" s="1"/>
      <c r="S12" s="1"/>
      <c r="T12" s="1"/>
      <c r="U12" s="1">
        <v>6</v>
      </c>
      <c r="V12" s="40">
        <f t="shared" si="0"/>
        <v>0</v>
      </c>
      <c r="W12" s="40">
        <f t="shared" si="1"/>
        <v>0</v>
      </c>
      <c r="X12" s="40">
        <f t="shared" si="2"/>
        <v>3.3670033670033669E-3</v>
      </c>
      <c r="Y12" s="2">
        <f t="shared" si="3"/>
        <v>0.63428571428571423</v>
      </c>
      <c r="Z12" s="2">
        <f t="shared" si="4"/>
        <v>1</v>
      </c>
      <c r="AA12" s="2">
        <f t="shared" si="5"/>
        <v>0.63428571428571423</v>
      </c>
      <c r="AB12" s="1"/>
    </row>
    <row r="13" spans="1:28" x14ac:dyDescent="0.25">
      <c r="A13" s="15" t="s">
        <v>680</v>
      </c>
      <c r="B13" s="10" t="s">
        <v>713</v>
      </c>
      <c r="C13" s="10" t="s">
        <v>714</v>
      </c>
      <c r="D13" s="10" t="str">
        <f>VLOOKUP(C13,Setup!A:F,3,)</f>
        <v>Air freshener GREEN COLLECTION BY PROVENCE Pomegranate Lemonade, 300 ml</v>
      </c>
      <c r="E13" s="10" t="str">
        <f>VLOOKUP(C13,Setup!A:F,4,)</f>
        <v>GREEN COLLECTION BY PROVENCE</v>
      </c>
      <c r="F13" s="10" t="str">
        <f>VLOOKUP(C13,Setup!A:F,5,)</f>
        <v>AIR FRESHENERS</v>
      </c>
      <c r="G13" s="10" t="str">
        <f>VLOOKUP(C13,Setup!A:F,6,)</f>
        <v>Air fresheners waterbase</v>
      </c>
      <c r="H13" s="11" t="s">
        <v>712</v>
      </c>
      <c r="I13" s="31">
        <v>2200</v>
      </c>
      <c r="J13" s="12">
        <v>2184</v>
      </c>
      <c r="K13" s="13">
        <v>140</v>
      </c>
      <c r="L13" s="13">
        <v>0</v>
      </c>
      <c r="M13" s="13">
        <v>0</v>
      </c>
      <c r="N13" s="1"/>
      <c r="O13" s="1"/>
      <c r="P13" s="13">
        <v>30</v>
      </c>
      <c r="Q13" s="1"/>
      <c r="R13" s="1"/>
      <c r="S13" s="1"/>
      <c r="T13" s="1"/>
      <c r="U13" s="1"/>
      <c r="V13" s="40">
        <f t="shared" si="0"/>
        <v>0</v>
      </c>
      <c r="W13" s="40">
        <f t="shared" si="1"/>
        <v>0</v>
      </c>
      <c r="X13" s="40">
        <f t="shared" si="2"/>
        <v>0</v>
      </c>
      <c r="Y13" s="2">
        <f t="shared" si="3"/>
        <v>0.52</v>
      </c>
      <c r="Z13" s="2">
        <f t="shared" si="4"/>
        <v>1</v>
      </c>
      <c r="AA13" s="2">
        <f t="shared" si="5"/>
        <v>0.52</v>
      </c>
      <c r="AB13" s="1"/>
    </row>
    <row r="14" spans="1:28" x14ac:dyDescent="0.25">
      <c r="A14" s="15" t="s">
        <v>680</v>
      </c>
      <c r="B14" s="10" t="s">
        <v>715</v>
      </c>
      <c r="C14" s="10" t="s">
        <v>716</v>
      </c>
      <c r="D14" s="10" t="str">
        <f>VLOOKUP(C14,Setup!A:F,3,)</f>
        <v>Air freshener GREEN COLLECTION BY PROVENCE Azure Alps, 300 ml</v>
      </c>
      <c r="E14" s="10" t="str">
        <f>VLOOKUP(C14,Setup!A:F,4,)</f>
        <v>GREEN COLLECTION BY PROVENCE</v>
      </c>
      <c r="F14" s="10" t="str">
        <f>VLOOKUP(C14,Setup!A:F,5,)</f>
        <v>AIR FRESHENERS</v>
      </c>
      <c r="G14" s="10" t="str">
        <f>VLOOKUP(C14,Setup!A:F,6,)</f>
        <v>Air fresheners waterbase</v>
      </c>
      <c r="H14" s="11" t="s">
        <v>717</v>
      </c>
      <c r="I14" s="31">
        <v>2500</v>
      </c>
      <c r="J14" s="12">
        <v>2220</v>
      </c>
      <c r="K14" s="13">
        <v>140</v>
      </c>
      <c r="L14" s="13">
        <v>15</v>
      </c>
      <c r="M14" s="13">
        <v>0</v>
      </c>
      <c r="N14" s="1"/>
      <c r="O14" s="1"/>
      <c r="P14" s="13">
        <v>30</v>
      </c>
      <c r="Q14" s="1">
        <v>3</v>
      </c>
      <c r="R14" s="1"/>
      <c r="S14" s="1"/>
      <c r="T14" s="1"/>
      <c r="U14" s="1">
        <v>4</v>
      </c>
      <c r="V14" s="40">
        <f t="shared" si="0"/>
        <v>1.3495276653171389E-3</v>
      </c>
      <c r="W14" s="40">
        <f t="shared" si="1"/>
        <v>0</v>
      </c>
      <c r="X14" s="40">
        <f t="shared" si="2"/>
        <v>1.7985611510791368E-3</v>
      </c>
      <c r="Y14" s="2">
        <f t="shared" si="3"/>
        <v>0.52857142857142858</v>
      </c>
      <c r="Z14" s="2">
        <f t="shared" si="4"/>
        <v>1</v>
      </c>
      <c r="AA14" s="2">
        <f t="shared" si="5"/>
        <v>0.52857142857142858</v>
      </c>
      <c r="AB14" s="1"/>
    </row>
    <row r="15" spans="1:28" x14ac:dyDescent="0.25">
      <c r="A15" s="15" t="s">
        <v>680</v>
      </c>
      <c r="B15" s="10" t="s">
        <v>718</v>
      </c>
      <c r="C15" s="10" t="s">
        <v>719</v>
      </c>
      <c r="D15" s="10" t="str">
        <f>VLOOKUP(C15,Setup!A:F,3,)</f>
        <v>Air freshener GREEN COLLECTION BY PROVENCE Crimean holidays, 300 ml, N</v>
      </c>
      <c r="E15" s="10" t="str">
        <f>VLOOKUP(C15,Setup!A:F,4,)</f>
        <v>GREEN COLLECTION BY PROVENCE</v>
      </c>
      <c r="F15" s="10" t="str">
        <f>VLOOKUP(C15,Setup!A:F,5,)</f>
        <v>AIR FRESHENERS</v>
      </c>
      <c r="G15" s="10" t="str">
        <f>VLOOKUP(C15,Setup!A:F,6,)</f>
        <v>Air fresheners waterbase</v>
      </c>
      <c r="H15" s="11" t="s">
        <v>720</v>
      </c>
      <c r="I15" s="31">
        <v>1685</v>
      </c>
      <c r="J15" s="12">
        <v>1692</v>
      </c>
      <c r="K15" s="13">
        <v>140</v>
      </c>
      <c r="L15" s="13">
        <v>15</v>
      </c>
      <c r="M15" s="13">
        <v>0</v>
      </c>
      <c r="N15" s="1"/>
      <c r="O15" s="1"/>
      <c r="P15" s="13">
        <v>40</v>
      </c>
      <c r="Q15" s="1">
        <v>3</v>
      </c>
      <c r="R15" s="1">
        <v>1</v>
      </c>
      <c r="S15" s="1"/>
      <c r="T15" s="1"/>
      <c r="U15" s="1">
        <v>4</v>
      </c>
      <c r="V15" s="40">
        <f t="shared" si="0"/>
        <v>1.7699115044247787E-3</v>
      </c>
      <c r="W15" s="40">
        <f t="shared" si="1"/>
        <v>5.9066745422327229E-4</v>
      </c>
      <c r="X15" s="40">
        <f t="shared" si="2"/>
        <v>2.3584905660377358E-3</v>
      </c>
      <c r="Y15" s="2">
        <f t="shared" si="3"/>
        <v>0.30214285714285716</v>
      </c>
      <c r="Z15" s="2">
        <f t="shared" si="4"/>
        <v>0.99940933254577669</v>
      </c>
      <c r="AA15" s="2">
        <f t="shared" si="5"/>
        <v>0.30196439119061685</v>
      </c>
      <c r="AB15" s="1"/>
    </row>
    <row r="16" spans="1:28" x14ac:dyDescent="0.25">
      <c r="A16" s="15" t="s">
        <v>680</v>
      </c>
      <c r="B16" s="10" t="s">
        <v>721</v>
      </c>
      <c r="C16" s="10" t="s">
        <v>722</v>
      </c>
      <c r="D16" s="10" t="str">
        <f>VLOOKUP(C16,Setup!A:F,3,)</f>
        <v xml:space="preserve">Air freshener GREEN COLLECTION BY PROVENCE Blooming Provence, 300 ml, Gatter group </v>
      </c>
      <c r="E16" s="10" t="str">
        <f>VLOOKUP(C16,Setup!A:F,4,)</f>
        <v>GREEN COLLECTION BY PROVENCE</v>
      </c>
      <c r="F16" s="10" t="str">
        <f>VLOOKUP(C16,Setup!A:F,5,)</f>
        <v>AIR FRESHENERS</v>
      </c>
      <c r="G16" s="10" t="str">
        <f>VLOOKUP(C16,Setup!A:F,6,)</f>
        <v>Air fresheners waterbase</v>
      </c>
      <c r="H16" s="11" t="s">
        <v>723</v>
      </c>
      <c r="I16" s="31">
        <v>1800</v>
      </c>
      <c r="J16" s="12">
        <v>1800</v>
      </c>
      <c r="K16" s="13">
        <v>140</v>
      </c>
      <c r="L16" s="13">
        <v>15</v>
      </c>
      <c r="M16" s="13">
        <v>0</v>
      </c>
      <c r="N16" s="1"/>
      <c r="O16" s="1"/>
      <c r="P16" s="13">
        <v>20</v>
      </c>
      <c r="Q16" s="1"/>
      <c r="R16" s="1">
        <v>1</v>
      </c>
      <c r="S16" s="1"/>
      <c r="T16" s="1"/>
      <c r="U16" s="1">
        <v>6</v>
      </c>
      <c r="V16" s="40">
        <f t="shared" si="0"/>
        <v>0</v>
      </c>
      <c r="W16" s="40">
        <f t="shared" si="1"/>
        <v>5.5524708495280405E-4</v>
      </c>
      <c r="X16" s="40">
        <f t="shared" si="2"/>
        <v>3.3222591362126247E-3</v>
      </c>
      <c r="Y16" s="2">
        <f t="shared" si="3"/>
        <v>0.6428571428571429</v>
      </c>
      <c r="Z16" s="2">
        <f t="shared" si="4"/>
        <v>0.9994447529150472</v>
      </c>
      <c r="AA16" s="2">
        <f t="shared" si="5"/>
        <v>0.64250019830253036</v>
      </c>
      <c r="AB16" s="1"/>
    </row>
    <row r="17" spans="1:28" x14ac:dyDescent="0.25">
      <c r="A17" s="15" t="s">
        <v>680</v>
      </c>
      <c r="B17" s="10" t="s">
        <v>724</v>
      </c>
      <c r="C17" s="10" t="s">
        <v>725</v>
      </c>
      <c r="D17" s="10" t="str">
        <f>VLOOKUP(C17,Setup!A:F,3,)</f>
        <v>Air freshener GREEN COLLECTION BY PROVENCE Blooming Provence, 300 ml</v>
      </c>
      <c r="E17" s="10" t="str">
        <f>VLOOKUP(C17,Setup!A:F,4,)</f>
        <v>GREEN COLLECTION BY PROVENCE</v>
      </c>
      <c r="F17" s="10" t="str">
        <f>VLOOKUP(C17,Setup!A:F,5,)</f>
        <v>AIR FRESHENERS</v>
      </c>
      <c r="G17" s="10" t="str">
        <f>VLOOKUP(C17,Setup!A:F,6,)</f>
        <v>Air fresheners waterbase</v>
      </c>
      <c r="H17" s="11" t="s">
        <v>723</v>
      </c>
      <c r="I17" s="31">
        <v>2100</v>
      </c>
      <c r="J17" s="12">
        <v>2112</v>
      </c>
      <c r="K17" s="13">
        <v>140</v>
      </c>
      <c r="L17" s="13">
        <v>0</v>
      </c>
      <c r="M17" s="13">
        <v>0</v>
      </c>
      <c r="N17" s="1"/>
      <c r="O17" s="1"/>
      <c r="P17" s="13">
        <v>30</v>
      </c>
      <c r="Q17" s="1"/>
      <c r="R17" s="1"/>
      <c r="S17" s="1"/>
      <c r="T17" s="1"/>
      <c r="U17" s="1"/>
      <c r="V17" s="40">
        <f t="shared" si="0"/>
        <v>0</v>
      </c>
      <c r="W17" s="40">
        <f t="shared" si="1"/>
        <v>0</v>
      </c>
      <c r="X17" s="40">
        <f t="shared" si="2"/>
        <v>0</v>
      </c>
      <c r="Y17" s="2">
        <f t="shared" si="3"/>
        <v>0.50285714285714289</v>
      </c>
      <c r="Z17" s="2">
        <f t="shared" si="4"/>
        <v>1</v>
      </c>
      <c r="AA17" s="2">
        <f t="shared" si="5"/>
        <v>0.50285714285714289</v>
      </c>
      <c r="AB17" s="1"/>
    </row>
    <row r="18" spans="1:28" x14ac:dyDescent="0.25">
      <c r="A18" s="15" t="s">
        <v>680</v>
      </c>
      <c r="B18" s="10" t="s">
        <v>726</v>
      </c>
      <c r="C18" s="10" t="s">
        <v>727</v>
      </c>
      <c r="D18" s="10" t="str">
        <f>VLOOKUP(C18,Setup!A:F,3,)</f>
        <v>Air freshener GREEN COLLECTION BY PROVENCE Maritime Riviera, 300 ml</v>
      </c>
      <c r="E18" s="10" t="str">
        <f>VLOOKUP(C18,Setup!A:F,4,)</f>
        <v>GREEN COLLECTION BY PROVENCE</v>
      </c>
      <c r="F18" s="10" t="str">
        <f>VLOOKUP(C18,Setup!A:F,5,)</f>
        <v>AIR FRESHENERS</v>
      </c>
      <c r="G18" s="10" t="str">
        <f>VLOOKUP(C18,Setup!A:F,6,)</f>
        <v>Air fresheners waterbase</v>
      </c>
      <c r="H18" s="11" t="s">
        <v>728</v>
      </c>
      <c r="I18" s="31">
        <v>5500</v>
      </c>
      <c r="J18" s="12">
        <v>5940</v>
      </c>
      <c r="K18" s="13">
        <v>140</v>
      </c>
      <c r="L18" s="13">
        <v>15</v>
      </c>
      <c r="M18" s="13">
        <v>0</v>
      </c>
      <c r="N18" s="1"/>
      <c r="O18" s="1"/>
      <c r="P18" s="13">
        <v>50</v>
      </c>
      <c r="Q18" s="1">
        <v>2</v>
      </c>
      <c r="R18" s="1">
        <v>8</v>
      </c>
      <c r="S18" s="1"/>
      <c r="T18" s="1"/>
      <c r="U18" s="1">
        <v>6</v>
      </c>
      <c r="V18" s="40">
        <f t="shared" si="0"/>
        <v>3.3658700774150119E-4</v>
      </c>
      <c r="W18" s="40">
        <f t="shared" si="1"/>
        <v>1.3449899125756557E-3</v>
      </c>
      <c r="X18" s="40">
        <f t="shared" si="2"/>
        <v>1.0090817356205853E-3</v>
      </c>
      <c r="Y18" s="2">
        <f t="shared" si="3"/>
        <v>0.84857142857142853</v>
      </c>
      <c r="Z18" s="2">
        <f t="shared" si="4"/>
        <v>0.9986550100874243</v>
      </c>
      <c r="AA18" s="2">
        <f t="shared" si="5"/>
        <v>0.84743010855989997</v>
      </c>
      <c r="AB18" s="1"/>
    </row>
    <row r="19" spans="1:28" x14ac:dyDescent="0.25">
      <c r="A19" s="15" t="s">
        <v>680</v>
      </c>
      <c r="B19" s="10" t="s">
        <v>729</v>
      </c>
      <c r="C19" s="10" t="s">
        <v>730</v>
      </c>
      <c r="D19" s="10" t="str">
        <f>VLOOKUP(C19,Setup!A:F,3,)</f>
        <v xml:space="preserve">Air freshener GREEN COLLECTION BY PROVENCE Maritime Riviera, 300 ml, Gatter group </v>
      </c>
      <c r="E19" s="10" t="str">
        <f>VLOOKUP(C19,Setup!A:F,4,)</f>
        <v>GREEN COLLECTION BY PROVENCE</v>
      </c>
      <c r="F19" s="10" t="str">
        <f>VLOOKUP(C19,Setup!A:F,5,)</f>
        <v>AIR FRESHENERS</v>
      </c>
      <c r="G19" s="10" t="str">
        <f>VLOOKUP(C19,Setup!A:F,6,)</f>
        <v>Air fresheners waterbase</v>
      </c>
      <c r="H19" s="11" t="s">
        <v>728</v>
      </c>
      <c r="I19" s="31">
        <v>13600</v>
      </c>
      <c r="J19" s="12">
        <v>13608</v>
      </c>
      <c r="K19" s="13">
        <v>140</v>
      </c>
      <c r="L19" s="13">
        <v>0</v>
      </c>
      <c r="M19" s="13">
        <v>0</v>
      </c>
      <c r="N19" s="1"/>
      <c r="O19" s="1"/>
      <c r="P19" s="13">
        <v>130</v>
      </c>
      <c r="Q19" s="1"/>
      <c r="R19" s="1"/>
      <c r="S19" s="1"/>
      <c r="T19" s="1"/>
      <c r="U19" s="1"/>
      <c r="V19" s="40">
        <f t="shared" si="0"/>
        <v>0</v>
      </c>
      <c r="W19" s="40">
        <f t="shared" si="1"/>
        <v>0</v>
      </c>
      <c r="X19" s="40">
        <f t="shared" si="2"/>
        <v>0</v>
      </c>
      <c r="Y19" s="2">
        <f t="shared" si="3"/>
        <v>0.74769230769230766</v>
      </c>
      <c r="Z19" s="2">
        <f t="shared" si="4"/>
        <v>1</v>
      </c>
      <c r="AA19" s="2">
        <f t="shared" si="5"/>
        <v>0.74769230769230766</v>
      </c>
      <c r="AB19" s="1"/>
    </row>
    <row r="20" spans="1:28" x14ac:dyDescent="0.25">
      <c r="A20" s="15" t="s">
        <v>680</v>
      </c>
      <c r="B20" s="10" t="s">
        <v>731</v>
      </c>
      <c r="C20" s="10" t="s">
        <v>732</v>
      </c>
      <c r="D20" s="10" t="str">
        <f>VLOOKUP(C20,Setup!A:F,3,)</f>
        <v xml:space="preserve">Air freshener GREEN COLLECTION BY PROVENCE Fruit dessert, 300 ml, Gatter group </v>
      </c>
      <c r="E20" s="10" t="str">
        <f>VLOOKUP(C20,Setup!A:F,4,)</f>
        <v>GREEN COLLECTION BY PROVENCE</v>
      </c>
      <c r="F20" s="10" t="str">
        <f>VLOOKUP(C20,Setup!A:F,5,)</f>
        <v>AIR FRESHENERS</v>
      </c>
      <c r="G20" s="10" t="str">
        <f>VLOOKUP(C20,Setup!A:F,6,)</f>
        <v>Air fresheners waterbase</v>
      </c>
      <c r="H20" s="11" t="s">
        <v>733</v>
      </c>
      <c r="I20" s="36">
        <v>9031</v>
      </c>
      <c r="J20" s="12">
        <v>9024</v>
      </c>
      <c r="K20" s="13">
        <v>140</v>
      </c>
      <c r="L20" s="13">
        <v>15</v>
      </c>
      <c r="M20" s="13">
        <v>0</v>
      </c>
      <c r="N20" s="1"/>
      <c r="O20" s="1"/>
      <c r="P20" s="13">
        <v>75</v>
      </c>
      <c r="Q20" s="1">
        <v>1</v>
      </c>
      <c r="R20" s="1"/>
      <c r="S20" s="1"/>
      <c r="T20" s="1"/>
      <c r="U20" s="1">
        <v>6</v>
      </c>
      <c r="V20" s="40">
        <f t="shared" si="0"/>
        <v>1.1080332409972299E-4</v>
      </c>
      <c r="W20" s="40">
        <f t="shared" si="1"/>
        <v>0</v>
      </c>
      <c r="X20" s="40">
        <f t="shared" si="2"/>
        <v>6.6445182724252495E-4</v>
      </c>
      <c r="Y20" s="2">
        <f t="shared" si="3"/>
        <v>0.85942857142857143</v>
      </c>
      <c r="Z20" s="2">
        <f t="shared" si="4"/>
        <v>1</v>
      </c>
      <c r="AA20" s="2">
        <f t="shared" si="5"/>
        <v>0.85942857142857143</v>
      </c>
      <c r="AB20" s="1"/>
    </row>
    <row r="21" spans="1:28" x14ac:dyDescent="0.25">
      <c r="A21" s="15" t="s">
        <v>680</v>
      </c>
      <c r="B21" s="10" t="s">
        <v>734</v>
      </c>
      <c r="C21" s="10" t="s">
        <v>735</v>
      </c>
      <c r="D21" s="10" t="str">
        <f>VLOOKUP(C21,Setup!A:F,3,)</f>
        <v xml:space="preserve">Air freshener GREEN COLLECTION BY PROVENCE Berry Delight, 300 ml, N, Gatter group </v>
      </c>
      <c r="E21" s="10" t="str">
        <f>VLOOKUP(C21,Setup!A:F,4,)</f>
        <v>GREEN COLLECTION BY PROVENCE</v>
      </c>
      <c r="F21" s="10" t="str">
        <f>VLOOKUP(C21,Setup!A:F,5,)</f>
        <v>AIR FRESHENERS</v>
      </c>
      <c r="G21" s="10" t="str">
        <f>VLOOKUP(C21,Setup!A:F,6,)</f>
        <v>Air fresheners waterbase</v>
      </c>
      <c r="H21" s="11" t="s">
        <v>736</v>
      </c>
      <c r="I21" s="31">
        <v>7800</v>
      </c>
      <c r="J21" s="12">
        <v>7800</v>
      </c>
      <c r="K21" s="13">
        <v>140</v>
      </c>
      <c r="L21" s="13">
        <v>15</v>
      </c>
      <c r="M21" s="13">
        <v>0</v>
      </c>
      <c r="N21" s="1"/>
      <c r="O21" s="1"/>
      <c r="P21" s="13">
        <v>95</v>
      </c>
      <c r="Q21" s="1">
        <v>1</v>
      </c>
      <c r="R21" s="1">
        <v>5</v>
      </c>
      <c r="S21" s="1"/>
      <c r="T21" s="1"/>
      <c r="U21" s="1">
        <v>6</v>
      </c>
      <c r="V21" s="40">
        <f t="shared" si="0"/>
        <v>1.2818869375721061E-4</v>
      </c>
      <c r="W21" s="40">
        <f t="shared" si="1"/>
        <v>6.406149903907751E-4</v>
      </c>
      <c r="X21" s="40">
        <f t="shared" si="2"/>
        <v>7.6863950807071484E-4</v>
      </c>
      <c r="Y21" s="2">
        <f t="shared" si="3"/>
        <v>0.5864661654135338</v>
      </c>
      <c r="Z21" s="2">
        <f t="shared" si="4"/>
        <v>0.99935938500960919</v>
      </c>
      <c r="AA21" s="2">
        <f t="shared" si="5"/>
        <v>0.58609046639661289</v>
      </c>
      <c r="AB21" s="1"/>
    </row>
    <row r="22" spans="1:28" x14ac:dyDescent="0.25">
      <c r="A22" s="15" t="s">
        <v>680</v>
      </c>
      <c r="B22" s="10" t="s">
        <v>737</v>
      </c>
      <c r="C22" s="10" t="s">
        <v>738</v>
      </c>
      <c r="D22" s="10" t="str">
        <f>VLOOKUP(C22,Setup!A:F,3,)</f>
        <v>Air freshener GREEN COLLECTION BY PROVENCE Berry Delight, 300 ml, N</v>
      </c>
      <c r="E22" s="10" t="str">
        <f>VLOOKUP(C22,Setup!A:F,4,)</f>
        <v>GREEN COLLECTION BY PROVENCE</v>
      </c>
      <c r="F22" s="10" t="str">
        <f>VLOOKUP(C22,Setup!A:F,5,)</f>
        <v>AIR FRESHENERS</v>
      </c>
      <c r="G22" s="10" t="str">
        <f>VLOOKUP(C22,Setup!A:F,6,)</f>
        <v>Air fresheners waterbase</v>
      </c>
      <c r="H22" s="11" t="s">
        <v>736</v>
      </c>
      <c r="I22" s="31">
        <v>3000</v>
      </c>
      <c r="J22" s="12">
        <v>3168</v>
      </c>
      <c r="K22" s="13">
        <v>140</v>
      </c>
      <c r="L22" s="13">
        <v>0</v>
      </c>
      <c r="M22" s="13">
        <v>0</v>
      </c>
      <c r="N22" s="1"/>
      <c r="O22" s="1"/>
      <c r="P22" s="13">
        <v>40</v>
      </c>
      <c r="Q22" s="1"/>
      <c r="R22" s="1"/>
      <c r="S22" s="1"/>
      <c r="T22" s="1"/>
      <c r="U22" s="1"/>
      <c r="V22" s="40">
        <f t="shared" si="0"/>
        <v>0</v>
      </c>
      <c r="W22" s="40">
        <f t="shared" si="1"/>
        <v>0</v>
      </c>
      <c r="X22" s="40">
        <f t="shared" si="2"/>
        <v>0</v>
      </c>
      <c r="Y22" s="2">
        <f t="shared" si="3"/>
        <v>0.56571428571428573</v>
      </c>
      <c r="Z22" s="2">
        <f t="shared" si="4"/>
        <v>1</v>
      </c>
      <c r="AA22" s="2">
        <f t="shared" si="5"/>
        <v>0.56571428571428573</v>
      </c>
      <c r="AB22" s="1"/>
    </row>
    <row r="23" spans="1:28" x14ac:dyDescent="0.25">
      <c r="A23" s="15" t="s">
        <v>680</v>
      </c>
      <c r="B23" s="10" t="s">
        <v>739</v>
      </c>
      <c r="C23" s="10" t="s">
        <v>740</v>
      </c>
      <c r="D23" s="10" t="str">
        <f>VLOOKUP(C23,Setup!A:F,3,)</f>
        <v>Air freshener VERTI Air Pure Lilac day, 350 ml</v>
      </c>
      <c r="E23" s="10" t="str">
        <f>VLOOKUP(C23,Setup!A:F,4,)</f>
        <v>VERTI</v>
      </c>
      <c r="F23" s="10" t="str">
        <f>VLOOKUP(C23,Setup!A:F,5,)</f>
        <v>AIR FRESHENERS</v>
      </c>
      <c r="G23" s="10" t="str">
        <f>VLOOKUP(C23,Setup!A:F,6,)</f>
        <v>Air fresheners waterbase</v>
      </c>
      <c r="H23" s="11" t="s">
        <v>741</v>
      </c>
      <c r="I23" s="36">
        <v>10980</v>
      </c>
      <c r="J23" s="12">
        <f>4164+1224+5520</f>
        <v>10908</v>
      </c>
      <c r="K23" s="13">
        <v>140</v>
      </c>
      <c r="L23" s="13">
        <v>30</v>
      </c>
      <c r="M23" s="13">
        <v>17</v>
      </c>
      <c r="N23" s="1"/>
      <c r="O23" s="1"/>
      <c r="P23" s="13">
        <f>105-10+65</f>
        <v>160</v>
      </c>
      <c r="Q23" s="1">
        <f>3+1</f>
        <v>4</v>
      </c>
      <c r="R23" s="1">
        <f>3+31</f>
        <v>34</v>
      </c>
      <c r="S23" s="1"/>
      <c r="T23" s="1"/>
      <c r="U23" s="1">
        <v>6</v>
      </c>
      <c r="V23" s="40">
        <f t="shared" si="0"/>
        <v>3.6656891495601173E-4</v>
      </c>
      <c r="W23" s="40">
        <f t="shared" si="1"/>
        <v>3.107292999451654E-3</v>
      </c>
      <c r="X23" s="40">
        <f t="shared" si="2"/>
        <v>5.4975261132490382E-4</v>
      </c>
      <c r="Y23" s="2">
        <f t="shared" si="3"/>
        <v>0.54485514485514486</v>
      </c>
      <c r="Z23" s="2">
        <f t="shared" si="4"/>
        <v>0.99689270700054833</v>
      </c>
      <c r="AA23" s="2">
        <f t="shared" si="5"/>
        <v>0.54316212027782129</v>
      </c>
      <c r="AB23" s="1"/>
    </row>
    <row r="24" spans="1:28" x14ac:dyDescent="0.25">
      <c r="A24" s="15" t="s">
        <v>680</v>
      </c>
      <c r="B24" s="10" t="s">
        <v>742</v>
      </c>
      <c r="C24" s="10" t="s">
        <v>743</v>
      </c>
      <c r="D24" s="10" t="str">
        <f>VLOOKUP(C24,Setup!A:F,3,)</f>
        <v>Air freshener VERTI Air Pure White peony, 350 ml</v>
      </c>
      <c r="E24" s="10" t="str">
        <f>VLOOKUP(C24,Setup!A:F,4,)</f>
        <v>VERTI</v>
      </c>
      <c r="F24" s="10" t="str">
        <f>VLOOKUP(C24,Setup!A:F,5,)</f>
        <v>AIR FRESHENERS</v>
      </c>
      <c r="G24" s="10" t="str">
        <f>VLOOKUP(C24,Setup!A:F,6,)</f>
        <v>Air fresheners waterbase</v>
      </c>
      <c r="H24" s="11" t="s">
        <v>744</v>
      </c>
      <c r="I24" s="36">
        <v>10980</v>
      </c>
      <c r="J24" s="12">
        <v>11172</v>
      </c>
      <c r="K24" s="13">
        <v>140</v>
      </c>
      <c r="L24" s="13">
        <v>15</v>
      </c>
      <c r="M24" s="13">
        <v>0</v>
      </c>
      <c r="N24" s="1"/>
      <c r="O24" s="1"/>
      <c r="P24" s="13">
        <v>140</v>
      </c>
      <c r="Q24" s="1">
        <v>3</v>
      </c>
      <c r="R24" s="1">
        <v>22</v>
      </c>
      <c r="S24" s="1"/>
      <c r="T24" s="1"/>
      <c r="U24" s="1">
        <v>6</v>
      </c>
      <c r="V24" s="40">
        <f t="shared" si="0"/>
        <v>2.6845637583892615E-4</v>
      </c>
      <c r="W24" s="40">
        <f t="shared" si="1"/>
        <v>1.9653385742361982E-3</v>
      </c>
      <c r="X24" s="40">
        <f t="shared" si="2"/>
        <v>5.3676865271068169E-4</v>
      </c>
      <c r="Y24" s="2">
        <f t="shared" si="3"/>
        <v>0.56999999999999995</v>
      </c>
      <c r="Z24" s="2">
        <f t="shared" si="4"/>
        <v>0.9980346614257638</v>
      </c>
      <c r="AA24" s="2">
        <f t="shared" si="5"/>
        <v>0.56887975701268534</v>
      </c>
      <c r="AB24" s="1"/>
    </row>
    <row r="25" spans="1:28" x14ac:dyDescent="0.25">
      <c r="A25" s="15" t="s">
        <v>680</v>
      </c>
      <c r="B25" s="10" t="s">
        <v>745</v>
      </c>
      <c r="C25" s="10" t="s">
        <v>746</v>
      </c>
      <c r="D25" s="10" t="str">
        <f>VLOOKUP(C25,Setup!A:F,3,)</f>
        <v>Air freshener VERTI Air Pure Ocean Breeze, 350 ml</v>
      </c>
      <c r="E25" s="10" t="str">
        <f>VLOOKUP(C25,Setup!A:F,4,)</f>
        <v>VERTI</v>
      </c>
      <c r="F25" s="10" t="str">
        <f>VLOOKUP(C25,Setup!A:F,5,)</f>
        <v>AIR FRESHENERS</v>
      </c>
      <c r="G25" s="10" t="str">
        <f>VLOOKUP(C25,Setup!A:F,6,)</f>
        <v>Air fresheners waterbase</v>
      </c>
      <c r="H25" s="11" t="s">
        <v>747</v>
      </c>
      <c r="I25" s="36">
        <v>10980</v>
      </c>
      <c r="J25" s="12">
        <v>11172</v>
      </c>
      <c r="K25" s="13">
        <v>140</v>
      </c>
      <c r="L25" s="13">
        <v>15</v>
      </c>
      <c r="M25" s="13">
        <v>0</v>
      </c>
      <c r="N25" s="1"/>
      <c r="O25" s="1"/>
      <c r="P25" s="13">
        <v>120</v>
      </c>
      <c r="Q25" s="1">
        <v>1</v>
      </c>
      <c r="R25" s="1">
        <v>5</v>
      </c>
      <c r="S25" s="1"/>
      <c r="T25" s="1"/>
      <c r="U25" s="1">
        <v>6</v>
      </c>
      <c r="V25" s="40">
        <f t="shared" si="0"/>
        <v>8.9501476774366781E-5</v>
      </c>
      <c r="W25" s="40">
        <f t="shared" si="1"/>
        <v>4.4734723092064059E-4</v>
      </c>
      <c r="X25" s="40">
        <f t="shared" si="2"/>
        <v>5.3676865271068169E-4</v>
      </c>
      <c r="Y25" s="2">
        <f t="shared" si="3"/>
        <v>0.66500000000000004</v>
      </c>
      <c r="Z25" s="2">
        <f t="shared" si="4"/>
        <v>0.99955265276907934</v>
      </c>
      <c r="AA25" s="2">
        <f t="shared" si="5"/>
        <v>0.66470251409143777</v>
      </c>
      <c r="AB25" s="1"/>
    </row>
    <row r="26" spans="1:28" x14ac:dyDescent="0.25">
      <c r="A26" s="15" t="s">
        <v>680</v>
      </c>
      <c r="B26" s="10" t="s">
        <v>748</v>
      </c>
      <c r="C26" s="10" t="s">
        <v>749</v>
      </c>
      <c r="D26" s="10" t="str">
        <f>VLOOKUP(C26,Setup!A:F,3,)</f>
        <v>Air freshener VERTI Air Pure After the rain, 350 ml</v>
      </c>
      <c r="E26" s="10" t="str">
        <f>VLOOKUP(C26,Setup!A:F,4,)</f>
        <v>VERTI</v>
      </c>
      <c r="F26" s="10" t="str">
        <f>VLOOKUP(C26,Setup!A:F,5,)</f>
        <v>AIR FRESHENERS</v>
      </c>
      <c r="G26" s="10" t="str">
        <f>VLOOKUP(C26,Setup!A:F,6,)</f>
        <v>Air fresheners waterbase</v>
      </c>
      <c r="H26" s="11" t="s">
        <v>750</v>
      </c>
      <c r="I26" s="36">
        <v>10980</v>
      </c>
      <c r="J26" s="12">
        <v>10968</v>
      </c>
      <c r="K26" s="13">
        <v>140</v>
      </c>
      <c r="L26" s="13">
        <v>15</v>
      </c>
      <c r="M26" s="13">
        <v>0</v>
      </c>
      <c r="N26" s="1"/>
      <c r="O26" s="1"/>
      <c r="P26" s="13">
        <v>100</v>
      </c>
      <c r="Q26" s="1">
        <v>2</v>
      </c>
      <c r="R26" s="1">
        <v>4</v>
      </c>
      <c r="S26" s="1"/>
      <c r="T26" s="1"/>
      <c r="U26" s="1">
        <v>6</v>
      </c>
      <c r="V26" s="40">
        <f t="shared" si="0"/>
        <v>1.8231540565177758E-4</v>
      </c>
      <c r="W26" s="40">
        <f t="shared" si="1"/>
        <v>3.6456434560699962E-4</v>
      </c>
      <c r="X26" s="40">
        <f t="shared" si="2"/>
        <v>5.4674685620557679E-4</v>
      </c>
      <c r="Y26" s="2">
        <f t="shared" si="3"/>
        <v>0.78342857142857147</v>
      </c>
      <c r="Z26" s="2">
        <f t="shared" si="4"/>
        <v>0.99963543565439295</v>
      </c>
      <c r="AA26" s="2">
        <f t="shared" si="5"/>
        <v>0.78314296130409877</v>
      </c>
      <c r="AB26" s="1"/>
    </row>
    <row r="27" spans="1:28" x14ac:dyDescent="0.25">
      <c r="A27" s="15" t="s">
        <v>680</v>
      </c>
      <c r="B27" s="10" t="s">
        <v>751</v>
      </c>
      <c r="C27" s="10" t="s">
        <v>752</v>
      </c>
      <c r="D27" s="10" t="str">
        <f>VLOOKUP(C27,Setup!A:F,3,)</f>
        <v>Air freshener VERTI Air Pure Freshness of linen, 350 ml</v>
      </c>
      <c r="E27" s="10" t="str">
        <f>VLOOKUP(C27,Setup!A:F,4,)</f>
        <v>VERTI</v>
      </c>
      <c r="F27" s="10" t="str">
        <f>VLOOKUP(C27,Setup!A:F,5,)</f>
        <v>AIR FRESHENERS</v>
      </c>
      <c r="G27" s="10" t="str">
        <f>VLOOKUP(C27,Setup!A:F,6,)</f>
        <v>Air fresheners waterbase</v>
      </c>
      <c r="H27" s="11" t="s">
        <v>753</v>
      </c>
      <c r="I27" s="36">
        <v>10980</v>
      </c>
      <c r="J27" s="12">
        <v>10980</v>
      </c>
      <c r="K27" s="13">
        <v>140</v>
      </c>
      <c r="L27" s="13">
        <v>15</v>
      </c>
      <c r="M27" s="13">
        <v>0</v>
      </c>
      <c r="N27" s="1"/>
      <c r="O27" s="1"/>
      <c r="P27" s="13">
        <v>110</v>
      </c>
      <c r="Q27" s="1">
        <v>2</v>
      </c>
      <c r="R27" s="1">
        <v>1</v>
      </c>
      <c r="S27" s="1"/>
      <c r="T27" s="1"/>
      <c r="U27" s="1">
        <v>6</v>
      </c>
      <c r="V27" s="40">
        <f t="shared" si="0"/>
        <v>1.8211619012930248E-4</v>
      </c>
      <c r="W27" s="40">
        <f t="shared" si="1"/>
        <v>9.1066387396411986E-5</v>
      </c>
      <c r="X27" s="40">
        <f t="shared" si="2"/>
        <v>5.461496450027307E-4</v>
      </c>
      <c r="Y27" s="2">
        <f t="shared" si="3"/>
        <v>0.71298701298701295</v>
      </c>
      <c r="Z27" s="2">
        <f t="shared" si="4"/>
        <v>0.99990893361260358</v>
      </c>
      <c r="AA27" s="2">
        <f t="shared" si="5"/>
        <v>0.71292208383547961</v>
      </c>
      <c r="AB27" s="1"/>
    </row>
    <row r="28" spans="1:28" x14ac:dyDescent="0.25">
      <c r="A28" s="15" t="s">
        <v>680</v>
      </c>
      <c r="B28" s="10" t="s">
        <v>754</v>
      </c>
      <c r="C28" s="10" t="s">
        <v>755</v>
      </c>
      <c r="D28" s="10" t="str">
        <f>VLOOKUP(C28,Setup!A:F,3,)</f>
        <v>Air freshener VERTI Air Pure Anti-tobacco Mojito, 350 ml</v>
      </c>
      <c r="E28" s="10" t="str">
        <f>VLOOKUP(C28,Setup!A:F,4,)</f>
        <v>VERTI</v>
      </c>
      <c r="F28" s="10" t="str">
        <f>VLOOKUP(C28,Setup!A:F,5,)</f>
        <v>AIR FRESHENERS</v>
      </c>
      <c r="G28" s="10" t="str">
        <f>VLOOKUP(C28,Setup!A:F,6,)</f>
        <v>Air fresheners waterbase</v>
      </c>
      <c r="H28" s="11" t="s">
        <v>756</v>
      </c>
      <c r="I28" s="36">
        <v>10980</v>
      </c>
      <c r="J28" s="12">
        <v>11184</v>
      </c>
      <c r="K28" s="13">
        <v>140</v>
      </c>
      <c r="L28" s="13">
        <v>15</v>
      </c>
      <c r="M28" s="13">
        <v>15</v>
      </c>
      <c r="N28" s="1"/>
      <c r="O28" s="1"/>
      <c r="P28" s="13">
        <v>125</v>
      </c>
      <c r="Q28" s="1"/>
      <c r="R28" s="1"/>
      <c r="S28" s="1"/>
      <c r="T28" s="1"/>
      <c r="U28" s="1">
        <v>6</v>
      </c>
      <c r="V28" s="40">
        <f t="shared" si="0"/>
        <v>0</v>
      </c>
      <c r="W28" s="40">
        <f t="shared" si="1"/>
        <v>0</v>
      </c>
      <c r="X28" s="40">
        <f t="shared" si="2"/>
        <v>5.3619302949061668E-4</v>
      </c>
      <c r="Y28" s="2">
        <f t="shared" si="3"/>
        <v>0.72623376623376623</v>
      </c>
      <c r="Z28" s="2">
        <f t="shared" si="4"/>
        <v>1</v>
      </c>
      <c r="AA28" s="2">
        <f t="shared" si="5"/>
        <v>0.72623376623376623</v>
      </c>
      <c r="AB28" s="1"/>
    </row>
    <row r="29" spans="1:28" x14ac:dyDescent="0.25">
      <c r="A29" s="15" t="s">
        <v>680</v>
      </c>
      <c r="B29" s="10" t="s">
        <v>757</v>
      </c>
      <c r="C29" s="10" t="s">
        <v>758</v>
      </c>
      <c r="D29" s="10" t="str">
        <f>VLOOKUP(C29,Setup!A:F,3,)</f>
        <v>Air freshener VERTI Air Pure Blooming mountains, 350 ml</v>
      </c>
      <c r="E29" s="10" t="str">
        <f>VLOOKUP(C29,Setup!A:F,4,)</f>
        <v>VERTI</v>
      </c>
      <c r="F29" s="10" t="str">
        <f>VLOOKUP(C29,Setup!A:F,5,)</f>
        <v>AIR FRESHENERS</v>
      </c>
      <c r="G29" s="10" t="str">
        <f>VLOOKUP(C29,Setup!A:F,6,)</f>
        <v>Air fresheners waterbase</v>
      </c>
      <c r="H29" s="11" t="s">
        <v>759</v>
      </c>
      <c r="I29" s="36">
        <v>10980</v>
      </c>
      <c r="J29" s="12">
        <f>6036+552+4368</f>
        <v>10956</v>
      </c>
      <c r="K29" s="13">
        <v>140</v>
      </c>
      <c r="L29" s="13">
        <v>15</v>
      </c>
      <c r="M29" s="13">
        <v>0</v>
      </c>
      <c r="N29" s="1"/>
      <c r="O29" s="1"/>
      <c r="P29" s="13">
        <f>75-10+47</f>
        <v>112</v>
      </c>
      <c r="Q29" s="1">
        <v>2</v>
      </c>
      <c r="R29" s="1">
        <v>6</v>
      </c>
      <c r="S29" s="1"/>
      <c r="T29" s="1"/>
      <c r="U29" s="1">
        <v>6</v>
      </c>
      <c r="V29" s="40">
        <f t="shared" si="0"/>
        <v>1.825150574922431E-4</v>
      </c>
      <c r="W29" s="40">
        <f t="shared" si="1"/>
        <v>5.4734537493158185E-4</v>
      </c>
      <c r="X29" s="40">
        <f t="shared" si="2"/>
        <v>5.4734537493158185E-4</v>
      </c>
      <c r="Y29" s="2">
        <f t="shared" si="3"/>
        <v>0.69872448979591839</v>
      </c>
      <c r="Z29" s="2">
        <f t="shared" si="4"/>
        <v>0.99945265462506838</v>
      </c>
      <c r="AA29" s="2">
        <f t="shared" si="5"/>
        <v>0.69834204617807716</v>
      </c>
      <c r="AB29" s="1"/>
    </row>
    <row r="30" spans="1:28" x14ac:dyDescent="0.25">
      <c r="A30" s="15" t="s">
        <v>680</v>
      </c>
      <c r="B30" s="10" t="s">
        <v>760</v>
      </c>
      <c r="C30" s="10" t="s">
        <v>761</v>
      </c>
      <c r="D30" s="10" t="str">
        <f>VLOOKUP(C30,Setup!A:F,3,)</f>
        <v>Air freshener ALPEN Mountain watefall, 300 ml</v>
      </c>
      <c r="E30" s="10" t="str">
        <f>VLOOKUP(C30,Setup!A:F,4,)</f>
        <v>ALPEN</v>
      </c>
      <c r="F30" s="10" t="str">
        <f>VLOOKUP(C30,Setup!A:F,5,)</f>
        <v>AIR FRESHENERS</v>
      </c>
      <c r="G30" s="10" t="str">
        <f>VLOOKUP(C30,Setup!A:F,6,)</f>
        <v>Air fresheners waterbase</v>
      </c>
      <c r="H30" s="11" t="s">
        <v>762</v>
      </c>
      <c r="I30" s="36">
        <v>17568</v>
      </c>
      <c r="J30" s="12">
        <v>17556</v>
      </c>
      <c r="K30" s="13">
        <v>140</v>
      </c>
      <c r="L30" s="13">
        <v>30</v>
      </c>
      <c r="M30" s="13">
        <v>15</v>
      </c>
      <c r="N30" s="1"/>
      <c r="O30" s="1"/>
      <c r="P30" s="13">
        <v>189</v>
      </c>
      <c r="Q30" s="1">
        <v>2</v>
      </c>
      <c r="R30" s="1">
        <v>1</v>
      </c>
      <c r="S30" s="1"/>
      <c r="T30" s="1"/>
      <c r="U30" s="1">
        <v>6</v>
      </c>
      <c r="V30" s="40">
        <f t="shared" si="0"/>
        <v>1.1390818999886092E-4</v>
      </c>
      <c r="W30" s="40">
        <f t="shared" si="1"/>
        <v>5.695733895312411E-5</v>
      </c>
      <c r="X30" s="40">
        <f t="shared" si="2"/>
        <v>3.4164673727365904E-4</v>
      </c>
      <c r="Y30" s="2">
        <f t="shared" si="3"/>
        <v>0.72068965517241379</v>
      </c>
      <c r="Z30" s="2">
        <f t="shared" si="4"/>
        <v>0.99994304266104683</v>
      </c>
      <c r="AA30" s="2">
        <f t="shared" si="5"/>
        <v>0.72064860660744412</v>
      </c>
      <c r="AB30" s="1"/>
    </row>
    <row r="31" spans="1:28" x14ac:dyDescent="0.25">
      <c r="A31" s="15" t="s">
        <v>680</v>
      </c>
      <c r="B31" s="10" t="s">
        <v>696</v>
      </c>
      <c r="C31" s="10" t="s">
        <v>697</v>
      </c>
      <c r="D31" s="10" t="str">
        <f>VLOOKUP(C31,Setup!A:F,3,)</f>
        <v>Air freshener ALPEN Forest breeze, 300 ml</v>
      </c>
      <c r="E31" s="10" t="str">
        <f>VLOOKUP(C31,Setup!A:F,4,)</f>
        <v>ALPEN</v>
      </c>
      <c r="F31" s="10" t="str">
        <f>VLOOKUP(C31,Setup!A:F,5,)</f>
        <v>AIR FRESHENERS</v>
      </c>
      <c r="G31" s="10" t="str">
        <f>VLOOKUP(C31,Setup!A:F,6,)</f>
        <v>Air fresheners waterbase</v>
      </c>
      <c r="H31" s="11" t="s">
        <v>763</v>
      </c>
      <c r="I31" s="36">
        <v>18634</v>
      </c>
      <c r="J31" s="12">
        <v>18852</v>
      </c>
      <c r="K31" s="13">
        <v>140</v>
      </c>
      <c r="L31" s="13">
        <v>15</v>
      </c>
      <c r="M31" s="13">
        <v>30</v>
      </c>
      <c r="N31" s="1"/>
      <c r="O31" s="1"/>
      <c r="P31" s="13">
        <v>194</v>
      </c>
      <c r="Q31" s="1">
        <v>10</v>
      </c>
      <c r="R31" s="1">
        <v>2</v>
      </c>
      <c r="S31" s="1"/>
      <c r="T31" s="1"/>
      <c r="U31" s="1">
        <v>6</v>
      </c>
      <c r="V31" s="40">
        <f t="shared" si="0"/>
        <v>5.3016647227229353E-4</v>
      </c>
      <c r="W31" s="40">
        <f t="shared" si="1"/>
        <v>1.0607828577490188E-4</v>
      </c>
      <c r="X31" s="40">
        <f t="shared" si="2"/>
        <v>3.1816735602927139E-4</v>
      </c>
      <c r="Y31" s="2">
        <f t="shared" si="3"/>
        <v>0.82108013937282232</v>
      </c>
      <c r="Z31" s="2">
        <f t="shared" si="4"/>
        <v>0.99989392171422509</v>
      </c>
      <c r="AA31" s="2">
        <f t="shared" si="5"/>
        <v>0.82099304059915379</v>
      </c>
      <c r="AB31" s="1"/>
    </row>
    <row r="32" spans="1:28" x14ac:dyDescent="0.25">
      <c r="A32" s="15" t="s">
        <v>680</v>
      </c>
      <c r="B32" s="10" t="s">
        <v>764</v>
      </c>
      <c r="C32" s="10" t="s">
        <v>765</v>
      </c>
      <c r="D32" s="10" t="str">
        <f>VLOOKUP(C32,Setup!A:F,3,)</f>
        <v>Air freshener AIR PURE BY ALPEN Mango and pomegranate, 300 ml</v>
      </c>
      <c r="E32" s="10" t="str">
        <f>VLOOKUP(C32,Setup!A:F,4,)</f>
        <v>ALPEN</v>
      </c>
      <c r="F32" s="10" t="str">
        <f>VLOOKUP(C32,Setup!A:F,5,)</f>
        <v>AIR FRESHENERS</v>
      </c>
      <c r="G32" s="10" t="str">
        <f>VLOOKUP(C32,Setup!A:F,6,)</f>
        <v>Air fresheners waterbase</v>
      </c>
      <c r="H32" s="11" t="s">
        <v>766</v>
      </c>
      <c r="I32" s="36">
        <v>11436</v>
      </c>
      <c r="J32" s="12">
        <v>11388</v>
      </c>
      <c r="K32" s="13">
        <v>140</v>
      </c>
      <c r="L32" s="13">
        <v>15</v>
      </c>
      <c r="M32" s="13">
        <v>0</v>
      </c>
      <c r="N32" s="1"/>
      <c r="O32" s="1"/>
      <c r="P32" s="13">
        <v>96</v>
      </c>
      <c r="Q32" s="1">
        <v>8</v>
      </c>
      <c r="R32" s="1">
        <v>2</v>
      </c>
      <c r="S32" s="1"/>
      <c r="T32" s="1"/>
      <c r="U32" s="1">
        <v>6</v>
      </c>
      <c r="V32" s="40">
        <f t="shared" si="0"/>
        <v>7.0200070200070197E-4</v>
      </c>
      <c r="W32" s="40">
        <f t="shared" si="1"/>
        <v>1.755926251097454E-4</v>
      </c>
      <c r="X32" s="40">
        <f t="shared" si="2"/>
        <v>5.2659294365455498E-4</v>
      </c>
      <c r="Y32" s="2">
        <f t="shared" si="3"/>
        <v>0.84732142857142856</v>
      </c>
      <c r="Z32" s="2">
        <f t="shared" si="4"/>
        <v>0.9998244073748902</v>
      </c>
      <c r="AA32" s="2">
        <f t="shared" si="5"/>
        <v>0.84717264517747393</v>
      </c>
      <c r="AB32" s="1"/>
    </row>
    <row r="33" spans="1:28" x14ac:dyDescent="0.25">
      <c r="A33" s="15" t="s">
        <v>680</v>
      </c>
      <c r="B33" s="10" t="s">
        <v>196</v>
      </c>
      <c r="C33" s="10" t="s">
        <v>197</v>
      </c>
      <c r="D33" s="10" t="str">
        <f>VLOOKUP(C33,Setup!A:F,3,)</f>
        <v>Air freshener ALPEN Antitabacco, 300 ml</v>
      </c>
      <c r="E33" s="10" t="str">
        <f>VLOOKUP(C33,Setup!A:F,4,)</f>
        <v>ALPEN</v>
      </c>
      <c r="F33" s="10" t="str">
        <f>VLOOKUP(C33,Setup!A:F,5,)</f>
        <v>AIR FRESHENERS</v>
      </c>
      <c r="G33" s="10" t="str">
        <f>VLOOKUP(C33,Setup!A:F,6,)</f>
        <v>Air fresheners waterbase</v>
      </c>
      <c r="H33" s="11" t="s">
        <v>767</v>
      </c>
      <c r="I33" s="36">
        <v>8500</v>
      </c>
      <c r="J33" s="12">
        <v>8496</v>
      </c>
      <c r="K33" s="13">
        <v>140</v>
      </c>
      <c r="L33" s="13">
        <v>15</v>
      </c>
      <c r="M33" s="13">
        <v>15</v>
      </c>
      <c r="N33" s="1"/>
      <c r="O33" s="1"/>
      <c r="P33" s="13">
        <v>89</v>
      </c>
      <c r="Q33" s="1">
        <v>4</v>
      </c>
      <c r="R33" s="1"/>
      <c r="S33" s="1"/>
      <c r="T33" s="1"/>
      <c r="U33" s="1">
        <v>6</v>
      </c>
      <c r="V33" s="40">
        <f t="shared" si="0"/>
        <v>4.7058823529411766E-4</v>
      </c>
      <c r="W33" s="40">
        <f t="shared" si="1"/>
        <v>0</v>
      </c>
      <c r="X33" s="40">
        <f t="shared" si="2"/>
        <v>7.0571630204657732E-4</v>
      </c>
      <c r="Y33" s="2">
        <f t="shared" si="3"/>
        <v>0.82007722007722006</v>
      </c>
      <c r="Z33" s="2">
        <f t="shared" si="4"/>
        <v>1</v>
      </c>
      <c r="AA33" s="2">
        <f t="shared" si="5"/>
        <v>0.82007722007722006</v>
      </c>
      <c r="AB33" s="1"/>
    </row>
    <row r="34" spans="1:28" x14ac:dyDescent="0.25">
      <c r="A34" s="15" t="s">
        <v>680</v>
      </c>
      <c r="B34" s="10" t="s">
        <v>768</v>
      </c>
      <c r="C34" s="10" t="s">
        <v>769</v>
      </c>
      <c r="D34" s="10" t="str">
        <f>VLOOKUP(C34,Setup!A:F,3,)</f>
        <v>Air freshener ALPEN Berries, 300 ml</v>
      </c>
      <c r="E34" s="10" t="str">
        <f>VLOOKUP(C34,Setup!A:F,4,)</f>
        <v>ALPEN</v>
      </c>
      <c r="F34" s="10" t="str">
        <f>VLOOKUP(C34,Setup!A:F,5,)</f>
        <v>AIR FRESHENERS</v>
      </c>
      <c r="G34" s="10" t="str">
        <f>VLOOKUP(C34,Setup!A:F,6,)</f>
        <v>Air fresheners waterbase</v>
      </c>
      <c r="H34" s="11" t="s">
        <v>770</v>
      </c>
      <c r="I34" s="36">
        <v>18744</v>
      </c>
      <c r="J34" s="12">
        <f>12132+6612</f>
        <v>18744</v>
      </c>
      <c r="K34" s="13">
        <v>140</v>
      </c>
      <c r="L34" s="13">
        <v>15</v>
      </c>
      <c r="M34" s="13">
        <v>0</v>
      </c>
      <c r="N34" s="1"/>
      <c r="O34" s="1"/>
      <c r="P34" s="13">
        <f>105+45</f>
        <v>150</v>
      </c>
      <c r="Q34" s="1"/>
      <c r="R34" s="1"/>
      <c r="S34" s="1"/>
      <c r="T34" s="1"/>
      <c r="U34" s="1">
        <v>6</v>
      </c>
      <c r="V34" s="40">
        <f t="shared" si="0"/>
        <v>0</v>
      </c>
      <c r="W34" s="40">
        <f t="shared" si="1"/>
        <v>0</v>
      </c>
      <c r="X34" s="40">
        <f t="shared" si="2"/>
        <v>3.2000000000000003E-4</v>
      </c>
      <c r="Y34" s="2">
        <f t="shared" si="3"/>
        <v>0.89257142857142857</v>
      </c>
      <c r="Z34" s="2">
        <f t="shared" si="4"/>
        <v>1</v>
      </c>
      <c r="AA34" s="2">
        <f t="shared" si="5"/>
        <v>0.89257142857142857</v>
      </c>
      <c r="AB34" s="1"/>
    </row>
    <row r="35" spans="1:28" x14ac:dyDescent="0.25">
      <c r="A35" s="15" t="s">
        <v>680</v>
      </c>
      <c r="B35" s="10" t="s">
        <v>202</v>
      </c>
      <c r="C35" s="10" t="s">
        <v>203</v>
      </c>
      <c r="D35" s="10" t="str">
        <f>VLOOKUP(C35,Setup!A:F,3,)</f>
        <v>Air freshener ALPEN Morning dew, 300 ml</v>
      </c>
      <c r="E35" s="10" t="str">
        <f>VLOOKUP(C35,Setup!A:F,4,)</f>
        <v>ALPEN</v>
      </c>
      <c r="F35" s="10" t="str">
        <f>VLOOKUP(C35,Setup!A:F,5,)</f>
        <v>AIR FRESHENERS</v>
      </c>
      <c r="G35" s="10" t="str">
        <f>VLOOKUP(C35,Setup!A:F,6,)</f>
        <v>Air fresheners waterbase</v>
      </c>
      <c r="H35" s="11" t="s">
        <v>771</v>
      </c>
      <c r="I35" s="36">
        <v>19398</v>
      </c>
      <c r="J35" s="12">
        <v>19368</v>
      </c>
      <c r="K35" s="13">
        <v>140</v>
      </c>
      <c r="L35" s="13">
        <v>15</v>
      </c>
      <c r="M35" s="13">
        <v>15</v>
      </c>
      <c r="N35" s="1"/>
      <c r="O35" s="1"/>
      <c r="P35" s="13">
        <v>180</v>
      </c>
      <c r="Q35" s="1">
        <v>4</v>
      </c>
      <c r="R35" s="1">
        <v>9</v>
      </c>
      <c r="S35" s="1"/>
      <c r="T35" s="1"/>
      <c r="U35" s="1">
        <v>6</v>
      </c>
      <c r="V35" s="40">
        <f t="shared" si="0"/>
        <v>2.0648358455502787E-4</v>
      </c>
      <c r="W35" s="40">
        <f t="shared" si="1"/>
        <v>4.6446818392940084E-4</v>
      </c>
      <c r="X35" s="40">
        <f t="shared" si="2"/>
        <v>3.0969340353050479E-4</v>
      </c>
      <c r="Y35" s="2">
        <f t="shared" si="3"/>
        <v>0.83844155844155843</v>
      </c>
      <c r="Z35" s="2">
        <f t="shared" si="4"/>
        <v>0.99953553181607058</v>
      </c>
      <c r="AA35" s="2">
        <f t="shared" si="5"/>
        <v>0.83805212901357817</v>
      </c>
      <c r="AB35" s="1"/>
    </row>
    <row r="36" spans="1:28" x14ac:dyDescent="0.25">
      <c r="A36" s="15" t="s">
        <v>680</v>
      </c>
      <c r="B36" s="10" t="s">
        <v>199</v>
      </c>
      <c r="C36" s="10" t="s">
        <v>200</v>
      </c>
      <c r="D36" s="10" t="str">
        <f>VLOOKUP(C36,Setup!A:F,3,)</f>
        <v>Air freshener ALPEN Magnolia flower, 300 ml</v>
      </c>
      <c r="E36" s="10" t="str">
        <f>VLOOKUP(C36,Setup!A:F,4,)</f>
        <v>ALPEN</v>
      </c>
      <c r="F36" s="10" t="str">
        <f>VLOOKUP(C36,Setup!A:F,5,)</f>
        <v>AIR FRESHENERS</v>
      </c>
      <c r="G36" s="10" t="str">
        <f>VLOOKUP(C36,Setup!A:F,6,)</f>
        <v>Air fresheners waterbase</v>
      </c>
      <c r="H36" s="11" t="s">
        <v>772</v>
      </c>
      <c r="I36" s="36">
        <v>23790</v>
      </c>
      <c r="J36" s="12">
        <v>23772</v>
      </c>
      <c r="K36" s="13">
        <v>140</v>
      </c>
      <c r="L36" s="13">
        <v>15</v>
      </c>
      <c r="M36" s="13">
        <v>30</v>
      </c>
      <c r="N36" s="1"/>
      <c r="O36" s="1"/>
      <c r="P36" s="13">
        <f>235</f>
        <v>235</v>
      </c>
      <c r="Q36" s="1"/>
      <c r="R36" s="1">
        <v>8</v>
      </c>
      <c r="S36" s="1"/>
      <c r="T36" s="1"/>
      <c r="U36" s="1">
        <v>6</v>
      </c>
      <c r="V36" s="40">
        <f t="shared" si="0"/>
        <v>0</v>
      </c>
      <c r="W36" s="40">
        <f t="shared" si="1"/>
        <v>3.3641715727502101E-4</v>
      </c>
      <c r="X36" s="40">
        <f t="shared" si="2"/>
        <v>2.5233409033560434E-4</v>
      </c>
      <c r="Y36" s="2">
        <f t="shared" si="3"/>
        <v>0.82829268292682923</v>
      </c>
      <c r="Z36" s="2">
        <f t="shared" si="4"/>
        <v>0.99966358284272494</v>
      </c>
      <c r="AA36" s="2">
        <f t="shared" si="5"/>
        <v>0.8280140310570473</v>
      </c>
      <c r="AB36" s="1"/>
    </row>
    <row r="37" spans="1:28" x14ac:dyDescent="0.25">
      <c r="A37" s="15" t="s">
        <v>680</v>
      </c>
      <c r="B37" s="10" t="s">
        <v>773</v>
      </c>
      <c r="C37" s="10" t="s">
        <v>774</v>
      </c>
      <c r="D37" s="10" t="str">
        <f>VLOOKUP(C37,Setup!A:F,3,)</f>
        <v>Air freshener AIR PURE BY ALPEN Blue Lagoon, 300 ml</v>
      </c>
      <c r="E37" s="10" t="str">
        <f>VLOOKUP(C37,Setup!A:F,4,)</f>
        <v>ALPEN</v>
      </c>
      <c r="F37" s="10" t="str">
        <f>VLOOKUP(C37,Setup!A:F,5,)</f>
        <v>AIR FRESHENERS</v>
      </c>
      <c r="G37" s="10" t="str">
        <f>VLOOKUP(C37,Setup!A:F,6,)</f>
        <v>Air fresheners waterbase</v>
      </c>
      <c r="H37" s="11" t="s">
        <v>775</v>
      </c>
      <c r="I37" s="36">
        <v>9240</v>
      </c>
      <c r="J37" s="12">
        <v>9216</v>
      </c>
      <c r="K37" s="13">
        <v>140</v>
      </c>
      <c r="L37" s="13">
        <v>15</v>
      </c>
      <c r="M37" s="13">
        <v>15</v>
      </c>
      <c r="N37" s="1"/>
      <c r="O37" s="1"/>
      <c r="P37" s="13">
        <v>115</v>
      </c>
      <c r="Q37" s="1">
        <v>8</v>
      </c>
      <c r="R37" s="1">
        <v>4</v>
      </c>
      <c r="S37" s="1"/>
      <c r="T37" s="1"/>
      <c r="U37" s="1">
        <v>6</v>
      </c>
      <c r="V37" s="40">
        <f t="shared" si="0"/>
        <v>8.6730268863833475E-4</v>
      </c>
      <c r="W37" s="40">
        <f t="shared" si="1"/>
        <v>4.3383947939262471E-4</v>
      </c>
      <c r="X37" s="40">
        <f t="shared" si="2"/>
        <v>6.5061808718282373E-4</v>
      </c>
      <c r="Y37" s="2">
        <f t="shared" si="3"/>
        <v>0.65828571428571425</v>
      </c>
      <c r="Z37" s="2">
        <f t="shared" si="4"/>
        <v>0.99956616052060743</v>
      </c>
      <c r="AA37" s="2">
        <f t="shared" si="5"/>
        <v>0.65800012395413698</v>
      </c>
      <c r="AB37" s="1"/>
    </row>
    <row r="38" spans="1:28" x14ac:dyDescent="0.25">
      <c r="A38" s="15" t="s">
        <v>680</v>
      </c>
      <c r="B38" s="10" t="s">
        <v>776</v>
      </c>
      <c r="C38" s="10" t="s">
        <v>777</v>
      </c>
      <c r="D38" s="10" t="str">
        <f>VLOOKUP(C38,Setup!A:F,3,)</f>
        <v>Air freshener LIBERHAUS Berry Explosion , 300 ml</v>
      </c>
      <c r="E38" s="10" t="str">
        <f>VLOOKUP(C38,Setup!A:F,4,)</f>
        <v>LIBERHAUS</v>
      </c>
      <c r="F38" s="10" t="str">
        <f>VLOOKUP(C38,Setup!A:F,5,)</f>
        <v>AIR FRESHENERS</v>
      </c>
      <c r="G38" s="10" t="str">
        <f>VLOOKUP(C38,Setup!A:F,6,)</f>
        <v>Air fresheners waterbase</v>
      </c>
      <c r="H38" s="11" t="s">
        <v>778</v>
      </c>
      <c r="I38" s="36">
        <v>321</v>
      </c>
      <c r="J38" s="12">
        <v>328</v>
      </c>
      <c r="K38" s="13">
        <v>140</v>
      </c>
      <c r="L38" s="13">
        <v>15</v>
      </c>
      <c r="M38" s="13">
        <v>0</v>
      </c>
      <c r="N38" s="1"/>
      <c r="O38" s="1"/>
      <c r="P38" s="13">
        <v>5</v>
      </c>
      <c r="Q38" s="1">
        <f>3+6</f>
        <v>9</v>
      </c>
      <c r="R38" s="1">
        <f>3+7</f>
        <v>10</v>
      </c>
      <c r="S38" s="1"/>
      <c r="T38" s="1"/>
      <c r="U38" s="1">
        <v>6</v>
      </c>
      <c r="V38" s="40">
        <f t="shared" si="0"/>
        <v>2.6706231454005934E-2</v>
      </c>
      <c r="W38" s="40">
        <f t="shared" si="1"/>
        <v>2.9585798816568046E-2</v>
      </c>
      <c r="X38" s="40">
        <f t="shared" si="2"/>
        <v>1.7964071856287425E-2</v>
      </c>
      <c r="Y38" s="2">
        <f t="shared" si="3"/>
        <v>0.46857142857142858</v>
      </c>
      <c r="Z38" s="2">
        <f t="shared" si="4"/>
        <v>0.97041420118343191</v>
      </c>
      <c r="AA38" s="2">
        <f t="shared" si="5"/>
        <v>0.4547083685545224</v>
      </c>
      <c r="AB38" s="1"/>
    </row>
    <row r="39" spans="1:28" x14ac:dyDescent="0.25">
      <c r="A39" s="15" t="s">
        <v>680</v>
      </c>
      <c r="B39" s="10" t="s">
        <v>681</v>
      </c>
      <c r="C39" s="10" t="s">
        <v>682</v>
      </c>
      <c r="D39" s="10" t="str">
        <f>VLOOKUP(C39,Setup!A:F,3,)</f>
        <v>Air freshener LIBERHAUS Berry explosion, 300 ml</v>
      </c>
      <c r="E39" s="10" t="str">
        <f>VLOOKUP(C39,Setup!A:F,4,)</f>
        <v>LIBERHAUS</v>
      </c>
      <c r="F39" s="10" t="str">
        <f>VLOOKUP(C39,Setup!A:F,5,)</f>
        <v>AIR FRESHENERS</v>
      </c>
      <c r="G39" s="10" t="str">
        <f>VLOOKUP(C39,Setup!A:F,6,)</f>
        <v>Air fresheners waterbase</v>
      </c>
      <c r="H39" s="11" t="s">
        <v>778</v>
      </c>
      <c r="I39" s="36">
        <v>74664</v>
      </c>
      <c r="J39" s="12">
        <f>14972+59808+492</f>
        <v>75272</v>
      </c>
      <c r="K39" s="13">
        <v>140</v>
      </c>
      <c r="L39" s="13">
        <v>15</v>
      </c>
      <c r="M39" s="13">
        <v>0</v>
      </c>
      <c r="N39" s="1"/>
      <c r="O39" s="1"/>
      <c r="P39" s="13">
        <v>605</v>
      </c>
      <c r="Q39" s="1"/>
      <c r="R39" s="1"/>
      <c r="S39" s="1"/>
      <c r="T39" s="1"/>
      <c r="U39" s="1"/>
      <c r="V39" s="40">
        <f t="shared" si="0"/>
        <v>0</v>
      </c>
      <c r="W39" s="40">
        <f t="shared" si="1"/>
        <v>0</v>
      </c>
      <c r="X39" s="40">
        <f t="shared" si="2"/>
        <v>0</v>
      </c>
      <c r="Y39" s="2">
        <f t="shared" si="3"/>
        <v>0.88868949232585592</v>
      </c>
      <c r="Z39" s="2">
        <f t="shared" si="4"/>
        <v>1</v>
      </c>
      <c r="AA39" s="2">
        <f t="shared" si="5"/>
        <v>0.88868949232585592</v>
      </c>
      <c r="AB39" s="1"/>
    </row>
    <row r="40" spans="1:28" x14ac:dyDescent="0.25">
      <c r="A40" s="15" t="s">
        <v>680</v>
      </c>
      <c r="B40" s="10" t="s">
        <v>779</v>
      </c>
      <c r="C40" s="10" t="s">
        <v>780</v>
      </c>
      <c r="D40" s="10" t="str">
        <f>VLOOKUP(C40,Setup!A:F,3,)</f>
        <v>Air freshener LIBERHAUS After the rain, 300 ml, Sl</v>
      </c>
      <c r="E40" s="10" t="str">
        <f>VLOOKUP(C40,Setup!A:F,4,)</f>
        <v>LIBERHAUS</v>
      </c>
      <c r="F40" s="10" t="str">
        <f>VLOOKUP(C40,Setup!A:F,5,)</f>
        <v>AIR FRESHENERS</v>
      </c>
      <c r="G40" s="10" t="str">
        <f>VLOOKUP(C40,Setup!A:F,6,)</f>
        <v>Air fresheners waterbase</v>
      </c>
      <c r="H40" s="11" t="s">
        <v>781</v>
      </c>
      <c r="I40" s="36">
        <v>26352</v>
      </c>
      <c r="J40" s="12">
        <v>26304</v>
      </c>
      <c r="K40" s="13">
        <v>140</v>
      </c>
      <c r="L40" s="13">
        <v>15</v>
      </c>
      <c r="M40" s="13">
        <v>0</v>
      </c>
      <c r="N40" s="1"/>
      <c r="O40" s="1"/>
      <c r="P40" s="13">
        <v>220</v>
      </c>
      <c r="Q40" s="1">
        <v>2</v>
      </c>
      <c r="R40" s="1">
        <v>6</v>
      </c>
      <c r="S40" s="1"/>
      <c r="T40" s="1"/>
      <c r="U40" s="1">
        <v>6</v>
      </c>
      <c r="V40" s="40">
        <f t="shared" si="0"/>
        <v>7.602828252109785E-5</v>
      </c>
      <c r="W40" s="40">
        <f t="shared" si="1"/>
        <v>2.2805017103762827E-4</v>
      </c>
      <c r="X40" s="40">
        <f t="shared" si="2"/>
        <v>2.2805017103762827E-4</v>
      </c>
      <c r="Y40" s="2">
        <f t="shared" si="3"/>
        <v>0.85402597402597402</v>
      </c>
      <c r="Z40" s="2">
        <f t="shared" si="4"/>
        <v>0.99977194982896234</v>
      </c>
      <c r="AA40" s="2">
        <f t="shared" si="5"/>
        <v>0.85383121325652678</v>
      </c>
      <c r="AB40" s="1"/>
    </row>
    <row r="41" spans="1:28" x14ac:dyDescent="0.25">
      <c r="A41" s="15" t="s">
        <v>680</v>
      </c>
      <c r="B41" s="10" t="s">
        <v>782</v>
      </c>
      <c r="C41" s="10" t="s">
        <v>783</v>
      </c>
      <c r="D41" s="10" t="str">
        <f>VLOOKUP(C41,Setup!A:F,3,)</f>
        <v>Air freshener VERTI Antitabacco, 350 ml</v>
      </c>
      <c r="E41" s="10" t="str">
        <f>VLOOKUP(C41,Setup!A:F,4,)</f>
        <v>VERTI</v>
      </c>
      <c r="F41" s="10" t="str">
        <f>VLOOKUP(C41,Setup!A:F,5,)</f>
        <v>AIR FRESHENERS</v>
      </c>
      <c r="G41" s="10" t="str">
        <f>VLOOKUP(C41,Setup!A:F,6,)</f>
        <v>Air fresheners waterbase</v>
      </c>
      <c r="H41" s="11" t="s">
        <v>784</v>
      </c>
      <c r="I41" s="36">
        <v>20130</v>
      </c>
      <c r="J41" s="12">
        <f>1944+96+18072</f>
        <v>20112</v>
      </c>
      <c r="K41" s="13">
        <v>140</v>
      </c>
      <c r="L41" s="13">
        <v>30</v>
      </c>
      <c r="M41" s="13">
        <v>0</v>
      </c>
      <c r="N41" s="1"/>
      <c r="O41" s="1"/>
      <c r="P41" s="13">
        <f>50-10+150</f>
        <v>190</v>
      </c>
      <c r="Q41" s="1">
        <v>1</v>
      </c>
      <c r="R41" s="1">
        <f>2+1</f>
        <v>3</v>
      </c>
      <c r="S41" s="1"/>
      <c r="T41" s="1"/>
      <c r="U41" s="1">
        <v>6</v>
      </c>
      <c r="V41" s="40">
        <f t="shared" si="0"/>
        <v>4.9719087157559784E-5</v>
      </c>
      <c r="W41" s="40">
        <f t="shared" si="1"/>
        <v>1.4914243102162565E-4</v>
      </c>
      <c r="X41" s="40">
        <f t="shared" si="2"/>
        <v>2.9824038174768865E-4</v>
      </c>
      <c r="Y41" s="2">
        <f t="shared" si="3"/>
        <v>0.75609022556390981</v>
      </c>
      <c r="Z41" s="2">
        <f t="shared" si="4"/>
        <v>0.9998508575689784</v>
      </c>
      <c r="AA41" s="2">
        <f t="shared" si="5"/>
        <v>0.75597746042959757</v>
      </c>
      <c r="AB41" s="1"/>
    </row>
    <row r="42" spans="1:28" x14ac:dyDescent="0.25">
      <c r="A42" s="15" t="s">
        <v>680</v>
      </c>
      <c r="B42" s="10" t="s">
        <v>785</v>
      </c>
      <c r="C42" s="10" t="s">
        <v>786</v>
      </c>
      <c r="D42" s="10" t="str">
        <f>VLOOKUP(C42,Setup!A:F,3,)</f>
        <v>Air freshener VERTI Lime, 350 ml</v>
      </c>
      <c r="E42" s="10" t="str">
        <f>VLOOKUP(C42,Setup!A:F,4,)</f>
        <v>VERTI</v>
      </c>
      <c r="F42" s="10" t="str">
        <f>VLOOKUP(C42,Setup!A:F,5,)</f>
        <v>AIR FRESHENERS</v>
      </c>
      <c r="G42" s="10" t="str">
        <f>VLOOKUP(C42,Setup!A:F,6,)</f>
        <v>Air fresheners waterbase</v>
      </c>
      <c r="H42" s="11" t="s">
        <v>787</v>
      </c>
      <c r="I42" s="36">
        <v>20130</v>
      </c>
      <c r="J42" s="12">
        <v>20124</v>
      </c>
      <c r="K42" s="13">
        <v>140</v>
      </c>
      <c r="L42" s="13">
        <v>15</v>
      </c>
      <c r="M42" s="13">
        <v>0</v>
      </c>
      <c r="N42" s="1"/>
      <c r="O42" s="1"/>
      <c r="P42" s="13">
        <v>165</v>
      </c>
      <c r="Q42" s="1">
        <v>1</v>
      </c>
      <c r="R42" s="1"/>
      <c r="S42" s="1"/>
      <c r="T42" s="1"/>
      <c r="U42" s="1">
        <v>6</v>
      </c>
      <c r="V42" s="40">
        <f t="shared" si="0"/>
        <v>4.968944099378882E-5</v>
      </c>
      <c r="W42" s="40">
        <f t="shared" si="1"/>
        <v>0</v>
      </c>
      <c r="X42" s="40">
        <f t="shared" si="2"/>
        <v>2.9806259314456036E-4</v>
      </c>
      <c r="Y42" s="2">
        <f t="shared" si="3"/>
        <v>0.87116883116883115</v>
      </c>
      <c r="Z42" s="2">
        <f t="shared" si="4"/>
        <v>1</v>
      </c>
      <c r="AA42" s="2">
        <f t="shared" si="5"/>
        <v>0.87116883116883115</v>
      </c>
      <c r="AB42" s="1"/>
    </row>
    <row r="43" spans="1:28" x14ac:dyDescent="0.25">
      <c r="A43" s="15" t="s">
        <v>680</v>
      </c>
      <c r="B43" s="10" t="s">
        <v>788</v>
      </c>
      <c r="C43" s="10" t="s">
        <v>789</v>
      </c>
      <c r="D43" s="10" t="str">
        <f>VLOOKUP(C43,Setup!A:F,3,)</f>
        <v>Air freshener VERTI Morse minerals Odor blocker, 350 ml</v>
      </c>
      <c r="E43" s="10" t="str">
        <f>VLOOKUP(C43,Setup!A:F,4,)</f>
        <v>VERTI</v>
      </c>
      <c r="F43" s="10" t="str">
        <f>VLOOKUP(C43,Setup!A:F,5,)</f>
        <v>AIR FRESHENERS</v>
      </c>
      <c r="G43" s="10" t="str">
        <f>VLOOKUP(C43,Setup!A:F,6,)</f>
        <v>Air fresheners waterbase</v>
      </c>
      <c r="H43" s="11" t="s">
        <v>790</v>
      </c>
      <c r="I43" s="36">
        <v>20130</v>
      </c>
      <c r="J43" s="12">
        <v>20592</v>
      </c>
      <c r="K43" s="13">
        <v>140</v>
      </c>
      <c r="L43" s="13">
        <v>15</v>
      </c>
      <c r="M43" s="13">
        <v>0</v>
      </c>
      <c r="N43" s="1"/>
      <c r="O43" s="1"/>
      <c r="P43" s="13">
        <v>170</v>
      </c>
      <c r="Q43" s="1">
        <v>7</v>
      </c>
      <c r="R43" s="1">
        <v>2</v>
      </c>
      <c r="S43" s="1"/>
      <c r="T43" s="1"/>
      <c r="U43" s="1">
        <v>6</v>
      </c>
      <c r="V43" s="40">
        <f t="shared" si="0"/>
        <v>3.3982232147191613E-4</v>
      </c>
      <c r="W43" s="40">
        <f t="shared" si="1"/>
        <v>9.711566475672526E-5</v>
      </c>
      <c r="X43" s="40">
        <f t="shared" si="2"/>
        <v>2.9129041654529564E-4</v>
      </c>
      <c r="Y43" s="2">
        <f t="shared" si="3"/>
        <v>0.86521008403361344</v>
      </c>
      <c r="Z43" s="2">
        <f t="shared" si="4"/>
        <v>0.99990288433524332</v>
      </c>
      <c r="AA43" s="2">
        <f t="shared" si="5"/>
        <v>0.86512605858114833</v>
      </c>
      <c r="AB43" s="1"/>
    </row>
    <row r="44" spans="1:28" x14ac:dyDescent="0.25">
      <c r="A44" s="15" t="s">
        <v>680</v>
      </c>
      <c r="B44" s="10" t="s">
        <v>791</v>
      </c>
      <c r="C44" s="10" t="s">
        <v>792</v>
      </c>
      <c r="D44" s="10" t="str">
        <f>VLOOKUP(C44,Setup!A:F,3,)</f>
        <v>Air freshener EVERY DAY Lilac, 300 ml</v>
      </c>
      <c r="E44" s="10" t="str">
        <f>VLOOKUP(C44,Setup!A:F,4,)</f>
        <v>KAZHDYI DEN</v>
      </c>
      <c r="F44" s="10" t="str">
        <f>VLOOKUP(C44,Setup!A:F,5,)</f>
        <v>AIR FRESHENERS</v>
      </c>
      <c r="G44" s="10" t="str">
        <f>VLOOKUP(C44,Setup!A:F,6,)</f>
        <v>Air fresheners waterbase</v>
      </c>
      <c r="H44" s="11" t="s">
        <v>793</v>
      </c>
      <c r="I44" s="36">
        <v>19764</v>
      </c>
      <c r="J44" s="12">
        <v>19068</v>
      </c>
      <c r="K44" s="13">
        <v>140</v>
      </c>
      <c r="L44" s="13">
        <v>30</v>
      </c>
      <c r="M44" s="13">
        <f>15</f>
        <v>15</v>
      </c>
      <c r="N44" s="1"/>
      <c r="O44" s="1"/>
      <c r="P44" s="13">
        <f>220</f>
        <v>220</v>
      </c>
      <c r="Q44" s="1">
        <v>3</v>
      </c>
      <c r="R44" s="1">
        <v>3</v>
      </c>
      <c r="S44" s="1"/>
      <c r="T44" s="1"/>
      <c r="U44" s="1">
        <v>6</v>
      </c>
      <c r="V44" s="40">
        <f t="shared" si="0"/>
        <v>1.5730690577316344E-4</v>
      </c>
      <c r="W44" s="40">
        <f t="shared" si="1"/>
        <v>1.5730690577316344E-4</v>
      </c>
      <c r="X44" s="40">
        <f t="shared" si="2"/>
        <v>3.1456432840515884E-4</v>
      </c>
      <c r="Y44" s="2">
        <f t="shared" si="3"/>
        <v>0.66439024390243906</v>
      </c>
      <c r="Z44" s="2">
        <f t="shared" si="4"/>
        <v>0.9998426930942268</v>
      </c>
      <c r="AA44" s="2">
        <f t="shared" si="5"/>
        <v>0.66428573072894481</v>
      </c>
      <c r="AB44" s="1"/>
    </row>
    <row r="45" spans="1:28" x14ac:dyDescent="0.25">
      <c r="A45" s="15" t="s">
        <v>680</v>
      </c>
      <c r="B45" s="10" t="s">
        <v>794</v>
      </c>
      <c r="C45" s="10" t="s">
        <v>795</v>
      </c>
      <c r="D45" s="10" t="str">
        <f>VLOOKUP(C45,Setup!A:F,3,)</f>
        <v>Air freshener EVERY DAY Lime, 300 ml</v>
      </c>
      <c r="E45" s="10" t="str">
        <f>VLOOKUP(C45,Setup!A:F,4,)</f>
        <v>KAZHDYI DEN</v>
      </c>
      <c r="F45" s="10" t="str">
        <f>VLOOKUP(C45,Setup!A:F,5,)</f>
        <v>AIR FRESHENERS</v>
      </c>
      <c r="G45" s="10" t="str">
        <f>VLOOKUP(C45,Setup!A:F,6,)</f>
        <v>Air fresheners waterbase</v>
      </c>
      <c r="H45" s="11" t="s">
        <v>796</v>
      </c>
      <c r="I45" s="36">
        <v>13176</v>
      </c>
      <c r="J45" s="12">
        <v>12540</v>
      </c>
      <c r="K45" s="13">
        <v>140</v>
      </c>
      <c r="L45" s="13">
        <v>15</v>
      </c>
      <c r="M45" s="13">
        <v>0</v>
      </c>
      <c r="N45" s="1"/>
      <c r="O45" s="1"/>
      <c r="P45" s="13">
        <v>110</v>
      </c>
      <c r="Q45" s="1">
        <v>2</v>
      </c>
      <c r="R45" s="1">
        <v>2</v>
      </c>
      <c r="S45" s="1"/>
      <c r="T45" s="1"/>
      <c r="U45" s="1">
        <v>6</v>
      </c>
      <c r="V45" s="40">
        <f t="shared" si="0"/>
        <v>1.5946420028703555E-4</v>
      </c>
      <c r="W45" s="40">
        <f t="shared" si="1"/>
        <v>1.5946420028703555E-4</v>
      </c>
      <c r="X45" s="40">
        <f t="shared" si="2"/>
        <v>4.7824007651841227E-4</v>
      </c>
      <c r="Y45" s="2">
        <f t="shared" si="3"/>
        <v>0.81428571428571428</v>
      </c>
      <c r="Z45" s="2">
        <f t="shared" si="4"/>
        <v>0.99984053579971299</v>
      </c>
      <c r="AA45" s="2">
        <f t="shared" si="5"/>
        <v>0.81415586486548053</v>
      </c>
      <c r="AB45" s="1"/>
    </row>
    <row r="46" spans="1:28" x14ac:dyDescent="0.25">
      <c r="A46" s="15" t="s">
        <v>680</v>
      </c>
      <c r="B46" s="10" t="s">
        <v>797</v>
      </c>
      <c r="C46" s="10" t="s">
        <v>798</v>
      </c>
      <c r="D46" s="10" t="str">
        <f>VLOOKUP(C46,Setup!A:F,3,)</f>
        <v>Air freshener EVERY DAY Ocean, 300 ml</v>
      </c>
      <c r="E46" s="10" t="str">
        <f>VLOOKUP(C46,Setup!A:F,4,)</f>
        <v>KAZHDYI DEN</v>
      </c>
      <c r="F46" s="10" t="str">
        <f>VLOOKUP(C46,Setup!A:F,5,)</f>
        <v>AIR FRESHENERS</v>
      </c>
      <c r="G46" s="10" t="str">
        <f>VLOOKUP(C46,Setup!A:F,6,)</f>
        <v>Air fresheners waterbase</v>
      </c>
      <c r="H46" s="11" t="s">
        <v>799</v>
      </c>
      <c r="I46" s="36">
        <v>13176</v>
      </c>
      <c r="J46" s="12">
        <v>13104</v>
      </c>
      <c r="K46" s="13">
        <v>140</v>
      </c>
      <c r="L46" s="13">
        <v>15</v>
      </c>
      <c r="M46" s="13">
        <v>15</v>
      </c>
      <c r="N46" s="1"/>
      <c r="O46" s="1"/>
      <c r="P46" s="13">
        <v>155</v>
      </c>
      <c r="Q46" s="1">
        <v>1</v>
      </c>
      <c r="R46" s="1">
        <v>1</v>
      </c>
      <c r="S46" s="1"/>
      <c r="T46" s="1"/>
      <c r="U46" s="1">
        <v>6</v>
      </c>
      <c r="V46" s="40">
        <f t="shared" si="0"/>
        <v>7.6306753147653561E-5</v>
      </c>
      <c r="W46" s="40">
        <f t="shared" si="1"/>
        <v>7.6306753147653561E-5</v>
      </c>
      <c r="X46" s="40">
        <f t="shared" si="2"/>
        <v>4.5766590389016021E-4</v>
      </c>
      <c r="Y46" s="2">
        <f t="shared" si="3"/>
        <v>0.66857142857142859</v>
      </c>
      <c r="Z46" s="2">
        <f t="shared" si="4"/>
        <v>0.99992369324685237</v>
      </c>
      <c r="AA46" s="2">
        <f t="shared" si="5"/>
        <v>0.66852041205646706</v>
      </c>
      <c r="AB46" s="1"/>
    </row>
    <row r="47" spans="1:28" x14ac:dyDescent="0.25">
      <c r="A47" s="15" t="s">
        <v>680</v>
      </c>
      <c r="B47" s="10" t="s">
        <v>800</v>
      </c>
      <c r="C47" s="10" t="s">
        <v>801</v>
      </c>
      <c r="D47" s="10" t="str">
        <f>VLOOKUP(C47,Setup!A:F,3,)</f>
        <v>Air freshener FLOWER SHOP After the rain, 300 ml,</v>
      </c>
      <c r="E47" s="10" t="str">
        <f>VLOOKUP(C47,Setup!A:F,4,)</f>
        <v>FLOWER SHOP</v>
      </c>
      <c r="F47" s="10" t="str">
        <f>VLOOKUP(C47,Setup!A:F,5,)</f>
        <v>AIR FRESHENERS</v>
      </c>
      <c r="G47" s="10" t="str">
        <f>VLOOKUP(C47,Setup!A:F,6,)</f>
        <v>Air fresheners waterbase</v>
      </c>
      <c r="H47" s="11" t="s">
        <v>802</v>
      </c>
      <c r="I47" s="31">
        <v>12768</v>
      </c>
      <c r="J47" s="12">
        <v>12828</v>
      </c>
      <c r="K47" s="13">
        <v>140</v>
      </c>
      <c r="L47" s="13">
        <v>15</v>
      </c>
      <c r="M47" s="13">
        <v>0</v>
      </c>
      <c r="N47" s="1"/>
      <c r="O47" s="1"/>
      <c r="P47" s="13">
        <v>120</v>
      </c>
      <c r="Q47" s="1"/>
      <c r="R47" s="1"/>
      <c r="S47" s="1"/>
      <c r="T47" s="1"/>
      <c r="U47" s="1">
        <v>6</v>
      </c>
      <c r="V47" s="40">
        <f t="shared" si="0"/>
        <v>0</v>
      </c>
      <c r="W47" s="40">
        <f t="shared" si="1"/>
        <v>0</v>
      </c>
      <c r="X47" s="40">
        <f t="shared" si="2"/>
        <v>4.675081813931744E-4</v>
      </c>
      <c r="Y47" s="2">
        <f t="shared" si="3"/>
        <v>0.76357142857142857</v>
      </c>
      <c r="Z47" s="2">
        <f t="shared" si="4"/>
        <v>1</v>
      </c>
      <c r="AA47" s="2">
        <f t="shared" si="5"/>
        <v>0.76357142857142857</v>
      </c>
      <c r="AB47" s="1"/>
    </row>
    <row r="48" spans="1:28" x14ac:dyDescent="0.25">
      <c r="A48" s="15" t="s">
        <v>680</v>
      </c>
      <c r="B48" s="10" t="s">
        <v>118</v>
      </c>
      <c r="C48" s="10" t="s">
        <v>119</v>
      </c>
      <c r="D48" s="10" t="str">
        <f>VLOOKUP(C48,Setup!A:F,3,)</f>
        <v>Air freshener FLOWER SHOP Antitabacco, 300 ml, N</v>
      </c>
      <c r="E48" s="10" t="str">
        <f>VLOOKUP(C48,Setup!A:F,4,)</f>
        <v>FLOWER SHOP</v>
      </c>
      <c r="F48" s="10" t="str">
        <f>VLOOKUP(C48,Setup!A:F,5,)</f>
        <v>AIR FRESHENERS</v>
      </c>
      <c r="G48" s="10" t="str">
        <f>VLOOKUP(C48,Setup!A:F,6,)</f>
        <v>Air fresheners waterbase</v>
      </c>
      <c r="H48" s="11" t="s">
        <v>803</v>
      </c>
      <c r="I48" s="31">
        <v>8309</v>
      </c>
      <c r="J48" s="12">
        <v>8304</v>
      </c>
      <c r="K48" s="13">
        <v>140</v>
      </c>
      <c r="L48" s="13">
        <v>15</v>
      </c>
      <c r="M48" s="13">
        <v>0</v>
      </c>
      <c r="N48" s="1"/>
      <c r="O48" s="1"/>
      <c r="P48" s="13">
        <v>85</v>
      </c>
      <c r="Q48" s="1">
        <v>2</v>
      </c>
      <c r="R48" s="1"/>
      <c r="S48" s="1"/>
      <c r="T48" s="1"/>
      <c r="U48" s="1">
        <v>6</v>
      </c>
      <c r="V48" s="40">
        <f t="shared" si="0"/>
        <v>2.4078979051288225E-4</v>
      </c>
      <c r="W48" s="40">
        <f t="shared" si="1"/>
        <v>0</v>
      </c>
      <c r="X48" s="40">
        <f t="shared" si="2"/>
        <v>7.2202166064981946E-4</v>
      </c>
      <c r="Y48" s="2">
        <f t="shared" si="3"/>
        <v>0.69781512605042018</v>
      </c>
      <c r="Z48" s="2">
        <f t="shared" si="4"/>
        <v>1</v>
      </c>
      <c r="AA48" s="2">
        <f t="shared" si="5"/>
        <v>0.69781512605042018</v>
      </c>
      <c r="AB48" s="1"/>
    </row>
    <row r="49" spans="1:28" x14ac:dyDescent="0.25">
      <c r="A49" s="15" t="s">
        <v>680</v>
      </c>
      <c r="B49" s="10" t="s">
        <v>112</v>
      </c>
      <c r="C49" s="10" t="s">
        <v>113</v>
      </c>
      <c r="D49" s="10" t="str">
        <f>VLOOKUP(C49,Setup!A:F,3,)</f>
        <v>Air freshener FLOWER SHOP Morse minerals, 300 ml, N</v>
      </c>
      <c r="E49" s="10" t="str">
        <f>VLOOKUP(C49,Setup!A:F,4,)</f>
        <v>FLOWER SHOP</v>
      </c>
      <c r="F49" s="10" t="str">
        <f>VLOOKUP(C49,Setup!A:F,5,)</f>
        <v>AIR FRESHENERS</v>
      </c>
      <c r="G49" s="10" t="str">
        <f>VLOOKUP(C49,Setup!A:F,6,)</f>
        <v>Air fresheners waterbase</v>
      </c>
      <c r="H49" s="11" t="s">
        <v>804</v>
      </c>
      <c r="I49" s="31">
        <v>11550</v>
      </c>
      <c r="J49" s="12">
        <v>11808</v>
      </c>
      <c r="K49" s="13">
        <v>140</v>
      </c>
      <c r="L49" s="13">
        <v>15</v>
      </c>
      <c r="M49" s="13">
        <v>15</v>
      </c>
      <c r="N49" s="1"/>
      <c r="O49" s="1"/>
      <c r="P49" s="13">
        <v>125</v>
      </c>
      <c r="Q49" s="1">
        <v>1</v>
      </c>
      <c r="R49" s="1">
        <v>1</v>
      </c>
      <c r="S49" s="1"/>
      <c r="T49" s="1"/>
      <c r="U49" s="1">
        <v>6</v>
      </c>
      <c r="V49" s="40">
        <f t="shared" si="0"/>
        <v>8.4681175374714206E-5</v>
      </c>
      <c r="W49" s="40">
        <f t="shared" si="1"/>
        <v>8.4681175374714206E-5</v>
      </c>
      <c r="X49" s="40">
        <f t="shared" si="2"/>
        <v>5.0787201625190448E-4</v>
      </c>
      <c r="Y49" s="2">
        <f t="shared" si="3"/>
        <v>0.76675324675324674</v>
      </c>
      <c r="Z49" s="2">
        <f t="shared" si="4"/>
        <v>0.99991531882462525</v>
      </c>
      <c r="AA49" s="2">
        <f t="shared" si="5"/>
        <v>0.7666883171870893</v>
      </c>
      <c r="AB49" s="1"/>
    </row>
    <row r="50" spans="1:28" x14ac:dyDescent="0.25">
      <c r="A50" s="15" t="s">
        <v>680</v>
      </c>
      <c r="B50" s="10" t="s">
        <v>805</v>
      </c>
      <c r="C50" s="10" t="s">
        <v>806</v>
      </c>
      <c r="D50" s="10" t="str">
        <f>VLOOKUP(C50,Setup!A:F,3,)</f>
        <v>Air freshener FLOWER SHOP Orange and grapefruit, 300 ml</v>
      </c>
      <c r="E50" s="10" t="str">
        <f>VLOOKUP(C50,Setup!A:F,4,)</f>
        <v>FLOWER SHOP</v>
      </c>
      <c r="F50" s="10" t="str">
        <f>VLOOKUP(C50,Setup!A:F,5,)</f>
        <v>AIR FRESHENERS</v>
      </c>
      <c r="G50" s="10" t="str">
        <f>VLOOKUP(C50,Setup!A:F,6,)</f>
        <v>Air fresheners waterbase</v>
      </c>
      <c r="H50" s="11" t="s">
        <v>807</v>
      </c>
      <c r="I50" s="31">
        <v>9240</v>
      </c>
      <c r="J50" s="12">
        <v>9504</v>
      </c>
      <c r="K50" s="13">
        <v>140</v>
      </c>
      <c r="L50" s="13">
        <v>15</v>
      </c>
      <c r="M50" s="13">
        <v>0</v>
      </c>
      <c r="N50" s="1"/>
      <c r="O50" s="1"/>
      <c r="P50" s="13">
        <v>85</v>
      </c>
      <c r="Q50" s="1">
        <v>1</v>
      </c>
      <c r="R50" s="1"/>
      <c r="S50" s="1"/>
      <c r="T50" s="1"/>
      <c r="U50" s="1">
        <v>6</v>
      </c>
      <c r="V50" s="40">
        <f t="shared" si="0"/>
        <v>1.0520778537611783E-4</v>
      </c>
      <c r="W50" s="40">
        <f t="shared" si="1"/>
        <v>0</v>
      </c>
      <c r="X50" s="40">
        <f t="shared" si="2"/>
        <v>6.3091482649842276E-4</v>
      </c>
      <c r="Y50" s="2">
        <f t="shared" si="3"/>
        <v>0.79865546218487393</v>
      </c>
      <c r="Z50" s="2">
        <f t="shared" si="4"/>
        <v>1</v>
      </c>
      <c r="AA50" s="2">
        <f t="shared" si="5"/>
        <v>0.79865546218487393</v>
      </c>
      <c r="AB50" s="1"/>
    </row>
    <row r="51" spans="1:28" x14ac:dyDescent="0.25">
      <c r="A51" s="15" t="s">
        <v>680</v>
      </c>
      <c r="B51" s="10" t="s">
        <v>121</v>
      </c>
      <c r="C51" s="10" t="s">
        <v>122</v>
      </c>
      <c r="D51" s="10" t="str">
        <f>VLOOKUP(C51,Setup!A:F,3,)</f>
        <v>Air freshener FLOWER SHOP Lime and mint, 300 ml,</v>
      </c>
      <c r="E51" s="10" t="str">
        <f>VLOOKUP(C51,Setup!A:F,4,)</f>
        <v>FLOWER SHOP</v>
      </c>
      <c r="F51" s="10" t="str">
        <f>VLOOKUP(C51,Setup!A:F,5,)</f>
        <v>AIR FRESHENERS</v>
      </c>
      <c r="G51" s="10" t="str">
        <f>VLOOKUP(C51,Setup!A:F,6,)</f>
        <v>Air fresheners waterbase</v>
      </c>
      <c r="H51" s="11" t="s">
        <v>808</v>
      </c>
      <c r="I51" s="31">
        <v>11442</v>
      </c>
      <c r="J51" s="12">
        <f>3600+504+7332</f>
        <v>11436</v>
      </c>
      <c r="K51" s="13">
        <v>140</v>
      </c>
      <c r="L51" s="13">
        <v>15</v>
      </c>
      <c r="M51" s="13">
        <v>0</v>
      </c>
      <c r="N51" s="1"/>
      <c r="O51" s="1"/>
      <c r="P51" s="13">
        <f>55-10+63</f>
        <v>108</v>
      </c>
      <c r="Q51" s="1"/>
      <c r="R51" s="1"/>
      <c r="S51" s="1"/>
      <c r="T51" s="1"/>
      <c r="U51" s="1">
        <v>6</v>
      </c>
      <c r="V51" s="40">
        <f t="shared" si="0"/>
        <v>0</v>
      </c>
      <c r="W51" s="40">
        <f t="shared" si="1"/>
        <v>0</v>
      </c>
      <c r="X51" s="40">
        <f t="shared" si="2"/>
        <v>5.243838489774515E-4</v>
      </c>
      <c r="Y51" s="2">
        <f t="shared" si="3"/>
        <v>0.75634920634920633</v>
      </c>
      <c r="Z51" s="2">
        <f t="shared" si="4"/>
        <v>1</v>
      </c>
      <c r="AA51" s="2">
        <f t="shared" si="5"/>
        <v>0.75634920634920633</v>
      </c>
      <c r="AB51" s="1"/>
    </row>
    <row r="52" spans="1:28" x14ac:dyDescent="0.25">
      <c r="A52" s="15" t="s">
        <v>680</v>
      </c>
      <c r="B52" s="10" t="s">
        <v>809</v>
      </c>
      <c r="C52" s="10" t="s">
        <v>810</v>
      </c>
      <c r="D52" s="10" t="str">
        <f>VLOOKUP(C52,Setup!A:F,3,)</f>
        <v>Air freshener FLOWER SHOP Tiare flower and hibiscus, 300 ml</v>
      </c>
      <c r="E52" s="10" t="str">
        <f>VLOOKUP(C52,Setup!A:F,4,)</f>
        <v>FLOWER SHOP</v>
      </c>
      <c r="F52" s="10" t="str">
        <f>VLOOKUP(C52,Setup!A:F,5,)</f>
        <v>AIR FRESHENERS</v>
      </c>
      <c r="G52" s="10" t="str">
        <f>VLOOKUP(C52,Setup!A:F,6,)</f>
        <v>Air fresheners waterbase</v>
      </c>
      <c r="H52" s="11" t="s">
        <v>811</v>
      </c>
      <c r="I52" s="31">
        <v>5200</v>
      </c>
      <c r="J52" s="12">
        <v>5160</v>
      </c>
      <c r="K52" s="13">
        <v>140</v>
      </c>
      <c r="L52" s="13">
        <v>15</v>
      </c>
      <c r="M52" s="13">
        <v>0</v>
      </c>
      <c r="N52" s="1"/>
      <c r="O52" s="1"/>
      <c r="P52" s="13">
        <v>48</v>
      </c>
      <c r="Q52" s="1">
        <v>2</v>
      </c>
      <c r="R52" s="1">
        <v>1</v>
      </c>
      <c r="S52" s="1"/>
      <c r="T52" s="1"/>
      <c r="U52" s="1">
        <v>6</v>
      </c>
      <c r="V52" s="40">
        <f t="shared" si="0"/>
        <v>3.8744672607516468E-4</v>
      </c>
      <c r="W52" s="40">
        <f t="shared" si="1"/>
        <v>1.9376089905057158E-4</v>
      </c>
      <c r="X52" s="40">
        <f t="shared" si="2"/>
        <v>1.1614401858304297E-3</v>
      </c>
      <c r="Y52" s="2">
        <f t="shared" si="3"/>
        <v>0.7678571428571429</v>
      </c>
      <c r="Z52" s="2">
        <f t="shared" si="4"/>
        <v>0.99980623910094946</v>
      </c>
      <c r="AA52" s="2">
        <f t="shared" si="5"/>
        <v>0.7677083621668005</v>
      </c>
      <c r="AB52" s="1"/>
    </row>
    <row r="53" spans="1:28" x14ac:dyDescent="0.25">
      <c r="A53" s="15" t="s">
        <v>680</v>
      </c>
      <c r="B53" s="10" t="s">
        <v>812</v>
      </c>
      <c r="C53" s="10" t="s">
        <v>813</v>
      </c>
      <c r="D53" s="10" t="str">
        <f>VLOOKUP(C53,Setup!A:F,3,)</f>
        <v>Air freshener FLOWER SHOP Strawberry and Orchid, 300 ml, N</v>
      </c>
      <c r="E53" s="10" t="str">
        <f>VLOOKUP(C53,Setup!A:F,4,)</f>
        <v>FLOWER SHOP</v>
      </c>
      <c r="F53" s="10" t="str">
        <f>VLOOKUP(C53,Setup!A:F,5,)</f>
        <v>AIR FRESHENERS</v>
      </c>
      <c r="G53" s="10" t="str">
        <f>VLOOKUP(C53,Setup!A:F,6,)</f>
        <v>Air fresheners waterbase</v>
      </c>
      <c r="H53" s="11" t="s">
        <v>814</v>
      </c>
      <c r="I53" s="31">
        <v>6500</v>
      </c>
      <c r="J53" s="12">
        <v>6684</v>
      </c>
      <c r="K53" s="13">
        <v>140</v>
      </c>
      <c r="L53" s="13">
        <v>15</v>
      </c>
      <c r="M53" s="13">
        <f>15</f>
        <v>15</v>
      </c>
      <c r="N53" s="1">
        <v>47</v>
      </c>
      <c r="O53" s="1" t="s">
        <v>4845</v>
      </c>
      <c r="P53" s="13">
        <v>124</v>
      </c>
      <c r="Q53" s="1">
        <v>24</v>
      </c>
      <c r="R53" s="1"/>
      <c r="S53" s="1"/>
      <c r="T53" s="1"/>
      <c r="U53" s="1">
        <v>6</v>
      </c>
      <c r="V53" s="40">
        <f t="shared" si="0"/>
        <v>3.5778175313059034E-3</v>
      </c>
      <c r="W53" s="40">
        <f t="shared" si="1"/>
        <v>0</v>
      </c>
      <c r="X53" s="40">
        <f t="shared" si="2"/>
        <v>8.9686098654708521E-4</v>
      </c>
      <c r="Y53" s="2">
        <f t="shared" si="3"/>
        <v>0.77004608294930876</v>
      </c>
      <c r="Z53" s="2">
        <f t="shared" si="4"/>
        <v>1</v>
      </c>
      <c r="AA53" s="2">
        <f t="shared" si="5"/>
        <v>0.77004608294930876</v>
      </c>
      <c r="AB53" s="1"/>
    </row>
    <row r="54" spans="1:28" x14ac:dyDescent="0.25">
      <c r="A54" s="15" t="s">
        <v>680</v>
      </c>
      <c r="B54" s="10" t="s">
        <v>764</v>
      </c>
      <c r="C54" s="10" t="s">
        <v>765</v>
      </c>
      <c r="D54" s="10" t="str">
        <f>VLOOKUP(C54,Setup!A:F,3,)</f>
        <v>Air freshener AIR PURE BY ALPEN Mango and pomegranate, 300 ml</v>
      </c>
      <c r="E54" s="10" t="str">
        <f>VLOOKUP(C54,Setup!A:F,4,)</f>
        <v>ALPEN</v>
      </c>
      <c r="F54" s="10" t="str">
        <f>VLOOKUP(C54,Setup!A:F,5,)</f>
        <v>AIR FRESHENERS</v>
      </c>
      <c r="G54" s="10" t="str">
        <f>VLOOKUP(C54,Setup!A:F,6,)</f>
        <v>Air fresheners waterbase</v>
      </c>
      <c r="H54" s="11" t="s">
        <v>815</v>
      </c>
      <c r="I54" s="31">
        <v>11007</v>
      </c>
      <c r="J54" s="12">
        <v>11016</v>
      </c>
      <c r="K54" s="13">
        <v>140</v>
      </c>
      <c r="L54" s="13">
        <v>15</v>
      </c>
      <c r="M54" s="13">
        <v>0</v>
      </c>
      <c r="N54" s="1"/>
      <c r="O54" s="1"/>
      <c r="P54" s="13">
        <v>95</v>
      </c>
      <c r="Q54" s="1"/>
      <c r="R54" s="1"/>
      <c r="S54" s="1"/>
      <c r="T54" s="1"/>
      <c r="U54" s="1">
        <v>6</v>
      </c>
      <c r="V54" s="40">
        <f t="shared" si="0"/>
        <v>0</v>
      </c>
      <c r="W54" s="40">
        <f t="shared" si="1"/>
        <v>0</v>
      </c>
      <c r="X54" s="40">
        <f t="shared" si="2"/>
        <v>5.4436581382689172E-4</v>
      </c>
      <c r="Y54" s="2">
        <f t="shared" si="3"/>
        <v>0.82827067669172927</v>
      </c>
      <c r="Z54" s="2">
        <f t="shared" si="4"/>
        <v>1</v>
      </c>
      <c r="AA54" s="2">
        <f t="shared" si="5"/>
        <v>0.82827067669172927</v>
      </c>
      <c r="AB54" s="1"/>
    </row>
    <row r="55" spans="1:28" x14ac:dyDescent="0.25">
      <c r="A55" s="15" t="s">
        <v>680</v>
      </c>
      <c r="B55" s="10" t="s">
        <v>187</v>
      </c>
      <c r="C55" s="10" t="s">
        <v>188</v>
      </c>
      <c r="D55" s="10" t="str">
        <f>VLOOKUP(C55,Setup!A:F,3,)</f>
        <v>Air freshener ALPEN Spring forest, 300 ml</v>
      </c>
      <c r="E55" s="10" t="str">
        <f>VLOOKUP(C55,Setup!A:F,4,)</f>
        <v>ALPEN</v>
      </c>
      <c r="F55" s="10" t="str">
        <f>VLOOKUP(C55,Setup!A:F,5,)</f>
        <v>AIR FRESHENERS</v>
      </c>
      <c r="G55" s="10" t="str">
        <f>VLOOKUP(C55,Setup!A:F,6,)</f>
        <v>Air fresheners waterbase</v>
      </c>
      <c r="H55" s="11" t="s">
        <v>816</v>
      </c>
      <c r="I55" s="36">
        <v>10980</v>
      </c>
      <c r="J55" s="12">
        <v>10968</v>
      </c>
      <c r="K55" s="13">
        <v>140</v>
      </c>
      <c r="L55" s="13">
        <v>15</v>
      </c>
      <c r="M55" s="13">
        <v>30</v>
      </c>
      <c r="N55" s="1"/>
      <c r="O55" s="1"/>
      <c r="P55" s="13">
        <v>124</v>
      </c>
      <c r="Q55" s="1">
        <v>3</v>
      </c>
      <c r="R55" s="1">
        <v>1</v>
      </c>
      <c r="S55" s="1"/>
      <c r="T55" s="1"/>
      <c r="U55" s="1">
        <v>6</v>
      </c>
      <c r="V55" s="40">
        <f t="shared" si="0"/>
        <v>2.7344818156959256E-4</v>
      </c>
      <c r="W55" s="40">
        <f t="shared" si="1"/>
        <v>9.116601331023795E-5</v>
      </c>
      <c r="X55" s="40">
        <f t="shared" si="2"/>
        <v>5.4674685620557679E-4</v>
      </c>
      <c r="Y55" s="2">
        <f t="shared" si="3"/>
        <v>0.83343465045592702</v>
      </c>
      <c r="Z55" s="2">
        <f t="shared" si="4"/>
        <v>0.99990883398668973</v>
      </c>
      <c r="AA55" s="2">
        <f t="shared" si="5"/>
        <v>0.83335866954149029</v>
      </c>
      <c r="AB55" s="1"/>
    </row>
    <row r="56" spans="1:28" x14ac:dyDescent="0.25">
      <c r="A56" s="15" t="s">
        <v>680</v>
      </c>
      <c r="B56" s="10" t="s">
        <v>760</v>
      </c>
      <c r="C56" s="10" t="s">
        <v>761</v>
      </c>
      <c r="D56" s="10" t="str">
        <f>VLOOKUP(C56,Setup!A:F,3,)</f>
        <v>Air freshener ALPEN Mountain watefall, 300 ml</v>
      </c>
      <c r="E56" s="10" t="str">
        <f>VLOOKUP(C56,Setup!A:F,4,)</f>
        <v>ALPEN</v>
      </c>
      <c r="F56" s="10" t="str">
        <f>VLOOKUP(C56,Setup!A:F,5,)</f>
        <v>AIR FRESHENERS</v>
      </c>
      <c r="G56" s="10" t="str">
        <f>VLOOKUP(C56,Setup!A:F,6,)</f>
        <v>Air fresheners waterbase</v>
      </c>
      <c r="H56" s="11" t="s">
        <v>817</v>
      </c>
      <c r="I56" s="36">
        <v>18936</v>
      </c>
      <c r="J56" s="12">
        <v>18924</v>
      </c>
      <c r="K56" s="13">
        <v>140</v>
      </c>
      <c r="L56" s="13">
        <v>15</v>
      </c>
      <c r="M56" s="13">
        <v>15</v>
      </c>
      <c r="N56" s="1"/>
      <c r="O56" s="1"/>
      <c r="P56" s="13">
        <v>167</v>
      </c>
      <c r="Q56" s="1">
        <v>3</v>
      </c>
      <c r="R56" s="1">
        <v>6</v>
      </c>
      <c r="S56" s="1"/>
      <c r="T56" s="1"/>
      <c r="U56" s="1">
        <v>6</v>
      </c>
      <c r="V56" s="40">
        <f t="shared" si="0"/>
        <v>1.5850372483753369E-4</v>
      </c>
      <c r="W56" s="40">
        <f t="shared" si="1"/>
        <v>3.1695721077654518E-4</v>
      </c>
      <c r="X56" s="40">
        <f t="shared" si="2"/>
        <v>3.1695721077654518E-4</v>
      </c>
      <c r="Y56" s="2">
        <f t="shared" si="3"/>
        <v>0.88928571428571423</v>
      </c>
      <c r="Z56" s="2">
        <f t="shared" si="4"/>
        <v>0.99968304278922349</v>
      </c>
      <c r="AA56" s="2">
        <f t="shared" si="5"/>
        <v>0.88900384876613081</v>
      </c>
      <c r="AB56" s="1"/>
    </row>
    <row r="57" spans="1:28" x14ac:dyDescent="0.25">
      <c r="A57" s="15" t="s">
        <v>680</v>
      </c>
      <c r="B57" s="10" t="s">
        <v>768</v>
      </c>
      <c r="C57" s="10" t="s">
        <v>769</v>
      </c>
      <c r="D57" s="10" t="str">
        <f>VLOOKUP(C57,Setup!A:F,3,)</f>
        <v>Air freshener ALPEN Berries, 300 ml</v>
      </c>
      <c r="E57" s="10" t="str">
        <f>VLOOKUP(C57,Setup!A:F,4,)</f>
        <v>ALPEN</v>
      </c>
      <c r="F57" s="10" t="str">
        <f>VLOOKUP(C57,Setup!A:F,5,)</f>
        <v>AIR FRESHENERS</v>
      </c>
      <c r="G57" s="10" t="str">
        <f>VLOOKUP(C57,Setup!A:F,6,)</f>
        <v>Air fresheners waterbase</v>
      </c>
      <c r="H57" s="11" t="s">
        <v>818</v>
      </c>
      <c r="I57" s="36">
        <v>10980</v>
      </c>
      <c r="J57" s="12">
        <v>10968</v>
      </c>
      <c r="K57" s="13">
        <v>140</v>
      </c>
      <c r="L57" s="13">
        <v>15</v>
      </c>
      <c r="M57" s="13">
        <v>0</v>
      </c>
      <c r="N57" s="1"/>
      <c r="O57" s="1"/>
      <c r="P57" s="13">
        <v>86</v>
      </c>
      <c r="Q57" s="1">
        <v>4</v>
      </c>
      <c r="R57" s="1">
        <v>2</v>
      </c>
      <c r="S57" s="1"/>
      <c r="T57" s="1"/>
      <c r="U57" s="1">
        <v>6</v>
      </c>
      <c r="V57" s="40">
        <f t="shared" si="0"/>
        <v>3.6456434560699962E-4</v>
      </c>
      <c r="W57" s="40">
        <f t="shared" si="1"/>
        <v>1.8231540565177758E-4</v>
      </c>
      <c r="X57" s="40">
        <f t="shared" si="2"/>
        <v>5.4674685620557679E-4</v>
      </c>
      <c r="Y57" s="2">
        <f t="shared" si="3"/>
        <v>0.91096345514950161</v>
      </c>
      <c r="Z57" s="2">
        <f t="shared" si="4"/>
        <v>0.99981768459434828</v>
      </c>
      <c r="AA57" s="2">
        <f t="shared" si="5"/>
        <v>0.91079737247764214</v>
      </c>
      <c r="AB57" s="1"/>
    </row>
    <row r="58" spans="1:28" x14ac:dyDescent="0.25">
      <c r="A58" s="15" t="s">
        <v>680</v>
      </c>
      <c r="B58" s="10" t="s">
        <v>702</v>
      </c>
      <c r="C58" s="10" t="s">
        <v>703</v>
      </c>
      <c r="D58" s="10" t="str">
        <f>VLOOKUP(C58,Setup!A:F,3,)</f>
        <v>Air freshener ALPEN Citrus freshness, 300 ml</v>
      </c>
      <c r="E58" s="10" t="str">
        <f>VLOOKUP(C58,Setup!A:F,4,)</f>
        <v>ALPEN</v>
      </c>
      <c r="F58" s="10" t="str">
        <f>VLOOKUP(C58,Setup!A:F,5,)</f>
        <v>AIR FRESHENERS</v>
      </c>
      <c r="G58" s="10" t="str">
        <f>VLOOKUP(C58,Setup!A:F,6,)</f>
        <v>Air fresheners waterbase</v>
      </c>
      <c r="H58" s="11" t="s">
        <v>819</v>
      </c>
      <c r="I58" s="36">
        <f>11818-9934</f>
        <v>1884</v>
      </c>
      <c r="J58" s="12">
        <f>504+1380</f>
        <v>1884</v>
      </c>
      <c r="K58" s="13">
        <v>140</v>
      </c>
      <c r="L58" s="13">
        <v>15</v>
      </c>
      <c r="M58" s="13">
        <v>0</v>
      </c>
      <c r="N58" s="1"/>
      <c r="O58" s="1"/>
      <c r="P58" s="13">
        <f>28-10+15</f>
        <v>33</v>
      </c>
      <c r="Q58" s="1"/>
      <c r="R58" s="1"/>
      <c r="S58" s="1"/>
      <c r="T58" s="1"/>
      <c r="U58" s="1">
        <v>5</v>
      </c>
      <c r="V58" s="40">
        <f t="shared" si="0"/>
        <v>0</v>
      </c>
      <c r="W58" s="40">
        <f t="shared" si="1"/>
        <v>0</v>
      </c>
      <c r="X58" s="40">
        <f t="shared" si="2"/>
        <v>2.6469031233456856E-3</v>
      </c>
      <c r="Y58" s="2">
        <f t="shared" si="3"/>
        <v>0.40779220779220782</v>
      </c>
      <c r="Z58" s="2">
        <f t="shared" si="4"/>
        <v>1</v>
      </c>
      <c r="AA58" s="2">
        <f t="shared" si="5"/>
        <v>0.40779220779220782</v>
      </c>
      <c r="AB58" s="1"/>
    </row>
    <row r="59" spans="1:28" x14ac:dyDescent="0.25">
      <c r="A59" s="15" t="s">
        <v>680</v>
      </c>
      <c r="B59" s="10" t="s">
        <v>820</v>
      </c>
      <c r="C59" s="10" t="s">
        <v>821</v>
      </c>
      <c r="D59" s="10" t="str">
        <f>VLOOKUP(C59,Setup!A:F,3,)</f>
        <v>Texturizing dry spray HOLLY POLLY, 200 ml</v>
      </c>
      <c r="E59" s="10" t="str">
        <f>VLOOKUP(C59,Setup!A:F,4,)</f>
        <v>HOLLY POLLY</v>
      </c>
      <c r="F59" s="10" t="str">
        <f>VLOOKUP(C59,Setup!A:F,5,)</f>
        <v>HAIR CARE</v>
      </c>
      <c r="G59" s="10" t="str">
        <f>VLOOKUP(C59,Setup!A:F,6,)</f>
        <v>Dry shampoo</v>
      </c>
      <c r="H59" s="11" t="s">
        <v>822</v>
      </c>
      <c r="I59" s="36">
        <v>31338</v>
      </c>
      <c r="J59" s="12">
        <f>23040+1728+4728</f>
        <v>29496</v>
      </c>
      <c r="K59" s="13">
        <v>120</v>
      </c>
      <c r="L59" s="13">
        <v>180</v>
      </c>
      <c r="M59" s="13">
        <v>60</v>
      </c>
      <c r="N59" s="1">
        <v>90</v>
      </c>
      <c r="O59" s="1" t="s">
        <v>4844</v>
      </c>
      <c r="P59" s="13">
        <f>720-10+60</f>
        <v>770</v>
      </c>
      <c r="Q59" s="1">
        <v>8</v>
      </c>
      <c r="R59" s="1">
        <f>286+27</f>
        <v>313</v>
      </c>
      <c r="S59" s="1"/>
      <c r="T59" s="1"/>
      <c r="U59" s="1">
        <v>14</v>
      </c>
      <c r="V59" s="40">
        <f t="shared" si="0"/>
        <v>2.7114967462039046E-4</v>
      </c>
      <c r="W59" s="40">
        <f t="shared" si="1"/>
        <v>1.0500184508034487E-2</v>
      </c>
      <c r="X59" s="40">
        <f t="shared" si="2"/>
        <v>4.7441545238902067E-4</v>
      </c>
      <c r="Y59" s="2">
        <f t="shared" si="3"/>
        <v>0.39645161290322578</v>
      </c>
      <c r="Z59" s="2">
        <f t="shared" si="4"/>
        <v>0.98949981549196553</v>
      </c>
      <c r="AA59" s="2">
        <f t="shared" si="5"/>
        <v>0.39228879781923404</v>
      </c>
      <c r="AB59" s="1"/>
    </row>
    <row r="60" spans="1:28" x14ac:dyDescent="0.25">
      <c r="A60" s="15" t="s">
        <v>680</v>
      </c>
      <c r="B60" s="10" t="s">
        <v>702</v>
      </c>
      <c r="C60" s="10" t="s">
        <v>703</v>
      </c>
      <c r="D60" s="10" t="str">
        <f>VLOOKUP(C60,Setup!A:F,3,)</f>
        <v>Air freshener ALPEN Citrus freshness, 300 ml</v>
      </c>
      <c r="E60" s="10" t="str">
        <f>VLOOKUP(C60,Setup!A:F,4,)</f>
        <v>ALPEN</v>
      </c>
      <c r="F60" s="10" t="str">
        <f>VLOOKUP(C60,Setup!A:F,5,)</f>
        <v>AIR FRESHENERS</v>
      </c>
      <c r="G60" s="10" t="str">
        <f>VLOOKUP(C60,Setup!A:F,6,)</f>
        <v>Air fresheners waterbase</v>
      </c>
      <c r="H60" s="11" t="s">
        <v>819</v>
      </c>
      <c r="I60" s="36">
        <v>9934</v>
      </c>
      <c r="J60" s="12">
        <v>10032</v>
      </c>
      <c r="K60" s="13">
        <v>140</v>
      </c>
      <c r="L60" s="13">
        <v>180</v>
      </c>
      <c r="M60" s="13">
        <v>0</v>
      </c>
      <c r="N60" s="1"/>
      <c r="O60" s="1"/>
      <c r="P60" s="13">
        <v>230</v>
      </c>
      <c r="Q60" s="1"/>
      <c r="R60" s="1"/>
      <c r="S60" s="1"/>
      <c r="T60" s="1"/>
      <c r="U60" s="1">
        <v>1</v>
      </c>
      <c r="V60" s="40">
        <f t="shared" si="0"/>
        <v>0</v>
      </c>
      <c r="W60" s="40">
        <f t="shared" si="1"/>
        <v>0</v>
      </c>
      <c r="X60" s="40">
        <f t="shared" si="2"/>
        <v>9.9671085418120197E-5</v>
      </c>
      <c r="Y60" s="2">
        <f t="shared" si="3"/>
        <v>0.31155279503105587</v>
      </c>
      <c r="Z60" s="2">
        <f t="shared" si="4"/>
        <v>1</v>
      </c>
      <c r="AA60" s="2">
        <f t="shared" si="5"/>
        <v>0.31155279503105587</v>
      </c>
      <c r="AB60" s="1"/>
    </row>
    <row r="61" spans="1:28" x14ac:dyDescent="0.25">
      <c r="A61" s="15" t="s">
        <v>680</v>
      </c>
      <c r="B61" s="10" t="s">
        <v>779</v>
      </c>
      <c r="C61" s="10" t="s">
        <v>780</v>
      </c>
      <c r="D61" s="10" t="str">
        <f>VLOOKUP(C61,Setup!A:F,3,)</f>
        <v>Air freshener LIBERHAUS After the rain, 300 ml, Sl</v>
      </c>
      <c r="E61" s="10" t="str">
        <f>VLOOKUP(C61,Setup!A:F,4,)</f>
        <v>LIBERHAUS</v>
      </c>
      <c r="F61" s="10" t="str">
        <f>VLOOKUP(C61,Setup!A:F,5,)</f>
        <v>AIR FRESHENERS</v>
      </c>
      <c r="G61" s="10" t="str">
        <f>VLOOKUP(C61,Setup!A:F,6,)</f>
        <v>Air fresheners waterbase</v>
      </c>
      <c r="H61" s="11" t="s">
        <v>823</v>
      </c>
      <c r="I61" s="36">
        <v>14640</v>
      </c>
      <c r="J61" s="12">
        <f>14892</f>
        <v>14892</v>
      </c>
      <c r="K61" s="13">
        <v>140</v>
      </c>
      <c r="L61" s="13">
        <v>15</v>
      </c>
      <c r="M61" s="13">
        <v>0</v>
      </c>
      <c r="N61" s="1"/>
      <c r="O61" s="1"/>
      <c r="P61" s="13">
        <v>145</v>
      </c>
      <c r="Q61" s="1"/>
      <c r="R61" s="1">
        <v>1</v>
      </c>
      <c r="S61" s="1"/>
      <c r="T61" s="1"/>
      <c r="U61" s="1"/>
      <c r="V61" s="40">
        <f t="shared" si="0"/>
        <v>0</v>
      </c>
      <c r="W61" s="40">
        <f t="shared" si="1"/>
        <v>6.7145638890754044E-5</v>
      </c>
      <c r="X61" s="40">
        <f t="shared" si="2"/>
        <v>0</v>
      </c>
      <c r="Y61" s="2">
        <f t="shared" si="3"/>
        <v>0.7335960591133005</v>
      </c>
      <c r="Z61" s="2">
        <f t="shared" si="4"/>
        <v>0.99993285436110924</v>
      </c>
      <c r="AA61" s="2">
        <f t="shared" si="5"/>
        <v>0.73354680133722361</v>
      </c>
      <c r="AB61" s="1"/>
    </row>
    <row r="62" spans="1:28" x14ac:dyDescent="0.25">
      <c r="A62" s="15" t="s">
        <v>680</v>
      </c>
      <c r="B62" s="10" t="s">
        <v>681</v>
      </c>
      <c r="C62" s="10" t="s">
        <v>682</v>
      </c>
      <c r="D62" s="10" t="str">
        <f>VLOOKUP(C62,Setup!A:F,3,)</f>
        <v>Air freshener LIBERHAUS Berry explosion, 300 ml</v>
      </c>
      <c r="E62" s="10" t="str">
        <f>VLOOKUP(C62,Setup!A:F,4,)</f>
        <v>LIBERHAUS</v>
      </c>
      <c r="F62" s="10" t="str">
        <f>VLOOKUP(C62,Setup!A:F,5,)</f>
        <v>AIR FRESHENERS</v>
      </c>
      <c r="G62" s="10" t="str">
        <f>VLOOKUP(C62,Setup!A:F,6,)</f>
        <v>Air fresheners waterbase</v>
      </c>
      <c r="H62" s="11" t="s">
        <v>824</v>
      </c>
      <c r="I62" s="36">
        <v>70272</v>
      </c>
      <c r="J62" s="12">
        <f>31068+1020+40356</f>
        <v>72444</v>
      </c>
      <c r="K62" s="13">
        <v>140</v>
      </c>
      <c r="L62" s="13">
        <v>15</v>
      </c>
      <c r="M62" s="13">
        <v>0</v>
      </c>
      <c r="N62" s="1"/>
      <c r="O62" s="1"/>
      <c r="P62" s="13">
        <f>285+388</f>
        <v>673</v>
      </c>
      <c r="Q62" s="1">
        <v>1</v>
      </c>
      <c r="R62" s="1">
        <v>8</v>
      </c>
      <c r="S62" s="1"/>
      <c r="T62" s="1"/>
      <c r="U62" s="1"/>
      <c r="V62" s="40">
        <f t="shared" si="0"/>
        <v>1.3803575125957624E-5</v>
      </c>
      <c r="W62" s="40">
        <f t="shared" si="1"/>
        <v>1.1041793187213604E-4</v>
      </c>
      <c r="X62" s="40">
        <f t="shared" si="2"/>
        <v>0</v>
      </c>
      <c r="Y62" s="2">
        <f t="shared" si="3"/>
        <v>0.76888134154107413</v>
      </c>
      <c r="Z62" s="2">
        <f t="shared" si="4"/>
        <v>0.99988958206812784</v>
      </c>
      <c r="AA62" s="2">
        <f t="shared" si="5"/>
        <v>0.76879644325348606</v>
      </c>
      <c r="AB62" s="1"/>
    </row>
    <row r="63" spans="1:28" x14ac:dyDescent="0.25">
      <c r="A63" s="15" t="s">
        <v>680</v>
      </c>
      <c r="B63" s="10" t="s">
        <v>779</v>
      </c>
      <c r="C63" s="10" t="s">
        <v>780</v>
      </c>
      <c r="D63" s="10" t="str">
        <f>VLOOKUP(C63,Setup!A:F,3,)</f>
        <v>Air freshener LIBERHAUS After the rain, 300 ml, Sl</v>
      </c>
      <c r="E63" s="10" t="str">
        <f>VLOOKUP(C63,Setup!A:F,4,)</f>
        <v>LIBERHAUS</v>
      </c>
      <c r="F63" s="10" t="str">
        <f>VLOOKUP(C63,Setup!A:F,5,)</f>
        <v>AIR FRESHENERS</v>
      </c>
      <c r="G63" s="10" t="str">
        <f>VLOOKUP(C63,Setup!A:F,6,)</f>
        <v>Air fresheners waterbase</v>
      </c>
      <c r="H63" s="11" t="s">
        <v>823</v>
      </c>
      <c r="I63" s="36">
        <v>24888</v>
      </c>
      <c r="J63" s="12">
        <v>25416</v>
      </c>
      <c r="K63" s="13">
        <v>140</v>
      </c>
      <c r="L63" s="13">
        <v>15</v>
      </c>
      <c r="M63" s="13">
        <v>0</v>
      </c>
      <c r="N63" s="1"/>
      <c r="O63" s="1"/>
      <c r="P63" s="13">
        <f>237</f>
        <v>237</v>
      </c>
      <c r="Q63" s="1">
        <v>5</v>
      </c>
      <c r="R63" s="1">
        <v>3</v>
      </c>
      <c r="S63" s="1"/>
      <c r="T63" s="1"/>
      <c r="U63" s="1">
        <v>6</v>
      </c>
      <c r="V63" s="40">
        <f t="shared" si="0"/>
        <v>1.9668777782148617E-4</v>
      </c>
      <c r="W63" s="40">
        <f t="shared" si="1"/>
        <v>1.1802195208308746E-4</v>
      </c>
      <c r="X63" s="40">
        <f t="shared" si="2"/>
        <v>2.360160490913382E-4</v>
      </c>
      <c r="Y63" s="2">
        <f t="shared" si="3"/>
        <v>0.76600361663652805</v>
      </c>
      <c r="Z63" s="2">
        <f t="shared" si="4"/>
        <v>0.9998819780479169</v>
      </c>
      <c r="AA63" s="2">
        <f t="shared" si="5"/>
        <v>0.76591321139438984</v>
      </c>
      <c r="AB63" s="1"/>
    </row>
    <row r="64" spans="1:28" x14ac:dyDescent="0.25">
      <c r="A64" s="15" t="s">
        <v>680</v>
      </c>
      <c r="B64" s="10" t="s">
        <v>739</v>
      </c>
      <c r="C64" s="10" t="s">
        <v>740</v>
      </c>
      <c r="D64" s="10" t="str">
        <f>VLOOKUP(C64,Setup!A:F,3,)</f>
        <v>Air freshener VERTI Air Pure Lilac day, 350 ml</v>
      </c>
      <c r="E64" s="10" t="str">
        <f>VLOOKUP(C64,Setup!A:F,4,)</f>
        <v>VERTI</v>
      </c>
      <c r="F64" s="10" t="str">
        <f>VLOOKUP(C64,Setup!A:F,5,)</f>
        <v>AIR FRESHENERS</v>
      </c>
      <c r="G64" s="10" t="str">
        <f>VLOOKUP(C64,Setup!A:F,6,)</f>
        <v>Air fresheners waterbase</v>
      </c>
      <c r="H64" s="11" t="s">
        <v>825</v>
      </c>
      <c r="I64" s="36">
        <v>10980</v>
      </c>
      <c r="J64" s="12">
        <v>11004</v>
      </c>
      <c r="K64" s="13">
        <v>140</v>
      </c>
      <c r="L64" s="13">
        <v>30</v>
      </c>
      <c r="M64" s="13">
        <v>0</v>
      </c>
      <c r="N64" s="1"/>
      <c r="O64" s="1"/>
      <c r="P64" s="13">
        <v>115</v>
      </c>
      <c r="Q64" s="1">
        <v>4</v>
      </c>
      <c r="R64" s="1"/>
      <c r="S64" s="1"/>
      <c r="T64" s="1"/>
      <c r="U64" s="1">
        <v>6</v>
      </c>
      <c r="V64" s="40">
        <f t="shared" si="0"/>
        <v>3.6337209302325581E-4</v>
      </c>
      <c r="W64" s="40">
        <f t="shared" si="1"/>
        <v>0</v>
      </c>
      <c r="X64" s="40">
        <f t="shared" si="2"/>
        <v>5.4495912806539512E-4</v>
      </c>
      <c r="Y64" s="2">
        <f t="shared" si="3"/>
        <v>0.6834782608695652</v>
      </c>
      <c r="Z64" s="2">
        <f t="shared" si="4"/>
        <v>1</v>
      </c>
      <c r="AA64" s="2">
        <f t="shared" si="5"/>
        <v>0.6834782608695652</v>
      </c>
      <c r="AB64" s="1"/>
    </row>
    <row r="65" spans="1:28" x14ac:dyDescent="0.25">
      <c r="A65" s="15" t="s">
        <v>680</v>
      </c>
      <c r="B65" s="10" t="s">
        <v>742</v>
      </c>
      <c r="C65" s="10" t="s">
        <v>743</v>
      </c>
      <c r="D65" s="10" t="str">
        <f>VLOOKUP(C65,Setup!A:F,3,)</f>
        <v>Air freshener VERTI Air Pure White peony, 350 ml</v>
      </c>
      <c r="E65" s="10" t="str">
        <f>VLOOKUP(C65,Setup!A:F,4,)</f>
        <v>VERTI</v>
      </c>
      <c r="F65" s="10" t="str">
        <f>VLOOKUP(C65,Setup!A:F,5,)</f>
        <v>AIR FRESHENERS</v>
      </c>
      <c r="G65" s="10" t="str">
        <f>VLOOKUP(C65,Setup!A:F,6,)</f>
        <v>Air fresheners waterbase</v>
      </c>
      <c r="H65" s="11" t="s">
        <v>826</v>
      </c>
      <c r="I65" s="36">
        <v>10980</v>
      </c>
      <c r="J65" s="12">
        <v>10980</v>
      </c>
      <c r="K65" s="13">
        <v>140</v>
      </c>
      <c r="L65" s="13">
        <v>15</v>
      </c>
      <c r="M65" s="13">
        <v>15</v>
      </c>
      <c r="N65" s="1"/>
      <c r="O65" s="1"/>
      <c r="P65" s="13">
        <v>120</v>
      </c>
      <c r="Q65" s="1">
        <v>1</v>
      </c>
      <c r="R65" s="1"/>
      <c r="S65" s="1"/>
      <c r="T65" s="1"/>
      <c r="U65" s="1">
        <v>6</v>
      </c>
      <c r="V65" s="40">
        <f t="shared" si="0"/>
        <v>9.1066387396411986E-5</v>
      </c>
      <c r="W65" s="40">
        <f t="shared" si="1"/>
        <v>0</v>
      </c>
      <c r="X65" s="40">
        <f t="shared" si="2"/>
        <v>5.461496450027307E-4</v>
      </c>
      <c r="Y65" s="2">
        <f t="shared" si="3"/>
        <v>0.74693877551020404</v>
      </c>
      <c r="Z65" s="2">
        <f t="shared" si="4"/>
        <v>1</v>
      </c>
      <c r="AA65" s="2">
        <f t="shared" si="5"/>
        <v>0.74693877551020404</v>
      </c>
      <c r="AB65" s="1"/>
    </row>
    <row r="66" spans="1:28" x14ac:dyDescent="0.25">
      <c r="A66" s="15" t="s">
        <v>680</v>
      </c>
      <c r="B66" s="10" t="s">
        <v>745</v>
      </c>
      <c r="C66" s="10" t="s">
        <v>746</v>
      </c>
      <c r="D66" s="10" t="str">
        <f>VLOOKUP(C66,Setup!A:F,3,)</f>
        <v>Air freshener VERTI Air Pure Ocean Breeze, 350 ml</v>
      </c>
      <c r="E66" s="10" t="str">
        <f>VLOOKUP(C66,Setup!A:F,4,)</f>
        <v>VERTI</v>
      </c>
      <c r="F66" s="10" t="str">
        <f>VLOOKUP(C66,Setup!A:F,5,)</f>
        <v>AIR FRESHENERS</v>
      </c>
      <c r="G66" s="10" t="str">
        <f>VLOOKUP(C66,Setup!A:F,6,)</f>
        <v>Air fresheners waterbase</v>
      </c>
      <c r="H66" s="11" t="s">
        <v>827</v>
      </c>
      <c r="I66" s="36">
        <v>10980</v>
      </c>
      <c r="J66" s="12">
        <v>11124</v>
      </c>
      <c r="K66" s="13">
        <v>140</v>
      </c>
      <c r="L66" s="13">
        <v>15</v>
      </c>
      <c r="M66" s="13">
        <v>30</v>
      </c>
      <c r="N66" s="1"/>
      <c r="O66" s="1"/>
      <c r="P66" s="13">
        <v>150</v>
      </c>
      <c r="Q66" s="1">
        <v>2</v>
      </c>
      <c r="R66" s="1">
        <v>2</v>
      </c>
      <c r="S66" s="1"/>
      <c r="T66" s="1"/>
      <c r="U66" s="1">
        <v>6</v>
      </c>
      <c r="V66" s="40">
        <f t="shared" si="0"/>
        <v>1.7975912277548085E-4</v>
      </c>
      <c r="W66" s="40">
        <f t="shared" si="1"/>
        <v>1.7975912277548085E-4</v>
      </c>
      <c r="X66" s="40">
        <f t="shared" si="2"/>
        <v>5.3908355795148253E-4</v>
      </c>
      <c r="Y66" s="2">
        <f t="shared" si="3"/>
        <v>0.66214285714285714</v>
      </c>
      <c r="Z66" s="2">
        <f t="shared" si="4"/>
        <v>0.99982024087722454</v>
      </c>
      <c r="AA66" s="2">
        <f t="shared" si="5"/>
        <v>0.66202383092370509</v>
      </c>
      <c r="AB66" s="1"/>
    </row>
    <row r="67" spans="1:28" x14ac:dyDescent="0.25">
      <c r="A67" s="15" t="s">
        <v>680</v>
      </c>
      <c r="B67" s="10" t="s">
        <v>785</v>
      </c>
      <c r="C67" s="10" t="s">
        <v>786</v>
      </c>
      <c r="D67" s="10" t="str">
        <f>VLOOKUP(C67,Setup!A:F,3,)</f>
        <v>Air freshener VERTI Lime, 350 ml</v>
      </c>
      <c r="E67" s="10" t="str">
        <f>VLOOKUP(C67,Setup!A:F,4,)</f>
        <v>VERTI</v>
      </c>
      <c r="F67" s="10" t="str">
        <f>VLOOKUP(C67,Setup!A:F,5,)</f>
        <v>AIR FRESHENERS</v>
      </c>
      <c r="G67" s="10" t="str">
        <f>VLOOKUP(C67,Setup!A:F,6,)</f>
        <v>Air fresheners waterbase</v>
      </c>
      <c r="H67" s="11" t="s">
        <v>828</v>
      </c>
      <c r="I67" s="36">
        <v>21960</v>
      </c>
      <c r="J67" s="12">
        <v>22644</v>
      </c>
      <c r="K67" s="13">
        <v>140</v>
      </c>
      <c r="L67" s="13">
        <v>15</v>
      </c>
      <c r="M67" s="13">
        <v>0</v>
      </c>
      <c r="N67" s="1"/>
      <c r="O67" s="1"/>
      <c r="P67" s="13">
        <v>205</v>
      </c>
      <c r="Q67" s="1">
        <v>5</v>
      </c>
      <c r="R67" s="1">
        <v>2</v>
      </c>
      <c r="S67" s="1"/>
      <c r="T67" s="1"/>
      <c r="U67" s="1">
        <v>6</v>
      </c>
      <c r="V67" s="40">
        <f t="shared" ref="V67:V130" si="6">Q67/(Q67+J67)</f>
        <v>2.2076029846792352E-4</v>
      </c>
      <c r="W67" s="40">
        <f t="shared" ref="W67:W130" si="7">R67/(R67+J67)</f>
        <v>8.8315817362889689E-5</v>
      </c>
      <c r="X67" s="40">
        <f t="shared" ref="X67:X130" si="8">U67/(U67+J67)</f>
        <v>2.6490066225165563E-4</v>
      </c>
      <c r="Y67" s="2">
        <f t="shared" ref="Y67:Y130" si="9">(J67/(K67*(P67-M67-N67)))</f>
        <v>0.78898954703832758</v>
      </c>
      <c r="Z67" s="2">
        <f t="shared" ref="Z67:Z130" si="10">(J67/(J67+R67+S67-T67))</f>
        <v>0.99991168418263709</v>
      </c>
      <c r="AA67" s="2">
        <f t="shared" ref="AA67:AA130" si="11">Y67*Z67</f>
        <v>0.7889198667815901</v>
      </c>
      <c r="AB67" s="1"/>
    </row>
    <row r="68" spans="1:28" x14ac:dyDescent="0.25">
      <c r="A68" s="15" t="s">
        <v>680</v>
      </c>
      <c r="B68" s="10" t="s">
        <v>782</v>
      </c>
      <c r="C68" s="10" t="s">
        <v>783</v>
      </c>
      <c r="D68" s="10" t="str">
        <f>VLOOKUP(C68,Setup!A:F,3,)</f>
        <v>Air freshener VERTI Antitabacco, 350 ml</v>
      </c>
      <c r="E68" s="10" t="str">
        <f>VLOOKUP(C68,Setup!A:F,4,)</f>
        <v>VERTI</v>
      </c>
      <c r="F68" s="10" t="str">
        <f>VLOOKUP(C68,Setup!A:F,5,)</f>
        <v>AIR FRESHENERS</v>
      </c>
      <c r="G68" s="10" t="str">
        <f>VLOOKUP(C68,Setup!A:F,6,)</f>
        <v>Air fresheners waterbase</v>
      </c>
      <c r="H68" s="11" t="s">
        <v>829</v>
      </c>
      <c r="I68" s="36">
        <v>21960</v>
      </c>
      <c r="J68" s="12">
        <f>14880+384+6672</f>
        <v>21936</v>
      </c>
      <c r="K68" s="13">
        <v>140</v>
      </c>
      <c r="L68" s="13">
        <v>15</v>
      </c>
      <c r="M68" s="13">
        <v>0</v>
      </c>
      <c r="N68" s="1"/>
      <c r="O68" s="1"/>
      <c r="P68" s="13">
        <f>145-10+56</f>
        <v>191</v>
      </c>
      <c r="Q68" s="1">
        <v>12</v>
      </c>
      <c r="R68" s="1">
        <v>5</v>
      </c>
      <c r="S68" s="1"/>
      <c r="T68" s="1"/>
      <c r="U68" s="1">
        <v>6</v>
      </c>
      <c r="V68" s="40">
        <f t="shared" si="6"/>
        <v>5.4674685620557679E-4</v>
      </c>
      <c r="W68" s="40">
        <f t="shared" si="7"/>
        <v>2.2788387037965454E-4</v>
      </c>
      <c r="X68" s="40">
        <f t="shared" si="8"/>
        <v>2.7344818156959256E-4</v>
      </c>
      <c r="Y68" s="2">
        <f t="shared" si="9"/>
        <v>0.82034405385190723</v>
      </c>
      <c r="Z68" s="2">
        <f t="shared" si="10"/>
        <v>0.99977211612962036</v>
      </c>
      <c r="AA68" s="2">
        <f t="shared" si="11"/>
        <v>0.82015711067387254</v>
      </c>
      <c r="AB68" s="1"/>
    </row>
    <row r="69" spans="1:28" x14ac:dyDescent="0.25">
      <c r="A69" s="15" t="s">
        <v>680</v>
      </c>
      <c r="B69" s="10" t="s">
        <v>788</v>
      </c>
      <c r="C69" s="10" t="s">
        <v>789</v>
      </c>
      <c r="D69" s="10" t="str">
        <f>VLOOKUP(C69,Setup!A:F,3,)</f>
        <v>Air freshener VERTI Morse minerals Odor blocker, 350 ml</v>
      </c>
      <c r="E69" s="10" t="str">
        <f>VLOOKUP(C69,Setup!A:F,4,)</f>
        <v>VERTI</v>
      </c>
      <c r="F69" s="10" t="str">
        <f>VLOOKUP(C69,Setup!A:F,5,)</f>
        <v>AIR FRESHENERS</v>
      </c>
      <c r="G69" s="10" t="str">
        <f>VLOOKUP(C69,Setup!A:F,6,)</f>
        <v>Air fresheners waterbase</v>
      </c>
      <c r="H69" s="11" t="s">
        <v>830</v>
      </c>
      <c r="I69" s="36">
        <v>21960</v>
      </c>
      <c r="J69" s="12">
        <v>21960</v>
      </c>
      <c r="K69" s="13">
        <v>140</v>
      </c>
      <c r="L69" s="13">
        <v>15</v>
      </c>
      <c r="M69" s="13">
        <v>0</v>
      </c>
      <c r="N69" s="1"/>
      <c r="O69" s="1"/>
      <c r="P69" s="13">
        <v>196</v>
      </c>
      <c r="Q69" s="1">
        <v>2</v>
      </c>
      <c r="R69" s="1">
        <v>5</v>
      </c>
      <c r="S69" s="1"/>
      <c r="T69" s="1"/>
      <c r="U69" s="1">
        <v>6</v>
      </c>
      <c r="V69" s="40">
        <f t="shared" si="6"/>
        <v>9.1066387396411986E-5</v>
      </c>
      <c r="W69" s="40">
        <f t="shared" si="7"/>
        <v>2.2763487366264513E-4</v>
      </c>
      <c r="X69" s="40">
        <f t="shared" si="8"/>
        <v>2.7314941272876261E-4</v>
      </c>
      <c r="Y69" s="2">
        <f t="shared" si="9"/>
        <v>0.80029154518950441</v>
      </c>
      <c r="Z69" s="2">
        <f t="shared" si="10"/>
        <v>0.99977236512633738</v>
      </c>
      <c r="AA69" s="2">
        <f t="shared" si="11"/>
        <v>0.8001093709247219</v>
      </c>
      <c r="AB69" s="1"/>
    </row>
    <row r="70" spans="1:28" x14ac:dyDescent="0.25">
      <c r="A70" s="15" t="s">
        <v>680</v>
      </c>
      <c r="B70" s="10" t="s">
        <v>748</v>
      </c>
      <c r="C70" s="10" t="s">
        <v>749</v>
      </c>
      <c r="D70" s="10" t="str">
        <f>VLOOKUP(C70,Setup!A:F,3,)</f>
        <v>Air freshener VERTI Air Pure After the rain, 350 ml</v>
      </c>
      <c r="E70" s="10" t="str">
        <f>VLOOKUP(C70,Setup!A:F,4,)</f>
        <v>VERTI</v>
      </c>
      <c r="F70" s="10" t="str">
        <f>VLOOKUP(C70,Setup!A:F,5,)</f>
        <v>AIR FRESHENERS</v>
      </c>
      <c r="G70" s="10" t="str">
        <f>VLOOKUP(C70,Setup!A:F,6,)</f>
        <v>Air fresheners waterbase</v>
      </c>
      <c r="H70" s="11" t="s">
        <v>831</v>
      </c>
      <c r="I70" s="36">
        <v>9150</v>
      </c>
      <c r="J70" s="12">
        <v>9348</v>
      </c>
      <c r="K70" s="13">
        <v>140</v>
      </c>
      <c r="L70" s="13">
        <v>15</v>
      </c>
      <c r="M70" s="13">
        <v>0</v>
      </c>
      <c r="N70" s="1"/>
      <c r="O70" s="1"/>
      <c r="P70" s="13">
        <v>98</v>
      </c>
      <c r="Q70" s="1">
        <v>2</v>
      </c>
      <c r="R70" s="1">
        <v>1</v>
      </c>
      <c r="S70" s="1"/>
      <c r="T70" s="1"/>
      <c r="U70" s="1">
        <v>6</v>
      </c>
      <c r="V70" s="40">
        <f t="shared" si="6"/>
        <v>2.1390374331550801E-4</v>
      </c>
      <c r="W70" s="40">
        <f t="shared" si="7"/>
        <v>1.0696331158412665E-4</v>
      </c>
      <c r="X70" s="40">
        <f t="shared" si="8"/>
        <v>6.4143681847338033E-4</v>
      </c>
      <c r="Y70" s="2">
        <f t="shared" si="9"/>
        <v>0.68134110787172009</v>
      </c>
      <c r="Z70" s="2">
        <f t="shared" si="10"/>
        <v>0.99989303668841589</v>
      </c>
      <c r="AA70" s="2">
        <f t="shared" si="11"/>
        <v>0.6812682293705038</v>
      </c>
      <c r="AB70" s="1"/>
    </row>
    <row r="71" spans="1:28" x14ac:dyDescent="0.25">
      <c r="A71" s="15" t="s">
        <v>680</v>
      </c>
      <c r="B71" s="10" t="s">
        <v>751</v>
      </c>
      <c r="C71" s="10" t="s">
        <v>752</v>
      </c>
      <c r="D71" s="10" t="str">
        <f>VLOOKUP(C71,Setup!A:F,3,)</f>
        <v>Air freshener VERTI Air Pure Freshness of linen, 350 ml</v>
      </c>
      <c r="E71" s="10" t="str">
        <f>VLOOKUP(C71,Setup!A:F,4,)</f>
        <v>VERTI</v>
      </c>
      <c r="F71" s="10" t="str">
        <f>VLOOKUP(C71,Setup!A:F,5,)</f>
        <v>AIR FRESHENERS</v>
      </c>
      <c r="G71" s="10" t="str">
        <f>VLOOKUP(C71,Setup!A:F,6,)</f>
        <v>Air fresheners waterbase</v>
      </c>
      <c r="H71" s="11" t="s">
        <v>832</v>
      </c>
      <c r="I71" s="36">
        <v>9150</v>
      </c>
      <c r="J71" s="12">
        <v>9144</v>
      </c>
      <c r="K71" s="13">
        <v>140</v>
      </c>
      <c r="L71" s="13">
        <v>15</v>
      </c>
      <c r="M71" s="13">
        <v>0</v>
      </c>
      <c r="N71" s="1"/>
      <c r="O71" s="1"/>
      <c r="P71" s="13">
        <v>98</v>
      </c>
      <c r="Q71" s="1">
        <v>2</v>
      </c>
      <c r="R71" s="1">
        <v>1</v>
      </c>
      <c r="S71" s="1"/>
      <c r="T71" s="1"/>
      <c r="U71" s="1">
        <v>6</v>
      </c>
      <c r="V71" s="40">
        <f t="shared" si="6"/>
        <v>2.1867483052700635E-4</v>
      </c>
      <c r="W71" s="40">
        <f t="shared" si="7"/>
        <v>1.0934937124111536E-4</v>
      </c>
      <c r="X71" s="40">
        <f t="shared" si="8"/>
        <v>6.5573770491803279E-4</v>
      </c>
      <c r="Y71" s="2">
        <f t="shared" si="9"/>
        <v>0.66647230320699713</v>
      </c>
      <c r="Z71" s="2">
        <f t="shared" si="10"/>
        <v>0.99989065062875893</v>
      </c>
      <c r="AA71" s="2">
        <f t="shared" si="11"/>
        <v>0.66639942487969184</v>
      </c>
      <c r="AB71" s="1"/>
    </row>
    <row r="72" spans="1:28" x14ac:dyDescent="0.25">
      <c r="A72" s="15" t="s">
        <v>680</v>
      </c>
      <c r="B72" s="10" t="s">
        <v>754</v>
      </c>
      <c r="C72" s="10" t="s">
        <v>755</v>
      </c>
      <c r="D72" s="10" t="str">
        <f>VLOOKUP(C72,Setup!A:F,3,)</f>
        <v>Air freshener VERTI Air Pure Anti-tobacco Mojito, 350 ml</v>
      </c>
      <c r="E72" s="10" t="str">
        <f>VLOOKUP(C72,Setup!A:F,4,)</f>
        <v>VERTI</v>
      </c>
      <c r="F72" s="10" t="str">
        <f>VLOOKUP(C72,Setup!A:F,5,)</f>
        <v>AIR FRESHENERS</v>
      </c>
      <c r="G72" s="10" t="str">
        <f>VLOOKUP(C72,Setup!A:F,6,)</f>
        <v>Air fresheners waterbase</v>
      </c>
      <c r="H72" s="11" t="s">
        <v>833</v>
      </c>
      <c r="I72" s="36">
        <v>9150</v>
      </c>
      <c r="J72" s="12">
        <v>9144</v>
      </c>
      <c r="K72" s="13">
        <v>140</v>
      </c>
      <c r="L72" s="13">
        <v>15</v>
      </c>
      <c r="M72" s="13">
        <v>0</v>
      </c>
      <c r="N72" s="1"/>
      <c r="O72" s="1"/>
      <c r="P72" s="13">
        <v>77</v>
      </c>
      <c r="Q72" s="1">
        <v>2</v>
      </c>
      <c r="R72" s="1">
        <v>1</v>
      </c>
      <c r="S72" s="1"/>
      <c r="T72" s="1"/>
      <c r="U72" s="1">
        <v>6</v>
      </c>
      <c r="V72" s="40">
        <f t="shared" si="6"/>
        <v>2.1867483052700635E-4</v>
      </c>
      <c r="W72" s="40">
        <f t="shared" si="7"/>
        <v>1.0934937124111536E-4</v>
      </c>
      <c r="X72" s="40">
        <f t="shared" si="8"/>
        <v>6.5573770491803279E-4</v>
      </c>
      <c r="Y72" s="2">
        <f t="shared" si="9"/>
        <v>0.84823747680890538</v>
      </c>
      <c r="Z72" s="2">
        <f t="shared" si="10"/>
        <v>0.99989065062875893</v>
      </c>
      <c r="AA72" s="2">
        <f t="shared" si="11"/>
        <v>0.84814472257415319</v>
      </c>
      <c r="AB72" s="1"/>
    </row>
    <row r="73" spans="1:28" x14ac:dyDescent="0.25">
      <c r="A73" s="15" t="s">
        <v>680</v>
      </c>
      <c r="B73" s="10" t="s">
        <v>757</v>
      </c>
      <c r="C73" s="10" t="s">
        <v>758</v>
      </c>
      <c r="D73" s="10" t="str">
        <f>VLOOKUP(C73,Setup!A:F,3,)</f>
        <v>Air freshener VERTI Air Pure Blooming mountains, 350 ml</v>
      </c>
      <c r="E73" s="10" t="str">
        <f>VLOOKUP(C73,Setup!A:F,4,)</f>
        <v>VERTI</v>
      </c>
      <c r="F73" s="10" t="str">
        <f>VLOOKUP(C73,Setup!A:F,5,)</f>
        <v>AIR FRESHENERS</v>
      </c>
      <c r="G73" s="10" t="str">
        <f>VLOOKUP(C73,Setup!A:F,6,)</f>
        <v>Air fresheners waterbase</v>
      </c>
      <c r="H73" s="11" t="s">
        <v>834</v>
      </c>
      <c r="I73" s="36">
        <v>9150</v>
      </c>
      <c r="J73" s="12">
        <v>8604</v>
      </c>
      <c r="K73" s="13">
        <v>140</v>
      </c>
      <c r="L73" s="13">
        <v>15</v>
      </c>
      <c r="M73" s="13">
        <v>0</v>
      </c>
      <c r="N73" s="1"/>
      <c r="O73" s="1"/>
      <c r="P73" s="13">
        <v>110</v>
      </c>
      <c r="Q73" s="1">
        <v>1</v>
      </c>
      <c r="R73" s="1">
        <v>1</v>
      </c>
      <c r="S73" s="1"/>
      <c r="T73" s="1"/>
      <c r="U73" s="1">
        <v>6</v>
      </c>
      <c r="V73" s="40">
        <f t="shared" si="6"/>
        <v>1.1621150493898897E-4</v>
      </c>
      <c r="W73" s="40">
        <f t="shared" si="7"/>
        <v>1.1621150493898897E-4</v>
      </c>
      <c r="X73" s="40">
        <f t="shared" si="8"/>
        <v>6.9686411149825784E-4</v>
      </c>
      <c r="Y73" s="2">
        <f t="shared" si="9"/>
        <v>0.5587012987012987</v>
      </c>
      <c r="Z73" s="2">
        <f t="shared" si="10"/>
        <v>0.99988378849506099</v>
      </c>
      <c r="AA73" s="2">
        <f t="shared" si="11"/>
        <v>0.55863637118256526</v>
      </c>
      <c r="AB73" s="1"/>
    </row>
    <row r="74" spans="1:28" x14ac:dyDescent="0.25">
      <c r="A74" s="15" t="s">
        <v>680</v>
      </c>
      <c r="B74" s="10" t="s">
        <v>91</v>
      </c>
      <c r="C74" s="10" t="s">
        <v>92</v>
      </c>
      <c r="D74" s="10" t="str">
        <f>VLOOKUP(C74,Setup!A:F,3,)</f>
        <v>Air freshener NUZHNIE VESHI Gentle freesia, 300 ml, N</v>
      </c>
      <c r="E74" s="10" t="str">
        <f>VLOOKUP(C74,Setup!A:F,4,)</f>
        <v>NUZHNYE VESHI</v>
      </c>
      <c r="F74" s="10" t="str">
        <f>VLOOKUP(C74,Setup!A:F,5,)</f>
        <v>AIR FRESHENERS</v>
      </c>
      <c r="G74" s="10" t="str">
        <f>VLOOKUP(C74,Setup!A:F,6,)</f>
        <v>Air fresheners waterbase</v>
      </c>
      <c r="H74" s="11" t="s">
        <v>835</v>
      </c>
      <c r="I74" s="31">
        <v>7365</v>
      </c>
      <c r="J74" s="12">
        <f>3888+1704+24+1480</f>
        <v>7096</v>
      </c>
      <c r="K74" s="13">
        <v>140</v>
      </c>
      <c r="L74" s="13">
        <v>45</v>
      </c>
      <c r="M74" s="13">
        <v>0</v>
      </c>
      <c r="N74" s="1">
        <v>50</v>
      </c>
      <c r="O74" s="1" t="s">
        <v>4841</v>
      </c>
      <c r="P74" s="13">
        <f>100-10+25+40</f>
        <v>155</v>
      </c>
      <c r="Q74" s="1"/>
      <c r="R74" s="1"/>
      <c r="S74" s="1"/>
      <c r="T74" s="1"/>
      <c r="U74" s="1">
        <v>6</v>
      </c>
      <c r="V74" s="40">
        <f t="shared" si="6"/>
        <v>0</v>
      </c>
      <c r="W74" s="40">
        <f t="shared" si="7"/>
        <v>0</v>
      </c>
      <c r="X74" s="40">
        <f t="shared" si="8"/>
        <v>8.4483244156575608E-4</v>
      </c>
      <c r="Y74" s="2">
        <f t="shared" si="9"/>
        <v>0.48272108843537415</v>
      </c>
      <c r="Z74" s="2">
        <f t="shared" si="10"/>
        <v>1</v>
      </c>
      <c r="AA74" s="2">
        <f t="shared" si="11"/>
        <v>0.48272108843537415</v>
      </c>
      <c r="AB74" s="1"/>
    </row>
    <row r="75" spans="1:28" x14ac:dyDescent="0.25">
      <c r="A75" s="15" t="s">
        <v>680</v>
      </c>
      <c r="B75" s="10" t="s">
        <v>79</v>
      </c>
      <c r="C75" s="10" t="s">
        <v>80</v>
      </c>
      <c r="D75" s="10" t="str">
        <f>VLOOKUP(C75,Setup!A:F,3,)</f>
        <v>Air freshener NUZHNIE VESHI Kiwi grapes. antitobacco, 300 ml, N</v>
      </c>
      <c r="E75" s="10" t="str">
        <f>VLOOKUP(C75,Setup!A:F,4,)</f>
        <v>NUZHNYE VESHI</v>
      </c>
      <c r="F75" s="10" t="str">
        <f>VLOOKUP(C75,Setup!A:F,5,)</f>
        <v>AIR FRESHENERS</v>
      </c>
      <c r="G75" s="10" t="str">
        <f>VLOOKUP(C75,Setup!A:F,6,)</f>
        <v>Air fresheners waterbase</v>
      </c>
      <c r="H75" s="11" t="s">
        <v>836</v>
      </c>
      <c r="I75" s="31">
        <v>7478</v>
      </c>
      <c r="J75" s="12">
        <v>7548</v>
      </c>
      <c r="K75" s="13">
        <v>140</v>
      </c>
      <c r="L75" s="13">
        <v>15</v>
      </c>
      <c r="M75" s="13">
        <v>0</v>
      </c>
      <c r="N75" s="1"/>
      <c r="O75" s="1"/>
      <c r="P75" s="13">
        <v>75</v>
      </c>
      <c r="Q75" s="1"/>
      <c r="R75" s="1"/>
      <c r="S75" s="1"/>
      <c r="T75" s="1"/>
      <c r="U75" s="1">
        <v>6</v>
      </c>
      <c r="V75" s="40">
        <f t="shared" si="6"/>
        <v>0</v>
      </c>
      <c r="W75" s="40">
        <f t="shared" si="7"/>
        <v>0</v>
      </c>
      <c r="X75" s="40">
        <f t="shared" si="8"/>
        <v>7.9428117553613975E-4</v>
      </c>
      <c r="Y75" s="2">
        <f t="shared" si="9"/>
        <v>0.71885714285714286</v>
      </c>
      <c r="Z75" s="2">
        <f t="shared" si="10"/>
        <v>1</v>
      </c>
      <c r="AA75" s="2">
        <f t="shared" si="11"/>
        <v>0.71885714285714286</v>
      </c>
      <c r="AB75" s="1"/>
    </row>
    <row r="76" spans="1:28" x14ac:dyDescent="0.25">
      <c r="A76" s="15" t="s">
        <v>680</v>
      </c>
      <c r="B76" s="10" t="s">
        <v>76</v>
      </c>
      <c r="C76" s="10" t="s">
        <v>77</v>
      </c>
      <c r="D76" s="10" t="str">
        <f>VLOOKUP(C76,Setup!A:F,3,)</f>
        <v>Air freshener NUZHNIE VESHI Vanilla comfort, 300 ml, N</v>
      </c>
      <c r="E76" s="10" t="str">
        <f>VLOOKUP(C76,Setup!A:F,4,)</f>
        <v>NUZHNYE VESHI</v>
      </c>
      <c r="F76" s="10" t="str">
        <f>VLOOKUP(C76,Setup!A:F,5,)</f>
        <v>AIR FRESHENERS</v>
      </c>
      <c r="G76" s="10" t="str">
        <f>VLOOKUP(C76,Setup!A:F,6,)</f>
        <v>Air fresheners waterbase</v>
      </c>
      <c r="H76" s="11" t="s">
        <v>837</v>
      </c>
      <c r="I76" s="31">
        <v>7518</v>
      </c>
      <c r="J76" s="12">
        <v>7596</v>
      </c>
      <c r="K76" s="13">
        <v>60</v>
      </c>
      <c r="L76" s="13">
        <v>30</v>
      </c>
      <c r="M76" s="13">
        <v>0</v>
      </c>
      <c r="N76" s="1"/>
      <c r="O76" s="1"/>
      <c r="P76" s="13">
        <v>154</v>
      </c>
      <c r="Q76" s="1">
        <v>3</v>
      </c>
      <c r="R76" s="1">
        <v>6</v>
      </c>
      <c r="S76" s="1"/>
      <c r="T76" s="1"/>
      <c r="U76" s="1">
        <v>6</v>
      </c>
      <c r="V76" s="40">
        <f t="shared" si="6"/>
        <v>3.9478878799842083E-4</v>
      </c>
      <c r="W76" s="40">
        <f t="shared" si="7"/>
        <v>7.8926598263614838E-4</v>
      </c>
      <c r="X76" s="40">
        <f t="shared" si="8"/>
        <v>7.8926598263614838E-4</v>
      </c>
      <c r="Y76" s="2">
        <f t="shared" si="9"/>
        <v>0.82207792207792207</v>
      </c>
      <c r="Z76" s="2">
        <f t="shared" si="10"/>
        <v>0.99921073401736382</v>
      </c>
      <c r="AA76" s="2">
        <f t="shared" si="11"/>
        <v>0.82142908393894976</v>
      </c>
      <c r="AB76" s="1" t="s">
        <v>4859</v>
      </c>
    </row>
    <row r="77" spans="1:28" x14ac:dyDescent="0.25">
      <c r="A77" s="15" t="s">
        <v>680</v>
      </c>
      <c r="B77" s="10" t="s">
        <v>838</v>
      </c>
      <c r="C77" s="10" t="s">
        <v>839</v>
      </c>
      <c r="D77" s="10" t="str">
        <f>VLOOKUP(C77,Setup!A:F,3,)</f>
        <v>Air freshener KRASNAYA PTICHKA Juicy apple and cinnamon, 300 ml</v>
      </c>
      <c r="E77" s="10" t="str">
        <f>VLOOKUP(C77,Setup!A:F,4,)</f>
        <v>AUCHAN</v>
      </c>
      <c r="F77" s="10" t="str">
        <f>VLOOKUP(C77,Setup!A:F,5,)</f>
        <v>AIR FRESHENERS</v>
      </c>
      <c r="G77" s="10" t="str">
        <f>VLOOKUP(C77,Setup!A:F,6,)</f>
        <v>Air fresheners waterbase</v>
      </c>
      <c r="H77" s="11" t="s">
        <v>840</v>
      </c>
      <c r="I77" s="31">
        <v>8784</v>
      </c>
      <c r="J77" s="12">
        <v>8772</v>
      </c>
      <c r="K77" s="13">
        <v>140</v>
      </c>
      <c r="L77" s="13">
        <v>30</v>
      </c>
      <c r="M77" s="13">
        <v>0</v>
      </c>
      <c r="N77" s="1"/>
      <c r="O77" s="1"/>
      <c r="P77" s="13">
        <v>122</v>
      </c>
      <c r="Q77" s="1">
        <v>3</v>
      </c>
      <c r="R77" s="1"/>
      <c r="S77" s="1"/>
      <c r="T77" s="1"/>
      <c r="U77" s="1">
        <v>6</v>
      </c>
      <c r="V77" s="40">
        <f t="shared" si="6"/>
        <v>3.4188034188034188E-4</v>
      </c>
      <c r="W77" s="40">
        <f t="shared" si="7"/>
        <v>0</v>
      </c>
      <c r="X77" s="40">
        <f t="shared" si="8"/>
        <v>6.8352699931647305E-4</v>
      </c>
      <c r="Y77" s="2">
        <f t="shared" si="9"/>
        <v>0.51358313817330215</v>
      </c>
      <c r="Z77" s="2">
        <f t="shared" si="10"/>
        <v>1</v>
      </c>
      <c r="AA77" s="2">
        <f t="shared" si="11"/>
        <v>0.51358313817330215</v>
      </c>
      <c r="AB77" s="1"/>
    </row>
    <row r="78" spans="1:28" x14ac:dyDescent="0.25">
      <c r="A78" s="15" t="s">
        <v>680</v>
      </c>
      <c r="B78" s="10" t="s">
        <v>841</v>
      </c>
      <c r="C78" s="10" t="s">
        <v>842</v>
      </c>
      <c r="D78" s="10" t="str">
        <f>VLOOKUP(C78,Setup!A:F,3,)</f>
        <v>Air freshener KRASNAYA PTICHKA Fruit jelly, 300 ml</v>
      </c>
      <c r="E78" s="10" t="str">
        <f>VLOOKUP(C78,Setup!A:F,4,)</f>
        <v>AUCHAN</v>
      </c>
      <c r="F78" s="10" t="str">
        <f>VLOOKUP(C78,Setup!A:F,5,)</f>
        <v>AIR FRESHENERS</v>
      </c>
      <c r="G78" s="10" t="str">
        <f>VLOOKUP(C78,Setup!A:F,6,)</f>
        <v>Air fresheners waterbase</v>
      </c>
      <c r="H78" s="11" t="s">
        <v>843</v>
      </c>
      <c r="I78" s="31">
        <v>8784</v>
      </c>
      <c r="J78" s="12">
        <v>8748</v>
      </c>
      <c r="K78" s="13">
        <v>140</v>
      </c>
      <c r="L78" s="13">
        <v>15</v>
      </c>
      <c r="M78" s="13">
        <v>0</v>
      </c>
      <c r="N78" s="1"/>
      <c r="O78" s="1"/>
      <c r="P78" s="13">
        <v>81</v>
      </c>
      <c r="Q78" s="1"/>
      <c r="R78" s="1">
        <v>2</v>
      </c>
      <c r="S78" s="1"/>
      <c r="T78" s="1"/>
      <c r="U78" s="1">
        <v>6</v>
      </c>
      <c r="V78" s="40">
        <f t="shared" si="6"/>
        <v>0</v>
      </c>
      <c r="W78" s="40">
        <f t="shared" si="7"/>
        <v>2.2857142857142857E-4</v>
      </c>
      <c r="X78" s="40">
        <f t="shared" si="8"/>
        <v>6.8540095956134343E-4</v>
      </c>
      <c r="Y78" s="2">
        <f t="shared" si="9"/>
        <v>0.77142857142857146</v>
      </c>
      <c r="Z78" s="2">
        <f t="shared" si="10"/>
        <v>0.99977142857142853</v>
      </c>
      <c r="AA78" s="2">
        <f t="shared" si="11"/>
        <v>0.77125224489795918</v>
      </c>
      <c r="AB78" s="1"/>
    </row>
    <row r="79" spans="1:28" x14ac:dyDescent="0.25">
      <c r="A79" s="15" t="s">
        <v>680</v>
      </c>
      <c r="B79" s="10" t="s">
        <v>844</v>
      </c>
      <c r="C79" s="10" t="s">
        <v>845</v>
      </c>
      <c r="D79" s="10" t="str">
        <f>VLOOKUP(C79,Setup!A:F,3,)</f>
        <v>Air freshener KRASNAYA PTICHKA Sicilian mandarin and caramel, 300 ml</v>
      </c>
      <c r="E79" s="10" t="str">
        <f>VLOOKUP(C79,Setup!A:F,4,)</f>
        <v>AUCHAN</v>
      </c>
      <c r="F79" s="10" t="str">
        <f>VLOOKUP(C79,Setup!A:F,5,)</f>
        <v>AIR FRESHENERS</v>
      </c>
      <c r="G79" s="10" t="str">
        <f>VLOOKUP(C79,Setup!A:F,6,)</f>
        <v>Air fresheners waterbase</v>
      </c>
      <c r="H79" s="11" t="s">
        <v>846</v>
      </c>
      <c r="I79" s="31">
        <v>8784</v>
      </c>
      <c r="J79" s="12">
        <v>8772</v>
      </c>
      <c r="K79" s="13">
        <v>140</v>
      </c>
      <c r="L79" s="13">
        <v>15</v>
      </c>
      <c r="M79" s="13">
        <v>0</v>
      </c>
      <c r="N79" s="1"/>
      <c r="O79" s="1"/>
      <c r="P79" s="13">
        <v>84</v>
      </c>
      <c r="Q79" s="1"/>
      <c r="R79" s="1">
        <v>1</v>
      </c>
      <c r="S79" s="1"/>
      <c r="T79" s="1"/>
      <c r="U79" s="1">
        <v>6</v>
      </c>
      <c r="V79" s="40">
        <f t="shared" si="6"/>
        <v>0</v>
      </c>
      <c r="W79" s="40">
        <f t="shared" si="7"/>
        <v>1.1398609369656902E-4</v>
      </c>
      <c r="X79" s="40">
        <f t="shared" si="8"/>
        <v>6.8352699931647305E-4</v>
      </c>
      <c r="Y79" s="2">
        <f t="shared" si="9"/>
        <v>0.74591836734693873</v>
      </c>
      <c r="Z79" s="2">
        <f t="shared" si="10"/>
        <v>0.99988601390630338</v>
      </c>
      <c r="AA79" s="2">
        <f t="shared" si="11"/>
        <v>0.74583334302602833</v>
      </c>
      <c r="AB79" s="1"/>
    </row>
    <row r="80" spans="1:28" x14ac:dyDescent="0.25">
      <c r="A80" s="15" t="s">
        <v>680</v>
      </c>
      <c r="B80" s="10" t="s">
        <v>847</v>
      </c>
      <c r="C80" s="10" t="s">
        <v>848</v>
      </c>
      <c r="D80" s="10" t="str">
        <f>VLOOKUP(C80,Setup!A:F,3,)</f>
        <v>Air freshener KRASNAYA PTICHKA Flavored Cola, 300 ml</v>
      </c>
      <c r="E80" s="10" t="str">
        <f>VLOOKUP(C80,Setup!A:F,4,)</f>
        <v>AUCHAN</v>
      </c>
      <c r="F80" s="10" t="str">
        <f>VLOOKUP(C80,Setup!A:F,5,)</f>
        <v>AIR FRESHENERS</v>
      </c>
      <c r="G80" s="10" t="str">
        <f>VLOOKUP(C80,Setup!A:F,6,)</f>
        <v>Air fresheners waterbase</v>
      </c>
      <c r="H80" s="11" t="s">
        <v>849</v>
      </c>
      <c r="I80" s="31">
        <v>4392</v>
      </c>
      <c r="J80" s="12">
        <v>4428</v>
      </c>
      <c r="K80" s="13">
        <v>140</v>
      </c>
      <c r="L80" s="13">
        <v>15</v>
      </c>
      <c r="M80" s="13">
        <v>0</v>
      </c>
      <c r="N80" s="1"/>
      <c r="O80" s="1"/>
      <c r="P80" s="13">
        <v>46</v>
      </c>
      <c r="Q80" s="1"/>
      <c r="R80" s="1"/>
      <c r="S80" s="1"/>
      <c r="T80" s="1"/>
      <c r="U80" s="1">
        <v>6</v>
      </c>
      <c r="V80" s="40">
        <f t="shared" si="6"/>
        <v>0</v>
      </c>
      <c r="W80" s="40">
        <f t="shared" si="7"/>
        <v>0</v>
      </c>
      <c r="X80" s="40">
        <f t="shared" si="8"/>
        <v>1.3531799729364006E-3</v>
      </c>
      <c r="Y80" s="2">
        <f t="shared" si="9"/>
        <v>0.68757763975155284</v>
      </c>
      <c r="Z80" s="2">
        <f t="shared" si="10"/>
        <v>1</v>
      </c>
      <c r="AA80" s="2">
        <f t="shared" si="11"/>
        <v>0.68757763975155284</v>
      </c>
      <c r="AB80" s="1"/>
    </row>
    <row r="81" spans="1:28" x14ac:dyDescent="0.25">
      <c r="A81" s="15" t="s">
        <v>680</v>
      </c>
      <c r="B81" s="10" t="s">
        <v>213</v>
      </c>
      <c r="C81" s="10" t="s">
        <v>214</v>
      </c>
      <c r="D81" s="10" t="str">
        <f>VLOOKUP(C81,Setup!A:F,3,)</f>
        <v>Air freshener GREEN COLLECTION BY PROVENCE Lilac and lavender, 300 ml</v>
      </c>
      <c r="E81" s="10" t="str">
        <f>VLOOKUP(C81,Setup!A:F,4,)</f>
        <v>GREEN COLLECTION BY PROVENCE</v>
      </c>
      <c r="F81" s="10" t="str">
        <f>VLOOKUP(C81,Setup!A:F,5,)</f>
        <v>AIR FRESHENERS</v>
      </c>
      <c r="G81" s="10" t="str">
        <f>VLOOKUP(C81,Setup!A:F,6,)</f>
        <v>Air fresheners waterbase</v>
      </c>
      <c r="H81" s="11" t="s">
        <v>850</v>
      </c>
      <c r="I81" s="31">
        <v>5429</v>
      </c>
      <c r="J81" s="12">
        <v>5316</v>
      </c>
      <c r="K81" s="13">
        <v>140</v>
      </c>
      <c r="L81" s="13">
        <v>15</v>
      </c>
      <c r="M81" s="13">
        <v>0</v>
      </c>
      <c r="N81" s="1"/>
      <c r="O81" s="1"/>
      <c r="P81" s="13">
        <v>72</v>
      </c>
      <c r="Q81" s="1">
        <v>2</v>
      </c>
      <c r="R81" s="1">
        <v>1</v>
      </c>
      <c r="S81" s="1"/>
      <c r="T81" s="1"/>
      <c r="U81" s="1">
        <v>6</v>
      </c>
      <c r="V81" s="40">
        <f t="shared" si="6"/>
        <v>3.7608123354644602E-4</v>
      </c>
      <c r="W81" s="40">
        <f t="shared" si="7"/>
        <v>1.880759826970096E-4</v>
      </c>
      <c r="X81" s="40">
        <f t="shared" si="8"/>
        <v>1.1273957158962795E-3</v>
      </c>
      <c r="Y81" s="2">
        <f t="shared" si="9"/>
        <v>0.52738095238095239</v>
      </c>
      <c r="Z81" s="2">
        <f t="shared" si="10"/>
        <v>0.99981192401730301</v>
      </c>
      <c r="AA81" s="2">
        <f t="shared" si="11"/>
        <v>0.5272817646900777</v>
      </c>
      <c r="AB81" s="1"/>
    </row>
    <row r="82" spans="1:28" x14ac:dyDescent="0.25">
      <c r="A82" s="15" t="s">
        <v>680</v>
      </c>
      <c r="B82" s="10" t="s">
        <v>851</v>
      </c>
      <c r="C82" s="10" t="s">
        <v>852</v>
      </c>
      <c r="D82" s="10" t="str">
        <f>VLOOKUP(C82,Setup!A:F,3,)</f>
        <v>Air freshener GREEN COLLECTION BY PROVENCE Azure Alps, 300 ml</v>
      </c>
      <c r="E82" s="10" t="str">
        <f>VLOOKUP(C82,Setup!A:F,4,)</f>
        <v>GREEN COLLECTION BY PROVENCE</v>
      </c>
      <c r="F82" s="10" t="str">
        <f>VLOOKUP(C82,Setup!A:F,5,)</f>
        <v>AIR FRESHENERS</v>
      </c>
      <c r="G82" s="10" t="str">
        <f>VLOOKUP(C82,Setup!A:F,6,)</f>
        <v>Air fresheners waterbase</v>
      </c>
      <c r="H82" s="11" t="s">
        <v>853</v>
      </c>
      <c r="I82" s="31">
        <v>2400</v>
      </c>
      <c r="J82" s="12">
        <f>84+2604</f>
        <v>2688</v>
      </c>
      <c r="K82" s="13">
        <v>140</v>
      </c>
      <c r="L82" s="13">
        <v>15</v>
      </c>
      <c r="M82" s="13">
        <v>0</v>
      </c>
      <c r="N82" s="1"/>
      <c r="O82" s="1"/>
      <c r="P82" s="13">
        <f>5+50</f>
        <v>55</v>
      </c>
      <c r="Q82" s="1"/>
      <c r="R82" s="1"/>
      <c r="S82" s="1"/>
      <c r="T82" s="1"/>
      <c r="U82" s="1">
        <v>6</v>
      </c>
      <c r="V82" s="40">
        <f t="shared" si="6"/>
        <v>0</v>
      </c>
      <c r="W82" s="40">
        <f t="shared" si="7"/>
        <v>0</v>
      </c>
      <c r="X82" s="40">
        <f t="shared" si="8"/>
        <v>2.2271714922048997E-3</v>
      </c>
      <c r="Y82" s="2">
        <f t="shared" si="9"/>
        <v>0.34909090909090912</v>
      </c>
      <c r="Z82" s="2">
        <f t="shared" si="10"/>
        <v>1</v>
      </c>
      <c r="AA82" s="2">
        <f t="shared" si="11"/>
        <v>0.34909090909090912</v>
      </c>
      <c r="AB82" s="1"/>
    </row>
    <row r="83" spans="1:28" x14ac:dyDescent="0.25">
      <c r="A83" s="15" t="s">
        <v>680</v>
      </c>
      <c r="B83" s="10" t="s">
        <v>715</v>
      </c>
      <c r="C83" s="10" t="s">
        <v>716</v>
      </c>
      <c r="D83" s="10" t="str">
        <f>VLOOKUP(C83,Setup!A:F,3,)</f>
        <v>Air freshener GREEN COLLECTION BY PROVENCE Azure Alps, 300 ml</v>
      </c>
      <c r="E83" s="10" t="str">
        <f>VLOOKUP(C83,Setup!A:F,4,)</f>
        <v>GREEN COLLECTION BY PROVENCE</v>
      </c>
      <c r="F83" s="10" t="str">
        <f>VLOOKUP(C83,Setup!A:F,5,)</f>
        <v>AIR FRESHENERS</v>
      </c>
      <c r="G83" s="10" t="str">
        <f>VLOOKUP(C83,Setup!A:F,6,)</f>
        <v>Air fresheners waterbase</v>
      </c>
      <c r="H83" s="11" t="s">
        <v>853</v>
      </c>
      <c r="I83" s="31">
        <v>3200</v>
      </c>
      <c r="J83" s="12">
        <v>3204</v>
      </c>
      <c r="K83" s="13">
        <v>140</v>
      </c>
      <c r="L83" s="13">
        <v>0</v>
      </c>
      <c r="M83" s="13">
        <v>0</v>
      </c>
      <c r="N83" s="1"/>
      <c r="O83" s="1"/>
      <c r="P83" s="13">
        <v>35</v>
      </c>
      <c r="Q83" s="1"/>
      <c r="R83" s="1"/>
      <c r="S83" s="1"/>
      <c r="T83" s="1"/>
      <c r="U83" s="1">
        <v>6</v>
      </c>
      <c r="V83" s="40">
        <f t="shared" si="6"/>
        <v>0</v>
      </c>
      <c r="W83" s="40">
        <f t="shared" si="7"/>
        <v>0</v>
      </c>
      <c r="X83" s="40">
        <f t="shared" si="8"/>
        <v>1.869158878504673E-3</v>
      </c>
      <c r="Y83" s="2">
        <f t="shared" si="9"/>
        <v>0.65387755102040812</v>
      </c>
      <c r="Z83" s="2">
        <f t="shared" si="10"/>
        <v>1</v>
      </c>
      <c r="AA83" s="2">
        <f t="shared" si="11"/>
        <v>0.65387755102040812</v>
      </c>
      <c r="AB83" s="1"/>
    </row>
    <row r="84" spans="1:28" x14ac:dyDescent="0.25">
      <c r="A84" s="15" t="s">
        <v>680</v>
      </c>
      <c r="B84" s="10" t="s">
        <v>854</v>
      </c>
      <c r="C84" s="10" t="s">
        <v>855</v>
      </c>
      <c r="D84" s="10" t="str">
        <f>VLOOKUP(C84,Setup!A:F,3,)</f>
        <v xml:space="preserve">Air freshener GREEN COLLECTION BY PROVENCE After the rain, 300 ml, Gatter group </v>
      </c>
      <c r="E84" s="10" t="str">
        <f>VLOOKUP(C84,Setup!A:F,4,)</f>
        <v>GREEN COLLECTION BY PROVENCE</v>
      </c>
      <c r="F84" s="10" t="str">
        <f>VLOOKUP(C84,Setup!A:F,5,)</f>
        <v>AIR FRESHENERS</v>
      </c>
      <c r="G84" s="10" t="str">
        <f>VLOOKUP(C84,Setup!A:F,6,)</f>
        <v>Air fresheners waterbase</v>
      </c>
      <c r="H84" s="11" t="s">
        <v>856</v>
      </c>
      <c r="I84" s="31">
        <v>2400</v>
      </c>
      <c r="J84" s="12">
        <v>2189</v>
      </c>
      <c r="K84" s="13">
        <v>140</v>
      </c>
      <c r="L84" s="13">
        <v>15</v>
      </c>
      <c r="M84" s="13">
        <v>0</v>
      </c>
      <c r="N84" s="1"/>
      <c r="O84" s="1"/>
      <c r="P84" s="13">
        <v>25</v>
      </c>
      <c r="Q84" s="1"/>
      <c r="R84" s="1"/>
      <c r="S84" s="1"/>
      <c r="T84" s="1"/>
      <c r="U84" s="1">
        <v>4</v>
      </c>
      <c r="V84" s="40">
        <f t="shared" si="6"/>
        <v>0</v>
      </c>
      <c r="W84" s="40">
        <f t="shared" si="7"/>
        <v>0</v>
      </c>
      <c r="X84" s="40">
        <f t="shared" si="8"/>
        <v>1.823985408116735E-3</v>
      </c>
      <c r="Y84" s="2">
        <f t="shared" si="9"/>
        <v>0.62542857142857144</v>
      </c>
      <c r="Z84" s="2">
        <f t="shared" si="10"/>
        <v>1</v>
      </c>
      <c r="AA84" s="2">
        <f t="shared" si="11"/>
        <v>0.62542857142857144</v>
      </c>
      <c r="AB84" s="1"/>
    </row>
    <row r="85" spans="1:28" x14ac:dyDescent="0.25">
      <c r="A85" s="15" t="s">
        <v>680</v>
      </c>
      <c r="B85" s="10" t="s">
        <v>857</v>
      </c>
      <c r="C85" s="10" t="s">
        <v>858</v>
      </c>
      <c r="D85" s="10" t="str">
        <f>VLOOKUP(C85,Setup!A:F,3,)</f>
        <v xml:space="preserve">Air freshener GREEN COLLECTION BY PROVENCE Delicate peony, 300 ml, Gatter group </v>
      </c>
      <c r="E85" s="10" t="str">
        <f>VLOOKUP(C85,Setup!A:F,4,)</f>
        <v>GREEN COLLECTION BY PROVENCE</v>
      </c>
      <c r="F85" s="10" t="str">
        <f>VLOOKUP(C85,Setup!A:F,5,)</f>
        <v>AIR FRESHENERS</v>
      </c>
      <c r="G85" s="10" t="str">
        <f>VLOOKUP(C85,Setup!A:F,6,)</f>
        <v>Air fresheners waterbase</v>
      </c>
      <c r="H85" s="11" t="s">
        <v>859</v>
      </c>
      <c r="I85" s="31">
        <v>7800</v>
      </c>
      <c r="J85" s="12">
        <v>8064</v>
      </c>
      <c r="K85" s="13">
        <v>140</v>
      </c>
      <c r="L85" s="13">
        <v>15</v>
      </c>
      <c r="M85" s="13">
        <v>0</v>
      </c>
      <c r="N85" s="1"/>
      <c r="O85" s="1"/>
      <c r="P85" s="13">
        <v>65</v>
      </c>
      <c r="Q85" s="1">
        <v>1</v>
      </c>
      <c r="R85" s="1"/>
      <c r="S85" s="1"/>
      <c r="T85" s="1"/>
      <c r="U85" s="1">
        <v>6</v>
      </c>
      <c r="V85" s="40">
        <f t="shared" si="6"/>
        <v>1.2399256044637322E-4</v>
      </c>
      <c r="W85" s="40">
        <f t="shared" si="7"/>
        <v>0</v>
      </c>
      <c r="X85" s="40">
        <f t="shared" si="8"/>
        <v>7.4349442379182155E-4</v>
      </c>
      <c r="Y85" s="2">
        <f t="shared" si="9"/>
        <v>0.88615384615384618</v>
      </c>
      <c r="Z85" s="2">
        <f t="shared" si="10"/>
        <v>1</v>
      </c>
      <c r="AA85" s="2">
        <f t="shared" si="11"/>
        <v>0.88615384615384618</v>
      </c>
      <c r="AB85" s="1"/>
    </row>
    <row r="86" spans="1:28" x14ac:dyDescent="0.25">
      <c r="A86" s="15" t="s">
        <v>680</v>
      </c>
      <c r="B86" s="10" t="s">
        <v>710</v>
      </c>
      <c r="C86" s="10" t="s">
        <v>711</v>
      </c>
      <c r="D86" s="10" t="str">
        <f>VLOOKUP(C86,Setup!A:F,3,)</f>
        <v>Air freshener GREEN COLLECTION BY PROVENCE Pomegranate Lemonade, 300 ml</v>
      </c>
      <c r="E86" s="10" t="str">
        <f>VLOOKUP(C86,Setup!A:F,4,)</f>
        <v>GREEN COLLECTION BY PROVENCE</v>
      </c>
      <c r="F86" s="10" t="str">
        <f>VLOOKUP(C86,Setup!A:F,5,)</f>
        <v>AIR FRESHENERS</v>
      </c>
      <c r="G86" s="10" t="str">
        <f>VLOOKUP(C86,Setup!A:F,6,)</f>
        <v>Air fresheners waterbase</v>
      </c>
      <c r="H86" s="11" t="s">
        <v>860</v>
      </c>
      <c r="I86" s="31">
        <v>3000</v>
      </c>
      <c r="J86" s="12">
        <v>2664</v>
      </c>
      <c r="K86" s="13">
        <v>140</v>
      </c>
      <c r="L86" s="13">
        <v>15</v>
      </c>
      <c r="M86" s="13">
        <v>0</v>
      </c>
      <c r="N86" s="1"/>
      <c r="O86" s="1"/>
      <c r="P86" s="13">
        <v>45</v>
      </c>
      <c r="Q86" s="1">
        <v>1</v>
      </c>
      <c r="R86" s="1">
        <v>7</v>
      </c>
      <c r="S86" s="1"/>
      <c r="T86" s="1"/>
      <c r="U86" s="1">
        <v>6</v>
      </c>
      <c r="V86" s="40">
        <f t="shared" si="6"/>
        <v>3.7523452157598499E-4</v>
      </c>
      <c r="W86" s="40">
        <f t="shared" si="7"/>
        <v>2.620741295394983E-3</v>
      </c>
      <c r="X86" s="40">
        <f t="shared" si="8"/>
        <v>2.2471910112359553E-3</v>
      </c>
      <c r="Y86" s="2">
        <f t="shared" si="9"/>
        <v>0.42285714285714288</v>
      </c>
      <c r="Z86" s="2">
        <f t="shared" si="10"/>
        <v>0.99737925870460498</v>
      </c>
      <c r="AA86" s="2">
        <f t="shared" si="11"/>
        <v>0.4217489436808044</v>
      </c>
      <c r="AB86" s="1"/>
    </row>
    <row r="87" spans="1:28" x14ac:dyDescent="0.25">
      <c r="A87" s="15" t="s">
        <v>680</v>
      </c>
      <c r="B87" s="10" t="s">
        <v>734</v>
      </c>
      <c r="C87" s="10" t="s">
        <v>735</v>
      </c>
      <c r="D87" s="10" t="str">
        <f>VLOOKUP(C87,Setup!A:F,3,)</f>
        <v xml:space="preserve">Air freshener GREEN COLLECTION BY PROVENCE Berry Delight, 300 ml, N, Gatter group </v>
      </c>
      <c r="E87" s="10" t="str">
        <f>VLOOKUP(C87,Setup!A:F,4,)</f>
        <v>GREEN COLLECTION BY PROVENCE</v>
      </c>
      <c r="F87" s="10" t="str">
        <f>VLOOKUP(C87,Setup!A:F,5,)</f>
        <v>AIR FRESHENERS</v>
      </c>
      <c r="G87" s="10" t="str">
        <f>VLOOKUP(C87,Setup!A:F,6,)</f>
        <v>Air fresheners waterbase</v>
      </c>
      <c r="H87" s="11" t="s">
        <v>861</v>
      </c>
      <c r="I87" s="31">
        <v>7000</v>
      </c>
      <c r="J87" s="12">
        <v>7152</v>
      </c>
      <c r="K87" s="13">
        <v>140</v>
      </c>
      <c r="L87" s="13">
        <v>15</v>
      </c>
      <c r="M87" s="13">
        <v>0</v>
      </c>
      <c r="N87" s="1"/>
      <c r="O87" s="1"/>
      <c r="P87" s="13">
        <v>55</v>
      </c>
      <c r="Q87" s="1"/>
      <c r="R87" s="1"/>
      <c r="S87" s="1"/>
      <c r="T87" s="1"/>
      <c r="U87" s="1">
        <v>6</v>
      </c>
      <c r="V87" s="40">
        <f t="shared" si="6"/>
        <v>0</v>
      </c>
      <c r="W87" s="40">
        <f t="shared" si="7"/>
        <v>0</v>
      </c>
      <c r="X87" s="40">
        <f t="shared" si="8"/>
        <v>8.3822296730930428E-4</v>
      </c>
      <c r="Y87" s="2">
        <f t="shared" si="9"/>
        <v>0.92883116883116879</v>
      </c>
      <c r="Z87" s="2">
        <f t="shared" si="10"/>
        <v>1</v>
      </c>
      <c r="AA87" s="2">
        <f t="shared" si="11"/>
        <v>0.92883116883116879</v>
      </c>
      <c r="AB87" s="1"/>
    </row>
    <row r="88" spans="1:28" x14ac:dyDescent="0.25">
      <c r="A88" s="15" t="s">
        <v>680</v>
      </c>
      <c r="B88" s="10" t="s">
        <v>205</v>
      </c>
      <c r="C88" s="10" t="s">
        <v>206</v>
      </c>
      <c r="D88" s="10" t="str">
        <f>VLOOKUP(C88,Setup!A:F,3,)</f>
        <v xml:space="preserve">Air freshener GREEN COLLECTION BY PROVENCE Sunny Orange, 300 ml, N, Gatter group </v>
      </c>
      <c r="E88" s="10" t="str">
        <f>VLOOKUP(C88,Setup!A:F,4,)</f>
        <v>GREEN COLLECTION BY PROVENCE</v>
      </c>
      <c r="F88" s="10" t="str">
        <f>VLOOKUP(C88,Setup!A:F,5,)</f>
        <v>AIR FRESHENERS</v>
      </c>
      <c r="G88" s="10" t="str">
        <f>VLOOKUP(C88,Setup!A:F,6,)</f>
        <v>Air fresheners waterbase</v>
      </c>
      <c r="H88" s="11" t="s">
        <v>862</v>
      </c>
      <c r="I88" s="31">
        <v>2800</v>
      </c>
      <c r="J88" s="12">
        <v>2483</v>
      </c>
      <c r="K88" s="13">
        <v>140</v>
      </c>
      <c r="L88" s="13">
        <v>15</v>
      </c>
      <c r="M88" s="13">
        <v>0</v>
      </c>
      <c r="N88" s="1"/>
      <c r="O88" s="1"/>
      <c r="P88" s="13">
        <v>30</v>
      </c>
      <c r="Q88" s="1">
        <v>1</v>
      </c>
      <c r="R88" s="1">
        <v>1</v>
      </c>
      <c r="S88" s="1"/>
      <c r="T88" s="1"/>
      <c r="U88" s="1">
        <v>6</v>
      </c>
      <c r="V88" s="40">
        <f t="shared" si="6"/>
        <v>4.0257648953301127E-4</v>
      </c>
      <c r="W88" s="40">
        <f t="shared" si="7"/>
        <v>4.0257648953301127E-4</v>
      </c>
      <c r="X88" s="40">
        <f t="shared" si="8"/>
        <v>2.4106066693451184E-3</v>
      </c>
      <c r="Y88" s="2">
        <f t="shared" si="9"/>
        <v>0.59119047619047616</v>
      </c>
      <c r="Z88" s="2">
        <f t="shared" si="10"/>
        <v>0.99959742351046699</v>
      </c>
      <c r="AA88" s="2">
        <f t="shared" si="11"/>
        <v>0.59095247680392604</v>
      </c>
      <c r="AB88" s="1"/>
    </row>
    <row r="89" spans="1:28" x14ac:dyDescent="0.25">
      <c r="A89" s="15" t="s">
        <v>680</v>
      </c>
      <c r="B89" s="10" t="s">
        <v>208</v>
      </c>
      <c r="C89" s="10" t="s">
        <v>209</v>
      </c>
      <c r="D89" s="10" t="str">
        <f>VLOOKUP(C89,Setup!A:F,3,)</f>
        <v>Air freshener GREEN COLLECTION BY PROVENCE Sunny Orange, 300 ml</v>
      </c>
      <c r="E89" s="10" t="str">
        <f>VLOOKUP(C89,Setup!A:F,4,)</f>
        <v>GREEN COLLECTION BY PROVENCE</v>
      </c>
      <c r="F89" s="10" t="str">
        <f>VLOOKUP(C89,Setup!A:F,5,)</f>
        <v>AIR FRESHENERS</v>
      </c>
      <c r="G89" s="10" t="str">
        <f>VLOOKUP(C89,Setup!A:F,6,)</f>
        <v>Air fresheners waterbase</v>
      </c>
      <c r="H89" s="11" t="s">
        <v>862</v>
      </c>
      <c r="I89" s="31">
        <v>4000</v>
      </c>
      <c r="J89" s="12">
        <v>4464</v>
      </c>
      <c r="K89" s="13">
        <v>140</v>
      </c>
      <c r="L89" s="13">
        <v>0</v>
      </c>
      <c r="M89" s="13">
        <v>0</v>
      </c>
      <c r="N89" s="1"/>
      <c r="O89" s="1"/>
      <c r="P89" s="13">
        <v>40</v>
      </c>
      <c r="Q89" s="1"/>
      <c r="R89" s="1"/>
      <c r="S89" s="1"/>
      <c r="T89" s="1"/>
      <c r="U89" s="1"/>
      <c r="V89" s="40">
        <f t="shared" si="6"/>
        <v>0</v>
      </c>
      <c r="W89" s="40">
        <f t="shared" si="7"/>
        <v>0</v>
      </c>
      <c r="X89" s="40">
        <f t="shared" si="8"/>
        <v>0</v>
      </c>
      <c r="Y89" s="2">
        <f t="shared" si="9"/>
        <v>0.79714285714285715</v>
      </c>
      <c r="Z89" s="2">
        <f t="shared" si="10"/>
        <v>1</v>
      </c>
      <c r="AA89" s="2">
        <f t="shared" si="11"/>
        <v>0.79714285714285715</v>
      </c>
      <c r="AB89" s="1"/>
    </row>
    <row r="90" spans="1:28" x14ac:dyDescent="0.25">
      <c r="A90" s="15" t="s">
        <v>680</v>
      </c>
      <c r="B90" s="10" t="s">
        <v>863</v>
      </c>
      <c r="C90" s="10" t="s">
        <v>864</v>
      </c>
      <c r="D90" s="10" t="str">
        <f>VLOOKUP(C90,Setup!A:F,3,)</f>
        <v>Air freshener GREEN COLLECTION BY PROVENCE Antitabacco, 300 ml, N</v>
      </c>
      <c r="E90" s="10" t="str">
        <f>VLOOKUP(C90,Setup!A:F,4,)</f>
        <v>GREEN COLLECTION BY PROVENCE</v>
      </c>
      <c r="F90" s="10" t="str">
        <f>VLOOKUP(C90,Setup!A:F,5,)</f>
        <v>AIR FRESHENERS</v>
      </c>
      <c r="G90" s="10" t="str">
        <f>VLOOKUP(C90,Setup!A:F,6,)</f>
        <v>Air fresheners waterbase</v>
      </c>
      <c r="H90" s="11" t="s">
        <v>865</v>
      </c>
      <c r="I90" s="31">
        <v>4300</v>
      </c>
      <c r="J90" s="12">
        <v>4714</v>
      </c>
      <c r="K90" s="13">
        <v>140</v>
      </c>
      <c r="L90" s="13">
        <v>15</v>
      </c>
      <c r="M90" s="13">
        <v>0</v>
      </c>
      <c r="N90" s="1"/>
      <c r="O90" s="1"/>
      <c r="P90" s="13">
        <v>50</v>
      </c>
      <c r="Q90" s="1">
        <v>4</v>
      </c>
      <c r="R90" s="1">
        <v>5</v>
      </c>
      <c r="S90" s="1"/>
      <c r="T90" s="1"/>
      <c r="U90" s="1">
        <v>6</v>
      </c>
      <c r="V90" s="40">
        <f t="shared" si="6"/>
        <v>8.4781687155574396E-4</v>
      </c>
      <c r="W90" s="40">
        <f t="shared" si="7"/>
        <v>1.0595465140919686E-3</v>
      </c>
      <c r="X90" s="40">
        <f t="shared" si="8"/>
        <v>1.271186440677966E-3</v>
      </c>
      <c r="Y90" s="2">
        <f t="shared" si="9"/>
        <v>0.67342857142857138</v>
      </c>
      <c r="Z90" s="2">
        <f t="shared" si="10"/>
        <v>0.99894045348590799</v>
      </c>
      <c r="AA90" s="2">
        <f t="shared" si="11"/>
        <v>0.67271504253322423</v>
      </c>
      <c r="AB90" s="1"/>
    </row>
    <row r="91" spans="1:28" x14ac:dyDescent="0.25">
      <c r="A91" s="15" t="s">
        <v>680</v>
      </c>
      <c r="B91" s="10" t="s">
        <v>866</v>
      </c>
      <c r="C91" s="10" t="s">
        <v>867</v>
      </c>
      <c r="D91" s="10" t="str">
        <f>VLOOKUP(C91,Setup!A:F,3,)</f>
        <v>Air freshener GREEN COLLECTION BY PROVENCE Antitabacco, 300 ml, N</v>
      </c>
      <c r="E91" s="10" t="str">
        <f>VLOOKUP(C91,Setup!A:F,4,)</f>
        <v>GREEN COLLECTION BY PROVENCE</v>
      </c>
      <c r="F91" s="10" t="str">
        <f>VLOOKUP(C91,Setup!A:F,5,)</f>
        <v>AIR FRESHENERS</v>
      </c>
      <c r="G91" s="10" t="str">
        <f>VLOOKUP(C91,Setup!A:F,6,)</f>
        <v>Air fresheners waterbase</v>
      </c>
      <c r="H91" s="11" t="s">
        <v>865</v>
      </c>
      <c r="I91" s="31">
        <v>8000</v>
      </c>
      <c r="J91" s="12">
        <v>8004</v>
      </c>
      <c r="K91" s="13">
        <v>140</v>
      </c>
      <c r="L91" s="13">
        <v>0</v>
      </c>
      <c r="M91" s="13">
        <v>0</v>
      </c>
      <c r="N91" s="1"/>
      <c r="O91" s="1"/>
      <c r="P91" s="13">
        <v>70</v>
      </c>
      <c r="Q91" s="1"/>
      <c r="R91" s="1"/>
      <c r="S91" s="1"/>
      <c r="T91" s="1"/>
      <c r="U91" s="1"/>
      <c r="V91" s="40">
        <f t="shared" si="6"/>
        <v>0</v>
      </c>
      <c r="W91" s="40">
        <f t="shared" si="7"/>
        <v>0</v>
      </c>
      <c r="X91" s="40">
        <f t="shared" si="8"/>
        <v>0</v>
      </c>
      <c r="Y91" s="2">
        <f t="shared" si="9"/>
        <v>0.81673469387755104</v>
      </c>
      <c r="Z91" s="2">
        <f t="shared" si="10"/>
        <v>1</v>
      </c>
      <c r="AA91" s="2">
        <f t="shared" si="11"/>
        <v>0.81673469387755104</v>
      </c>
      <c r="AB91" s="1"/>
    </row>
    <row r="92" spans="1:28" x14ac:dyDescent="0.25">
      <c r="A92" s="15" t="s">
        <v>680</v>
      </c>
      <c r="B92" s="10" t="s">
        <v>193</v>
      </c>
      <c r="C92" s="10" t="s">
        <v>194</v>
      </c>
      <c r="D92" s="10" t="str">
        <f>VLOOKUP(C92,Setup!A:F,3,)</f>
        <v>Air freshener AIR PURE BY ALPEN Lily of the valley and jasmine, 300 ml</v>
      </c>
      <c r="E92" s="10" t="str">
        <f>VLOOKUP(C92,Setup!A:F,4,)</f>
        <v>ALPEN</v>
      </c>
      <c r="F92" s="10" t="str">
        <f>VLOOKUP(C92,Setup!A:F,5,)</f>
        <v>AIR FRESHENERS</v>
      </c>
      <c r="G92" s="10" t="str">
        <f>VLOOKUP(C92,Setup!A:F,6,)</f>
        <v>Air fresheners waterbase</v>
      </c>
      <c r="H92" s="11" t="s">
        <v>868</v>
      </c>
      <c r="I92" s="36">
        <v>10980</v>
      </c>
      <c r="J92" s="12">
        <v>10968</v>
      </c>
      <c r="K92" s="13">
        <v>140</v>
      </c>
      <c r="L92" s="13">
        <v>15</v>
      </c>
      <c r="M92" s="13">
        <v>0</v>
      </c>
      <c r="N92" s="1"/>
      <c r="O92" s="1"/>
      <c r="P92" s="13">
        <v>100</v>
      </c>
      <c r="Q92" s="1">
        <v>2</v>
      </c>
      <c r="R92" s="1">
        <v>7</v>
      </c>
      <c r="S92" s="1"/>
      <c r="T92" s="1"/>
      <c r="U92" s="1">
        <v>6</v>
      </c>
      <c r="V92" s="40">
        <f t="shared" si="6"/>
        <v>1.8231540565177758E-4</v>
      </c>
      <c r="W92" s="40">
        <f t="shared" si="7"/>
        <v>6.3781321184510254E-4</v>
      </c>
      <c r="X92" s="40">
        <f t="shared" si="8"/>
        <v>5.4674685620557679E-4</v>
      </c>
      <c r="Y92" s="2">
        <f t="shared" si="9"/>
        <v>0.78342857142857147</v>
      </c>
      <c r="Z92" s="2">
        <f t="shared" si="10"/>
        <v>0.99936218678815492</v>
      </c>
      <c r="AA92" s="2">
        <f t="shared" si="11"/>
        <v>0.78292889033517743</v>
      </c>
      <c r="AB92" s="1"/>
    </row>
    <row r="93" spans="1:28" x14ac:dyDescent="0.25">
      <c r="A93" s="15" t="s">
        <v>680</v>
      </c>
      <c r="B93" s="10" t="s">
        <v>760</v>
      </c>
      <c r="C93" s="10" t="s">
        <v>869</v>
      </c>
      <c r="D93" s="10" t="str">
        <f>VLOOKUP(C93,Setup!A:F,3,)</f>
        <v>Air freshener ALPEN Mountain watefall, 300 ml, n</v>
      </c>
      <c r="E93" s="10" t="str">
        <f>VLOOKUP(C93,Setup!A:F,4,)</f>
        <v>ALPEN</v>
      </c>
      <c r="F93" s="10" t="str">
        <f>VLOOKUP(C93,Setup!A:F,5,)</f>
        <v>AIR FRESHENERS</v>
      </c>
      <c r="G93" s="10" t="str">
        <f>VLOOKUP(C93,Setup!A:F,6,)</f>
        <v>Air fresheners waterbase</v>
      </c>
      <c r="H93" s="11" t="s">
        <v>870</v>
      </c>
      <c r="I93" s="36">
        <v>15372</v>
      </c>
      <c r="J93" s="12">
        <v>15372</v>
      </c>
      <c r="K93" s="13">
        <v>140</v>
      </c>
      <c r="L93" s="13">
        <v>15</v>
      </c>
      <c r="M93" s="13">
        <v>15</v>
      </c>
      <c r="N93" s="1"/>
      <c r="O93" s="1"/>
      <c r="P93" s="13">
        <v>160</v>
      </c>
      <c r="Q93" s="1">
        <v>1</v>
      </c>
      <c r="R93" s="1"/>
      <c r="S93" s="1"/>
      <c r="T93" s="1"/>
      <c r="U93" s="1">
        <v>6</v>
      </c>
      <c r="V93" s="40">
        <f t="shared" si="6"/>
        <v>6.5049112079620114E-5</v>
      </c>
      <c r="W93" s="40">
        <f t="shared" si="7"/>
        <v>0</v>
      </c>
      <c r="X93" s="40">
        <f t="shared" si="8"/>
        <v>3.9016777214202108E-4</v>
      </c>
      <c r="Y93" s="2">
        <f t="shared" si="9"/>
        <v>0.75724137931034485</v>
      </c>
      <c r="Z93" s="2">
        <f t="shared" si="10"/>
        <v>1</v>
      </c>
      <c r="AA93" s="2">
        <f t="shared" si="11"/>
        <v>0.75724137931034485</v>
      </c>
      <c r="AB93" s="1"/>
    </row>
    <row r="94" spans="1:28" x14ac:dyDescent="0.25">
      <c r="A94" s="15" t="s">
        <v>680</v>
      </c>
      <c r="B94" s="10" t="s">
        <v>696</v>
      </c>
      <c r="C94" s="10" t="s">
        <v>697</v>
      </c>
      <c r="D94" s="10" t="str">
        <f>VLOOKUP(C94,Setup!A:F,3,)</f>
        <v>Air freshener ALPEN Forest breeze, 300 ml</v>
      </c>
      <c r="E94" s="10" t="str">
        <f>VLOOKUP(C94,Setup!A:F,4,)</f>
        <v>ALPEN</v>
      </c>
      <c r="F94" s="10" t="str">
        <f>VLOOKUP(C94,Setup!A:F,5,)</f>
        <v>AIR FRESHENERS</v>
      </c>
      <c r="G94" s="10" t="str">
        <f>VLOOKUP(C94,Setup!A:F,6,)</f>
        <v>Air fresheners waterbase</v>
      </c>
      <c r="H94" s="11" t="s">
        <v>871</v>
      </c>
      <c r="I94" s="36">
        <v>19944</v>
      </c>
      <c r="J94" s="12">
        <v>20220</v>
      </c>
      <c r="K94" s="13">
        <v>140</v>
      </c>
      <c r="L94" s="13">
        <v>15</v>
      </c>
      <c r="M94" s="13">
        <v>0</v>
      </c>
      <c r="N94" s="1"/>
      <c r="O94" s="1"/>
      <c r="P94" s="13">
        <v>170</v>
      </c>
      <c r="Q94" s="1">
        <v>2</v>
      </c>
      <c r="R94" s="1">
        <v>1</v>
      </c>
      <c r="S94" s="1"/>
      <c r="T94" s="1"/>
      <c r="U94" s="1">
        <v>6</v>
      </c>
      <c r="V94" s="40">
        <f t="shared" si="6"/>
        <v>9.8902185738304819E-5</v>
      </c>
      <c r="W94" s="40">
        <f t="shared" si="7"/>
        <v>4.9453538400672565E-5</v>
      </c>
      <c r="X94" s="40">
        <f t="shared" si="8"/>
        <v>2.966478789676654E-4</v>
      </c>
      <c r="Y94" s="2">
        <f t="shared" si="9"/>
        <v>0.84957983193277309</v>
      </c>
      <c r="Z94" s="2">
        <f t="shared" si="10"/>
        <v>0.99995054646159931</v>
      </c>
      <c r="AA94" s="2">
        <f t="shared" si="11"/>
        <v>0.84953781720393018</v>
      </c>
      <c r="AB94" s="1"/>
    </row>
    <row r="95" spans="1:28" x14ac:dyDescent="0.25">
      <c r="A95" s="15" t="s">
        <v>680</v>
      </c>
      <c r="B95" s="10" t="s">
        <v>187</v>
      </c>
      <c r="C95" s="10" t="s">
        <v>872</v>
      </c>
      <c r="D95" s="10" t="str">
        <f>VLOOKUP(C95,Setup!A:F,3,)</f>
        <v>Air freshener ALPEN Spring forest, 300 ml, n</v>
      </c>
      <c r="E95" s="10" t="str">
        <f>VLOOKUP(C95,Setup!A:F,4,)</f>
        <v>ALPEN</v>
      </c>
      <c r="F95" s="10" t="str">
        <f>VLOOKUP(C95,Setup!A:F,5,)</f>
        <v>AIR FRESHENERS</v>
      </c>
      <c r="G95" s="10" t="str">
        <f>VLOOKUP(C95,Setup!A:F,6,)</f>
        <v>Air fresheners waterbase</v>
      </c>
      <c r="H95" s="11" t="s">
        <v>873</v>
      </c>
      <c r="I95" s="36">
        <v>11860</v>
      </c>
      <c r="J95" s="12">
        <v>12180</v>
      </c>
      <c r="K95" s="13">
        <v>140</v>
      </c>
      <c r="L95" s="13">
        <v>15</v>
      </c>
      <c r="M95" s="13">
        <v>15</v>
      </c>
      <c r="N95" s="1"/>
      <c r="O95" s="1"/>
      <c r="P95" s="13">
        <v>120</v>
      </c>
      <c r="Q95" s="1">
        <v>6</v>
      </c>
      <c r="R95" s="1">
        <v>1</v>
      </c>
      <c r="S95" s="1"/>
      <c r="T95" s="1"/>
      <c r="U95" s="1">
        <v>6</v>
      </c>
      <c r="V95" s="40">
        <f t="shared" si="6"/>
        <v>4.9236829148202859E-4</v>
      </c>
      <c r="W95" s="40">
        <f t="shared" si="7"/>
        <v>8.2095066086528196E-5</v>
      </c>
      <c r="X95" s="40">
        <f t="shared" si="8"/>
        <v>4.9236829148202859E-4</v>
      </c>
      <c r="Y95" s="2">
        <f t="shared" si="9"/>
        <v>0.82857142857142863</v>
      </c>
      <c r="Z95" s="2">
        <f t="shared" si="10"/>
        <v>0.99991790493391353</v>
      </c>
      <c r="AA95" s="2">
        <f t="shared" si="11"/>
        <v>0.82850340694524272</v>
      </c>
      <c r="AB95" s="1"/>
    </row>
    <row r="96" spans="1:28" x14ac:dyDescent="0.25">
      <c r="A96" s="15" t="s">
        <v>680</v>
      </c>
      <c r="B96" s="10" t="s">
        <v>874</v>
      </c>
      <c r="C96" s="10" t="s">
        <v>875</v>
      </c>
      <c r="D96" s="10" t="str">
        <f>VLOOKUP(C96,Setup!A:F,3,)</f>
        <v>Air freshener FLOWER SHOP Blooming mango and coconut, 300 ml</v>
      </c>
      <c r="E96" s="10" t="str">
        <f>VLOOKUP(C96,Setup!A:F,4,)</f>
        <v>FLOWER SHOP</v>
      </c>
      <c r="F96" s="10" t="str">
        <f>VLOOKUP(C96,Setup!A:F,5,)</f>
        <v>AIR FRESHENERS</v>
      </c>
      <c r="G96" s="10" t="str">
        <f>VLOOKUP(C96,Setup!A:F,6,)</f>
        <v>Air fresheners waterbase</v>
      </c>
      <c r="H96" s="11" t="s">
        <v>876</v>
      </c>
      <c r="I96" s="32">
        <v>15000</v>
      </c>
      <c r="J96" s="12">
        <v>15300</v>
      </c>
      <c r="K96" s="13">
        <v>140</v>
      </c>
      <c r="L96" s="13">
        <v>15</v>
      </c>
      <c r="M96" s="13">
        <v>30</v>
      </c>
      <c r="N96" s="1"/>
      <c r="O96" s="1"/>
      <c r="P96" s="13">
        <v>169</v>
      </c>
      <c r="Q96" s="1">
        <v>7</v>
      </c>
      <c r="R96" s="1"/>
      <c r="S96" s="1"/>
      <c r="T96" s="1"/>
      <c r="U96" s="1">
        <v>6</v>
      </c>
      <c r="V96" s="40">
        <f t="shared" si="6"/>
        <v>4.573071143921082E-4</v>
      </c>
      <c r="W96" s="40">
        <f t="shared" si="7"/>
        <v>0</v>
      </c>
      <c r="X96" s="40">
        <f t="shared" si="8"/>
        <v>3.920031360250882E-4</v>
      </c>
      <c r="Y96" s="2">
        <f t="shared" si="9"/>
        <v>0.78622816032887977</v>
      </c>
      <c r="Z96" s="2">
        <f t="shared" si="10"/>
        <v>1</v>
      </c>
      <c r="AA96" s="2">
        <f t="shared" si="11"/>
        <v>0.78622816032887977</v>
      </c>
      <c r="AB96" s="1"/>
    </row>
    <row r="97" spans="1:28" x14ac:dyDescent="0.25">
      <c r="A97" s="15" t="s">
        <v>680</v>
      </c>
      <c r="B97" s="10" t="s">
        <v>115</v>
      </c>
      <c r="C97" s="10" t="s">
        <v>116</v>
      </c>
      <c r="D97" s="10" t="str">
        <f>VLOOKUP(C97,Setup!A:F,3,)</f>
        <v>Air freshener FLOWER SHOP apple and jasmine, 300 ml, N</v>
      </c>
      <c r="E97" s="10" t="str">
        <f>VLOOKUP(C97,Setup!A:F,4,)</f>
        <v>FLOWER SHOP</v>
      </c>
      <c r="F97" s="10" t="str">
        <f>VLOOKUP(C97,Setup!A:F,5,)</f>
        <v>AIR FRESHENERS</v>
      </c>
      <c r="G97" s="10" t="str">
        <f>VLOOKUP(C97,Setup!A:F,6,)</f>
        <v>Air fresheners waterbase</v>
      </c>
      <c r="H97" s="11" t="s">
        <v>877</v>
      </c>
      <c r="I97" s="31">
        <v>18076</v>
      </c>
      <c r="J97" s="12">
        <v>18084</v>
      </c>
      <c r="K97" s="13">
        <v>140</v>
      </c>
      <c r="L97" s="13">
        <v>15</v>
      </c>
      <c r="M97" s="13">
        <v>15</v>
      </c>
      <c r="N97" s="1"/>
      <c r="O97" s="1"/>
      <c r="P97" s="13">
        <v>168</v>
      </c>
      <c r="Q97" s="1">
        <v>1</v>
      </c>
      <c r="R97" s="1">
        <v>3</v>
      </c>
      <c r="S97" s="1"/>
      <c r="T97" s="1"/>
      <c r="U97" s="1">
        <v>6</v>
      </c>
      <c r="V97" s="40">
        <f t="shared" si="6"/>
        <v>5.52944429084877E-5</v>
      </c>
      <c r="W97" s="40">
        <f t="shared" si="7"/>
        <v>1.658649859014762E-4</v>
      </c>
      <c r="X97" s="40">
        <f t="shared" si="8"/>
        <v>3.3167495854063018E-4</v>
      </c>
      <c r="Y97" s="2">
        <f t="shared" si="9"/>
        <v>0.84425770308123249</v>
      </c>
      <c r="Z97" s="2">
        <f t="shared" si="10"/>
        <v>0.99983413501409857</v>
      </c>
      <c r="AA97" s="2">
        <f t="shared" si="11"/>
        <v>0.8441176702892137</v>
      </c>
      <c r="AB97" s="1"/>
    </row>
    <row r="98" spans="1:28" x14ac:dyDescent="0.25">
      <c r="A98" s="15" t="s">
        <v>680</v>
      </c>
      <c r="B98" s="10" t="s">
        <v>805</v>
      </c>
      <c r="C98" s="10" t="s">
        <v>806</v>
      </c>
      <c r="D98" s="10" t="str">
        <f>VLOOKUP(C98,Setup!A:F,3,)</f>
        <v>Air freshener FLOWER SHOP Orange and grapefruit, 300 ml</v>
      </c>
      <c r="E98" s="10" t="str">
        <f>VLOOKUP(C98,Setup!A:F,4,)</f>
        <v>FLOWER SHOP</v>
      </c>
      <c r="F98" s="10" t="str">
        <f>VLOOKUP(C98,Setup!A:F,5,)</f>
        <v>AIR FRESHENERS</v>
      </c>
      <c r="G98" s="10" t="str">
        <f>VLOOKUP(C98,Setup!A:F,6,)</f>
        <v>Air fresheners waterbase</v>
      </c>
      <c r="H98" s="11" t="s">
        <v>878</v>
      </c>
      <c r="I98" s="31">
        <v>12000</v>
      </c>
      <c r="J98" s="12">
        <v>11928</v>
      </c>
      <c r="K98" s="13">
        <v>140</v>
      </c>
      <c r="L98" s="13">
        <v>15</v>
      </c>
      <c r="M98" s="13">
        <v>0</v>
      </c>
      <c r="N98" s="1"/>
      <c r="O98" s="1"/>
      <c r="P98" s="13">
        <v>123</v>
      </c>
      <c r="Q98" s="1">
        <v>3</v>
      </c>
      <c r="R98" s="1">
        <v>2</v>
      </c>
      <c r="S98" s="1"/>
      <c r="T98" s="1"/>
      <c r="U98" s="1">
        <v>6</v>
      </c>
      <c r="V98" s="40">
        <f t="shared" si="6"/>
        <v>2.5144581342720644E-4</v>
      </c>
      <c r="W98" s="40">
        <f t="shared" si="7"/>
        <v>1.6764459346186087E-4</v>
      </c>
      <c r="X98" s="40">
        <f t="shared" si="8"/>
        <v>5.0276520864756154E-4</v>
      </c>
      <c r="Y98" s="2">
        <f t="shared" si="9"/>
        <v>0.69268292682926824</v>
      </c>
      <c r="Z98" s="2">
        <f t="shared" si="10"/>
        <v>0.99983235540653814</v>
      </c>
      <c r="AA98" s="2">
        <f t="shared" si="11"/>
        <v>0.69256680228160195</v>
      </c>
      <c r="AB98" s="1"/>
    </row>
    <row r="99" spans="1:28" x14ac:dyDescent="0.25">
      <c r="A99" s="15" t="s">
        <v>680</v>
      </c>
      <c r="B99" s="10" t="s">
        <v>121</v>
      </c>
      <c r="C99" s="10" t="s">
        <v>122</v>
      </c>
      <c r="D99" s="10" t="str">
        <f>VLOOKUP(C99,Setup!A:F,3,)</f>
        <v>Air freshener FLOWER SHOP Lime and mint, 300 ml,</v>
      </c>
      <c r="E99" s="10" t="str">
        <f>VLOOKUP(C99,Setup!A:F,4,)</f>
        <v>FLOWER SHOP</v>
      </c>
      <c r="F99" s="10" t="str">
        <f>VLOOKUP(C99,Setup!A:F,5,)</f>
        <v>AIR FRESHENERS</v>
      </c>
      <c r="G99" s="10" t="str">
        <f>VLOOKUP(C99,Setup!A:F,6,)</f>
        <v>Air fresheners waterbase</v>
      </c>
      <c r="H99" s="11" t="s">
        <v>879</v>
      </c>
      <c r="I99" s="31">
        <v>9882</v>
      </c>
      <c r="J99" s="12">
        <v>9876</v>
      </c>
      <c r="K99" s="13">
        <v>140</v>
      </c>
      <c r="L99" s="13">
        <v>15</v>
      </c>
      <c r="M99" s="13">
        <v>0</v>
      </c>
      <c r="N99" s="1"/>
      <c r="O99" s="1"/>
      <c r="P99" s="13">
        <v>75</v>
      </c>
      <c r="Q99" s="1"/>
      <c r="R99" s="1"/>
      <c r="S99" s="1"/>
      <c r="T99" s="1"/>
      <c r="U99" s="1">
        <v>6</v>
      </c>
      <c r="V99" s="40">
        <f t="shared" si="6"/>
        <v>0</v>
      </c>
      <c r="W99" s="40">
        <f t="shared" si="7"/>
        <v>0</v>
      </c>
      <c r="X99" s="40">
        <f t="shared" si="8"/>
        <v>6.0716454159077113E-4</v>
      </c>
      <c r="Y99" s="2">
        <f t="shared" si="9"/>
        <v>0.94057142857142861</v>
      </c>
      <c r="Z99" s="2">
        <f t="shared" si="10"/>
        <v>1</v>
      </c>
      <c r="AA99" s="2">
        <f t="shared" si="11"/>
        <v>0.94057142857142861</v>
      </c>
      <c r="AB99" s="1"/>
    </row>
    <row r="100" spans="1:28" x14ac:dyDescent="0.25">
      <c r="A100" s="15" t="s">
        <v>680</v>
      </c>
      <c r="B100" s="10" t="s">
        <v>112</v>
      </c>
      <c r="C100" s="10" t="s">
        <v>113</v>
      </c>
      <c r="D100" s="10" t="str">
        <f>VLOOKUP(C100,Setup!A:F,3,)</f>
        <v>Air freshener FLOWER SHOP Morse minerals, 300 ml, N</v>
      </c>
      <c r="E100" s="10" t="str">
        <f>VLOOKUP(C100,Setup!A:F,4,)</f>
        <v>FLOWER SHOP</v>
      </c>
      <c r="F100" s="10" t="str">
        <f>VLOOKUP(C100,Setup!A:F,5,)</f>
        <v>AIR FRESHENERS</v>
      </c>
      <c r="G100" s="10" t="str">
        <f>VLOOKUP(C100,Setup!A:F,6,)</f>
        <v>Air fresheners waterbase</v>
      </c>
      <c r="H100" s="11" t="s">
        <v>880</v>
      </c>
      <c r="I100" s="31">
        <v>10980</v>
      </c>
      <c r="J100" s="12">
        <v>10968</v>
      </c>
      <c r="K100" s="13">
        <v>140</v>
      </c>
      <c r="L100" s="13">
        <v>15</v>
      </c>
      <c r="M100" s="13">
        <v>0</v>
      </c>
      <c r="N100" s="1"/>
      <c r="O100" s="1"/>
      <c r="P100" s="13">
        <v>95</v>
      </c>
      <c r="Q100" s="1">
        <v>2</v>
      </c>
      <c r="R100" s="1">
        <v>4</v>
      </c>
      <c r="S100" s="1"/>
      <c r="T100" s="1"/>
      <c r="U100" s="1">
        <v>6</v>
      </c>
      <c r="V100" s="40">
        <f t="shared" si="6"/>
        <v>1.8231540565177758E-4</v>
      </c>
      <c r="W100" s="40">
        <f t="shared" si="7"/>
        <v>3.6456434560699962E-4</v>
      </c>
      <c r="X100" s="40">
        <f t="shared" si="8"/>
        <v>5.4674685620557679E-4</v>
      </c>
      <c r="Y100" s="2">
        <f t="shared" si="9"/>
        <v>0.82466165413533832</v>
      </c>
      <c r="Z100" s="2">
        <f t="shared" si="10"/>
        <v>0.99963543565439295</v>
      </c>
      <c r="AA100" s="2">
        <f t="shared" si="11"/>
        <v>0.8243610118990512</v>
      </c>
      <c r="AB100" s="1"/>
    </row>
    <row r="101" spans="1:28" x14ac:dyDescent="0.25">
      <c r="A101" s="15" t="s">
        <v>680</v>
      </c>
      <c r="B101" s="10" t="s">
        <v>809</v>
      </c>
      <c r="C101" s="10" t="s">
        <v>810</v>
      </c>
      <c r="D101" s="10" t="str">
        <f>VLOOKUP(C101,Setup!A:F,3,)</f>
        <v>Air freshener FLOWER SHOP Tiare flower and hibiscus, 300 ml</v>
      </c>
      <c r="E101" s="10" t="str">
        <f>VLOOKUP(C101,Setup!A:F,4,)</f>
        <v>FLOWER SHOP</v>
      </c>
      <c r="F101" s="10" t="str">
        <f>VLOOKUP(C101,Setup!A:F,5,)</f>
        <v>AIR FRESHENERS</v>
      </c>
      <c r="G101" s="10" t="str">
        <f>VLOOKUP(C101,Setup!A:F,6,)</f>
        <v>Air fresheners waterbase</v>
      </c>
      <c r="H101" s="11" t="s">
        <v>881</v>
      </c>
      <c r="I101" s="31">
        <v>7305</v>
      </c>
      <c r="J101" s="12">
        <v>7296</v>
      </c>
      <c r="K101" s="13">
        <v>140</v>
      </c>
      <c r="L101" s="13">
        <v>15</v>
      </c>
      <c r="M101" s="13">
        <v>0</v>
      </c>
      <c r="N101" s="1"/>
      <c r="O101" s="1"/>
      <c r="P101" s="13">
        <v>70</v>
      </c>
      <c r="Q101" s="1">
        <v>3</v>
      </c>
      <c r="R101" s="1"/>
      <c r="S101" s="1"/>
      <c r="T101" s="1"/>
      <c r="U101" s="1">
        <v>6</v>
      </c>
      <c r="V101" s="40">
        <f t="shared" si="6"/>
        <v>4.1101520756267981E-4</v>
      </c>
      <c r="W101" s="40">
        <f t="shared" si="7"/>
        <v>0</v>
      </c>
      <c r="X101" s="40">
        <f t="shared" si="8"/>
        <v>8.2169268693508624E-4</v>
      </c>
      <c r="Y101" s="2">
        <f t="shared" si="9"/>
        <v>0.74448979591836739</v>
      </c>
      <c r="Z101" s="2">
        <f t="shared" si="10"/>
        <v>1</v>
      </c>
      <c r="AA101" s="2">
        <f t="shared" si="11"/>
        <v>0.74448979591836739</v>
      </c>
      <c r="AB101" s="1"/>
    </row>
    <row r="102" spans="1:28" x14ac:dyDescent="0.25">
      <c r="A102" s="15" t="s">
        <v>680</v>
      </c>
      <c r="B102" s="10" t="s">
        <v>812</v>
      </c>
      <c r="C102" s="10" t="s">
        <v>813</v>
      </c>
      <c r="D102" s="10" t="str">
        <f>VLOOKUP(C102,Setup!A:F,3,)</f>
        <v>Air freshener FLOWER SHOP Strawberry and Orchid, 300 ml, N</v>
      </c>
      <c r="E102" s="10" t="str">
        <f>VLOOKUP(C102,Setup!A:F,4,)</f>
        <v>FLOWER SHOP</v>
      </c>
      <c r="F102" s="10" t="str">
        <f>VLOOKUP(C102,Setup!A:F,5,)</f>
        <v>AIR FRESHENERS</v>
      </c>
      <c r="G102" s="10" t="str">
        <f>VLOOKUP(C102,Setup!A:F,6,)</f>
        <v>Air fresheners waterbase</v>
      </c>
      <c r="H102" s="11" t="s">
        <v>882</v>
      </c>
      <c r="I102" s="31">
        <v>6468</v>
      </c>
      <c r="J102" s="12">
        <v>6468</v>
      </c>
      <c r="K102" s="13">
        <v>140</v>
      </c>
      <c r="L102" s="13">
        <v>15</v>
      </c>
      <c r="M102" s="13">
        <v>0</v>
      </c>
      <c r="N102" s="1"/>
      <c r="O102" s="1"/>
      <c r="P102" s="13">
        <v>55</v>
      </c>
      <c r="Q102" s="1"/>
      <c r="R102" s="1"/>
      <c r="S102" s="1"/>
      <c r="T102" s="1"/>
      <c r="U102" s="1">
        <v>6</v>
      </c>
      <c r="V102" s="40">
        <f t="shared" si="6"/>
        <v>0</v>
      </c>
      <c r="W102" s="40">
        <f t="shared" si="7"/>
        <v>0</v>
      </c>
      <c r="X102" s="40">
        <f t="shared" si="8"/>
        <v>9.2678405931417981E-4</v>
      </c>
      <c r="Y102" s="2">
        <f t="shared" si="9"/>
        <v>0.84</v>
      </c>
      <c r="Z102" s="2">
        <f t="shared" si="10"/>
        <v>1</v>
      </c>
      <c r="AA102" s="2">
        <f t="shared" si="11"/>
        <v>0.84</v>
      </c>
      <c r="AB102" s="1"/>
    </row>
    <row r="103" spans="1:28" x14ac:dyDescent="0.25">
      <c r="A103" s="15" t="s">
        <v>680</v>
      </c>
      <c r="B103" s="10" t="s">
        <v>109</v>
      </c>
      <c r="C103" s="10" t="s">
        <v>110</v>
      </c>
      <c r="D103" s="10" t="str">
        <f>VLOOKUP(C103,Setup!A:F,3,)</f>
        <v>Air freshener FLOWER SHOP Golden lotus and rose, 300 ml</v>
      </c>
      <c r="E103" s="10" t="str">
        <f>VLOOKUP(C103,Setup!A:F,4,)</f>
        <v>FLOWER SHOP</v>
      </c>
      <c r="F103" s="10" t="str">
        <f>VLOOKUP(C103,Setup!A:F,5,)</f>
        <v>AIR FRESHENERS</v>
      </c>
      <c r="G103" s="10" t="str">
        <f>VLOOKUP(C103,Setup!A:F,6,)</f>
        <v>Air fresheners waterbase</v>
      </c>
      <c r="H103" s="11" t="s">
        <v>883</v>
      </c>
      <c r="I103" s="31">
        <v>6588</v>
      </c>
      <c r="J103" s="12">
        <v>6576</v>
      </c>
      <c r="K103" s="13">
        <v>140</v>
      </c>
      <c r="L103" s="13">
        <v>15</v>
      </c>
      <c r="M103" s="13">
        <v>0</v>
      </c>
      <c r="N103" s="1"/>
      <c r="O103" s="1"/>
      <c r="P103" s="13">
        <v>65</v>
      </c>
      <c r="Q103" s="1">
        <v>4</v>
      </c>
      <c r="R103" s="1">
        <v>2</v>
      </c>
      <c r="S103" s="1"/>
      <c r="T103" s="1"/>
      <c r="U103" s="1">
        <v>6</v>
      </c>
      <c r="V103" s="40">
        <f t="shared" si="6"/>
        <v>6.0790273556231007E-4</v>
      </c>
      <c r="W103" s="40">
        <f t="shared" si="7"/>
        <v>3.0404378230465187E-4</v>
      </c>
      <c r="X103" s="40">
        <f t="shared" si="8"/>
        <v>9.1157702825888785E-4</v>
      </c>
      <c r="Y103" s="2">
        <f t="shared" si="9"/>
        <v>0.72263736263736267</v>
      </c>
      <c r="Z103" s="2">
        <f t="shared" si="10"/>
        <v>0.99969595621769536</v>
      </c>
      <c r="AA103" s="2">
        <f t="shared" si="11"/>
        <v>0.72241764924039176</v>
      </c>
      <c r="AB103" s="1"/>
    </row>
    <row r="104" spans="1:28" x14ac:dyDescent="0.25">
      <c r="A104" s="15" t="s">
        <v>680</v>
      </c>
      <c r="B104" s="10" t="s">
        <v>739</v>
      </c>
      <c r="C104" s="10" t="s">
        <v>740</v>
      </c>
      <c r="D104" s="10" t="str">
        <f>VLOOKUP(C104,Setup!A:F,3,)</f>
        <v>Air freshener VERTI Air Pure Lilac day, 350 ml</v>
      </c>
      <c r="E104" s="10" t="str">
        <f>VLOOKUP(C104,Setup!A:F,4,)</f>
        <v>VERTI</v>
      </c>
      <c r="F104" s="10" t="str">
        <f>VLOOKUP(C104,Setup!A:F,5,)</f>
        <v>AIR FRESHENERS</v>
      </c>
      <c r="G104" s="10" t="str">
        <f>VLOOKUP(C104,Setup!A:F,6,)</f>
        <v>Air fresheners waterbase</v>
      </c>
      <c r="H104" s="11" t="s">
        <v>884</v>
      </c>
      <c r="I104" s="36">
        <v>10980</v>
      </c>
      <c r="J104" s="12">
        <v>10968</v>
      </c>
      <c r="K104" s="13">
        <v>140</v>
      </c>
      <c r="L104" s="13">
        <v>30</v>
      </c>
      <c r="M104" s="13">
        <v>0</v>
      </c>
      <c r="N104" s="1"/>
      <c r="O104" s="1"/>
      <c r="P104" s="13">
        <v>115</v>
      </c>
      <c r="Q104" s="1"/>
      <c r="R104" s="1"/>
      <c r="S104" s="1"/>
      <c r="T104" s="1"/>
      <c r="U104" s="1">
        <v>6</v>
      </c>
      <c r="V104" s="40">
        <f t="shared" si="6"/>
        <v>0</v>
      </c>
      <c r="W104" s="40">
        <f t="shared" si="7"/>
        <v>0</v>
      </c>
      <c r="X104" s="40">
        <f t="shared" si="8"/>
        <v>5.4674685620557679E-4</v>
      </c>
      <c r="Y104" s="2">
        <f t="shared" si="9"/>
        <v>0.68124223602484468</v>
      </c>
      <c r="Z104" s="2">
        <f t="shared" si="10"/>
        <v>1</v>
      </c>
      <c r="AA104" s="2">
        <f t="shared" si="11"/>
        <v>0.68124223602484468</v>
      </c>
      <c r="AB104" s="1"/>
    </row>
    <row r="105" spans="1:28" x14ac:dyDescent="0.25">
      <c r="A105" s="15" t="s">
        <v>680</v>
      </c>
      <c r="B105" s="10" t="s">
        <v>742</v>
      </c>
      <c r="C105" s="10" t="s">
        <v>743</v>
      </c>
      <c r="D105" s="10" t="str">
        <f>VLOOKUP(C105,Setup!A:F,3,)</f>
        <v>Air freshener VERTI Air Pure White peony, 350 ml</v>
      </c>
      <c r="E105" s="10" t="str">
        <f>VLOOKUP(C105,Setup!A:F,4,)</f>
        <v>VERTI</v>
      </c>
      <c r="F105" s="10" t="str">
        <f>VLOOKUP(C105,Setup!A:F,5,)</f>
        <v>AIR FRESHENERS</v>
      </c>
      <c r="G105" s="10" t="str">
        <f>VLOOKUP(C105,Setup!A:F,6,)</f>
        <v>Air fresheners waterbase</v>
      </c>
      <c r="H105" s="11" t="s">
        <v>885</v>
      </c>
      <c r="I105" s="36">
        <v>10980</v>
      </c>
      <c r="J105" s="12">
        <v>10968</v>
      </c>
      <c r="K105" s="13">
        <v>140</v>
      </c>
      <c r="L105" s="13">
        <v>15</v>
      </c>
      <c r="M105" s="13">
        <v>15</v>
      </c>
      <c r="N105" s="1"/>
      <c r="O105" s="1"/>
      <c r="P105" s="13">
        <v>125</v>
      </c>
      <c r="Q105" s="1"/>
      <c r="R105" s="1"/>
      <c r="S105" s="1"/>
      <c r="T105" s="1"/>
      <c r="U105" s="1">
        <v>6</v>
      </c>
      <c r="V105" s="40">
        <f t="shared" si="6"/>
        <v>0</v>
      </c>
      <c r="W105" s="40">
        <f t="shared" si="7"/>
        <v>0</v>
      </c>
      <c r="X105" s="40">
        <f t="shared" si="8"/>
        <v>5.4674685620557679E-4</v>
      </c>
      <c r="Y105" s="2">
        <f t="shared" si="9"/>
        <v>0.71220779220779218</v>
      </c>
      <c r="Z105" s="2">
        <f t="shared" si="10"/>
        <v>1</v>
      </c>
      <c r="AA105" s="2">
        <f t="shared" si="11"/>
        <v>0.71220779220779218</v>
      </c>
      <c r="AB105" s="1"/>
    </row>
    <row r="106" spans="1:28" x14ac:dyDescent="0.25">
      <c r="A106" s="15" t="s">
        <v>680</v>
      </c>
      <c r="B106" s="10" t="s">
        <v>748</v>
      </c>
      <c r="C106" s="10" t="s">
        <v>749</v>
      </c>
      <c r="D106" s="10" t="str">
        <f>VLOOKUP(C106,Setup!A:F,3,)</f>
        <v>Air freshener VERTI Air Pure After the rain, 350 ml</v>
      </c>
      <c r="E106" s="10" t="str">
        <f>VLOOKUP(C106,Setup!A:F,4,)</f>
        <v>VERTI</v>
      </c>
      <c r="F106" s="10" t="str">
        <f>VLOOKUP(C106,Setup!A:F,5,)</f>
        <v>AIR FRESHENERS</v>
      </c>
      <c r="G106" s="10" t="str">
        <f>VLOOKUP(C106,Setup!A:F,6,)</f>
        <v>Air fresheners waterbase</v>
      </c>
      <c r="H106" s="11" t="s">
        <v>886</v>
      </c>
      <c r="I106" s="36">
        <v>12810</v>
      </c>
      <c r="J106" s="12">
        <v>12804</v>
      </c>
      <c r="K106" s="13">
        <v>140</v>
      </c>
      <c r="L106" s="13">
        <v>15</v>
      </c>
      <c r="M106" s="13">
        <v>0</v>
      </c>
      <c r="N106" s="1"/>
      <c r="O106" s="1"/>
      <c r="P106" s="13">
        <v>100</v>
      </c>
      <c r="Q106" s="1"/>
      <c r="R106" s="1">
        <v>1</v>
      </c>
      <c r="S106" s="1"/>
      <c r="T106" s="1"/>
      <c r="U106" s="1"/>
      <c r="V106" s="40">
        <f t="shared" si="6"/>
        <v>0</v>
      </c>
      <c r="W106" s="40">
        <f t="shared" si="7"/>
        <v>7.8094494338149165E-5</v>
      </c>
      <c r="X106" s="40">
        <f t="shared" si="8"/>
        <v>0</v>
      </c>
      <c r="Y106" s="2">
        <f t="shared" si="9"/>
        <v>0.91457142857142859</v>
      </c>
      <c r="Z106" s="2">
        <f t="shared" si="10"/>
        <v>0.99992190550566185</v>
      </c>
      <c r="AA106" s="2">
        <f t="shared" si="11"/>
        <v>0.91450000557817823</v>
      </c>
      <c r="AB106" s="1"/>
    </row>
    <row r="107" spans="1:28" x14ac:dyDescent="0.25">
      <c r="A107" s="15" t="s">
        <v>680</v>
      </c>
      <c r="B107" s="10" t="s">
        <v>745</v>
      </c>
      <c r="C107" s="10" t="s">
        <v>746</v>
      </c>
      <c r="D107" s="10" t="str">
        <f>VLOOKUP(C107,Setup!A:F,3,)</f>
        <v>Air freshener VERTI Air Pure Ocean Breeze, 350 ml</v>
      </c>
      <c r="E107" s="10" t="str">
        <f>VLOOKUP(C107,Setup!A:F,4,)</f>
        <v>VERTI</v>
      </c>
      <c r="F107" s="10" t="str">
        <f>VLOOKUP(C107,Setup!A:F,5,)</f>
        <v>AIR FRESHENERS</v>
      </c>
      <c r="G107" s="10" t="str">
        <f>VLOOKUP(C107,Setup!A:F,6,)</f>
        <v>Air fresheners waterbase</v>
      </c>
      <c r="H107" s="11" t="s">
        <v>887</v>
      </c>
      <c r="I107" s="36">
        <v>10980</v>
      </c>
      <c r="J107" s="12">
        <v>10968</v>
      </c>
      <c r="K107" s="13">
        <v>140</v>
      </c>
      <c r="L107" s="13">
        <v>15</v>
      </c>
      <c r="M107" s="13">
        <v>0</v>
      </c>
      <c r="N107" s="1">
        <v>20</v>
      </c>
      <c r="O107" s="1" t="s">
        <v>4846</v>
      </c>
      <c r="P107" s="13">
        <v>155</v>
      </c>
      <c r="Q107" s="1">
        <v>2</v>
      </c>
      <c r="R107" s="1">
        <v>1</v>
      </c>
      <c r="S107" s="1"/>
      <c r="T107" s="1"/>
      <c r="U107" s="1">
        <v>6</v>
      </c>
      <c r="V107" s="40">
        <f t="shared" si="6"/>
        <v>1.8231540565177758E-4</v>
      </c>
      <c r="W107" s="40">
        <f t="shared" si="7"/>
        <v>9.116601331023795E-5</v>
      </c>
      <c r="X107" s="40">
        <f t="shared" si="8"/>
        <v>5.4674685620557679E-4</v>
      </c>
      <c r="Y107" s="2">
        <f t="shared" si="9"/>
        <v>0.58031746031746034</v>
      </c>
      <c r="Z107" s="2">
        <f t="shared" si="10"/>
        <v>0.99990883398668973</v>
      </c>
      <c r="AA107" s="2">
        <f t="shared" si="11"/>
        <v>0.58026455508814889</v>
      </c>
      <c r="AB107" s="1"/>
    </row>
    <row r="108" spans="1:28" x14ac:dyDescent="0.25">
      <c r="A108" s="15" t="s">
        <v>680</v>
      </c>
      <c r="B108" s="10" t="s">
        <v>751</v>
      </c>
      <c r="C108" s="10" t="s">
        <v>752</v>
      </c>
      <c r="D108" s="10" t="str">
        <f>VLOOKUP(C108,Setup!A:F,3,)</f>
        <v>Air freshener VERTI Air Pure Freshness of linen, 350 ml</v>
      </c>
      <c r="E108" s="10" t="str">
        <f>VLOOKUP(C108,Setup!A:F,4,)</f>
        <v>VERTI</v>
      </c>
      <c r="F108" s="10" t="str">
        <f>VLOOKUP(C108,Setup!A:F,5,)</f>
        <v>AIR FRESHENERS</v>
      </c>
      <c r="G108" s="10" t="str">
        <f>VLOOKUP(C108,Setup!A:F,6,)</f>
        <v>Air fresheners waterbase</v>
      </c>
      <c r="H108" s="11" t="s">
        <v>888</v>
      </c>
      <c r="I108" s="36">
        <v>12810</v>
      </c>
      <c r="J108" s="12">
        <v>12768</v>
      </c>
      <c r="K108" s="13">
        <v>140</v>
      </c>
      <c r="L108" s="13">
        <v>15</v>
      </c>
      <c r="M108" s="13">
        <v>0</v>
      </c>
      <c r="N108" s="1"/>
      <c r="O108" s="1"/>
      <c r="P108" s="13">
        <v>127</v>
      </c>
      <c r="Q108" s="1">
        <v>3</v>
      </c>
      <c r="R108" s="1"/>
      <c r="S108" s="1"/>
      <c r="T108" s="1"/>
      <c r="U108" s="1">
        <v>6</v>
      </c>
      <c r="V108" s="40">
        <f t="shared" si="6"/>
        <v>2.3490721165139771E-4</v>
      </c>
      <c r="W108" s="40">
        <f t="shared" si="7"/>
        <v>0</v>
      </c>
      <c r="X108" s="40">
        <f t="shared" si="8"/>
        <v>4.6970408642555192E-4</v>
      </c>
      <c r="Y108" s="2">
        <f t="shared" si="9"/>
        <v>0.71811023622047243</v>
      </c>
      <c r="Z108" s="2">
        <f t="shared" si="10"/>
        <v>1</v>
      </c>
      <c r="AA108" s="2">
        <f t="shared" si="11"/>
        <v>0.71811023622047243</v>
      </c>
      <c r="AB108" s="1"/>
    </row>
    <row r="109" spans="1:28" x14ac:dyDescent="0.25">
      <c r="A109" s="15" t="s">
        <v>680</v>
      </c>
      <c r="B109" s="10" t="s">
        <v>754</v>
      </c>
      <c r="C109" s="10" t="s">
        <v>755</v>
      </c>
      <c r="D109" s="10" t="str">
        <f>VLOOKUP(C109,Setup!A:F,3,)</f>
        <v>Air freshener VERTI Air Pure Anti-tobacco Mojito, 350 ml</v>
      </c>
      <c r="E109" s="10" t="str">
        <f>VLOOKUP(C109,Setup!A:F,4,)</f>
        <v>VERTI</v>
      </c>
      <c r="F109" s="10" t="str">
        <f>VLOOKUP(C109,Setup!A:F,5,)</f>
        <v>AIR FRESHENERS</v>
      </c>
      <c r="G109" s="10" t="str">
        <f>VLOOKUP(C109,Setup!A:F,6,)</f>
        <v>Air fresheners waterbase</v>
      </c>
      <c r="H109" s="11" t="s">
        <v>889</v>
      </c>
      <c r="I109" s="36">
        <v>12810</v>
      </c>
      <c r="J109" s="12">
        <v>12804</v>
      </c>
      <c r="K109" s="13">
        <v>140</v>
      </c>
      <c r="L109" s="13">
        <v>15</v>
      </c>
      <c r="M109" s="13">
        <v>0</v>
      </c>
      <c r="N109" s="1"/>
      <c r="O109" s="1"/>
      <c r="P109" s="13">
        <v>115</v>
      </c>
      <c r="Q109" s="1"/>
      <c r="R109" s="1"/>
      <c r="S109" s="1"/>
      <c r="T109" s="1"/>
      <c r="U109" s="1">
        <v>6</v>
      </c>
      <c r="V109" s="40">
        <f t="shared" si="6"/>
        <v>0</v>
      </c>
      <c r="W109" s="40">
        <f t="shared" si="7"/>
        <v>0</v>
      </c>
      <c r="X109" s="40">
        <f t="shared" si="8"/>
        <v>4.6838407494145199E-4</v>
      </c>
      <c r="Y109" s="2">
        <f t="shared" si="9"/>
        <v>0.79527950310559004</v>
      </c>
      <c r="Z109" s="2">
        <f t="shared" si="10"/>
        <v>1</v>
      </c>
      <c r="AA109" s="2">
        <f t="shared" si="11"/>
        <v>0.79527950310559004</v>
      </c>
      <c r="AB109" s="1"/>
    </row>
    <row r="110" spans="1:28" x14ac:dyDescent="0.25">
      <c r="A110" s="15" t="s">
        <v>680</v>
      </c>
      <c r="B110" s="10" t="s">
        <v>779</v>
      </c>
      <c r="C110" s="10" t="s">
        <v>780</v>
      </c>
      <c r="D110" s="10" t="str">
        <f>VLOOKUP(C110,Setup!A:F,3,)</f>
        <v>Air freshener LIBERHAUS After the rain, 300 ml, Sl</v>
      </c>
      <c r="E110" s="10" t="str">
        <f>VLOOKUP(C110,Setup!A:F,4,)</f>
        <v>LIBERHAUS</v>
      </c>
      <c r="F110" s="10" t="str">
        <f>VLOOKUP(C110,Setup!A:F,5,)</f>
        <v>AIR FRESHENERS</v>
      </c>
      <c r="G110" s="10" t="str">
        <f>VLOOKUP(C110,Setup!A:F,6,)</f>
        <v>Air fresheners waterbase</v>
      </c>
      <c r="H110" s="11" t="s">
        <v>890</v>
      </c>
      <c r="I110" s="37">
        <v>12078</v>
      </c>
      <c r="J110" s="12">
        <v>12336</v>
      </c>
      <c r="K110" s="13">
        <v>140</v>
      </c>
      <c r="L110" s="13">
        <v>30</v>
      </c>
      <c r="M110" s="13">
        <v>0</v>
      </c>
      <c r="N110" s="1"/>
      <c r="O110" s="1"/>
      <c r="P110" s="13">
        <v>123</v>
      </c>
      <c r="Q110" s="1">
        <v>7</v>
      </c>
      <c r="R110" s="1">
        <v>1</v>
      </c>
      <c r="S110" s="1"/>
      <c r="T110" s="1"/>
      <c r="U110" s="1">
        <v>6</v>
      </c>
      <c r="V110" s="40">
        <f t="shared" si="6"/>
        <v>5.6712306570525807E-4</v>
      </c>
      <c r="W110" s="40">
        <f t="shared" si="7"/>
        <v>8.1056983059090543E-5</v>
      </c>
      <c r="X110" s="40">
        <f t="shared" si="8"/>
        <v>4.8614487117160912E-4</v>
      </c>
      <c r="Y110" s="2">
        <f t="shared" si="9"/>
        <v>0.71637630662020901</v>
      </c>
      <c r="Z110" s="2">
        <f t="shared" si="10"/>
        <v>0.99991894301694095</v>
      </c>
      <c r="AA110" s="2">
        <f t="shared" si="11"/>
        <v>0.71631823931805938</v>
      </c>
      <c r="AB110" s="1"/>
    </row>
    <row r="111" spans="1:28" x14ac:dyDescent="0.25">
      <c r="A111" s="15" t="s">
        <v>680</v>
      </c>
      <c r="B111" s="10" t="s">
        <v>681</v>
      </c>
      <c r="C111" s="10" t="s">
        <v>682</v>
      </c>
      <c r="D111" s="10" t="str">
        <f>VLOOKUP(C111,Setup!A:F,3,)</f>
        <v>Air freshener LIBERHAUS Berry explosion, 300 ml</v>
      </c>
      <c r="E111" s="10" t="str">
        <f>VLOOKUP(C111,Setup!A:F,4,)</f>
        <v>LIBERHAUS</v>
      </c>
      <c r="F111" s="10" t="str">
        <f>VLOOKUP(C111,Setup!A:F,5,)</f>
        <v>AIR FRESHENERS</v>
      </c>
      <c r="G111" s="10" t="str">
        <f>VLOOKUP(C111,Setup!A:F,6,)</f>
        <v>Air fresheners waterbase</v>
      </c>
      <c r="H111" s="11" t="s">
        <v>891</v>
      </c>
      <c r="I111" s="36">
        <v>49282</v>
      </c>
      <c r="J111" s="12">
        <v>50508</v>
      </c>
      <c r="K111" s="13">
        <v>140</v>
      </c>
      <c r="L111" s="13">
        <v>15</v>
      </c>
      <c r="M111" s="13">
        <v>30</v>
      </c>
      <c r="N111" s="1"/>
      <c r="O111" s="1"/>
      <c r="P111" s="13">
        <v>445</v>
      </c>
      <c r="Q111" s="1"/>
      <c r="R111" s="1"/>
      <c r="S111" s="1"/>
      <c r="T111" s="1"/>
      <c r="U111" s="1">
        <v>6</v>
      </c>
      <c r="V111" s="40">
        <f t="shared" si="6"/>
        <v>0</v>
      </c>
      <c r="W111" s="40">
        <f t="shared" si="7"/>
        <v>0</v>
      </c>
      <c r="X111" s="40">
        <f t="shared" si="8"/>
        <v>1.1877895236964009E-4</v>
      </c>
      <c r="Y111" s="2">
        <f t="shared" si="9"/>
        <v>0.86932874354561096</v>
      </c>
      <c r="Z111" s="2">
        <f t="shared" si="10"/>
        <v>1</v>
      </c>
      <c r="AA111" s="2">
        <f t="shared" si="11"/>
        <v>0.86932874354561096</v>
      </c>
      <c r="AB111" s="1"/>
    </row>
    <row r="112" spans="1:28" x14ac:dyDescent="0.25">
      <c r="A112" s="15" t="s">
        <v>680</v>
      </c>
      <c r="B112" s="10" t="s">
        <v>779</v>
      </c>
      <c r="C112" s="10" t="s">
        <v>780</v>
      </c>
      <c r="D112" s="10" t="str">
        <f>VLOOKUP(C112,Setup!A:F,3,)</f>
        <v>Air freshener LIBERHAUS After the rain, 300 ml, Sl</v>
      </c>
      <c r="E112" s="10" t="str">
        <f>VLOOKUP(C112,Setup!A:F,4,)</f>
        <v>LIBERHAUS</v>
      </c>
      <c r="F112" s="10" t="str">
        <f>VLOOKUP(C112,Setup!A:F,5,)</f>
        <v>AIR FRESHENERS</v>
      </c>
      <c r="G112" s="10" t="str">
        <f>VLOOKUP(C112,Setup!A:F,6,)</f>
        <v>Air fresheners waterbase</v>
      </c>
      <c r="H112" s="11" t="s">
        <v>890</v>
      </c>
      <c r="I112" s="37">
        <v>12078</v>
      </c>
      <c r="J112" s="12">
        <v>12372</v>
      </c>
      <c r="K112" s="13">
        <v>140</v>
      </c>
      <c r="L112" s="13">
        <v>15</v>
      </c>
      <c r="M112" s="13">
        <v>30</v>
      </c>
      <c r="N112" s="1"/>
      <c r="O112" s="1"/>
      <c r="P112" s="13">
        <v>140</v>
      </c>
      <c r="Q112" s="1">
        <v>2</v>
      </c>
      <c r="R112" s="1">
        <v>3</v>
      </c>
      <c r="S112" s="1"/>
      <c r="T112" s="1"/>
      <c r="U112" s="1">
        <v>6</v>
      </c>
      <c r="V112" s="40">
        <f t="shared" si="6"/>
        <v>1.6162922256343946E-4</v>
      </c>
      <c r="W112" s="40">
        <f t="shared" si="7"/>
        <v>2.4242424242424242E-4</v>
      </c>
      <c r="X112" s="40">
        <f t="shared" si="8"/>
        <v>4.8473097430925838E-4</v>
      </c>
      <c r="Y112" s="2">
        <f t="shared" si="9"/>
        <v>0.80337662337662341</v>
      </c>
      <c r="Z112" s="2">
        <f t="shared" si="10"/>
        <v>0.99975757575757573</v>
      </c>
      <c r="AA112" s="2">
        <f t="shared" si="11"/>
        <v>0.80318186540731995</v>
      </c>
      <c r="AB112" s="1"/>
    </row>
    <row r="113" spans="1:28" x14ac:dyDescent="0.25">
      <c r="A113" s="15" t="s">
        <v>680</v>
      </c>
      <c r="B113" s="10" t="s">
        <v>721</v>
      </c>
      <c r="C113" s="10" t="s">
        <v>722</v>
      </c>
      <c r="D113" s="10" t="str">
        <f>VLOOKUP(C113,Setup!A:F,3,)</f>
        <v xml:space="preserve">Air freshener GREEN COLLECTION BY PROVENCE Blooming Provence, 300 ml, Gatter group </v>
      </c>
      <c r="E113" s="10" t="str">
        <f>VLOOKUP(C113,Setup!A:F,4,)</f>
        <v>GREEN COLLECTION BY PROVENCE</v>
      </c>
      <c r="F113" s="10" t="str">
        <f>VLOOKUP(C113,Setup!A:F,5,)</f>
        <v>AIR FRESHENERS</v>
      </c>
      <c r="G113" s="10" t="str">
        <f>VLOOKUP(C113,Setup!A:F,6,)</f>
        <v>Air fresheners waterbase</v>
      </c>
      <c r="H113" s="11" t="s">
        <v>892</v>
      </c>
      <c r="I113" s="32">
        <v>4800</v>
      </c>
      <c r="J113" s="12">
        <v>4800</v>
      </c>
      <c r="K113" s="13">
        <v>140</v>
      </c>
      <c r="L113" s="13">
        <v>15</v>
      </c>
      <c r="M113" s="13">
        <v>0</v>
      </c>
      <c r="N113" s="1"/>
      <c r="O113" s="1"/>
      <c r="P113" s="13">
        <v>50</v>
      </c>
      <c r="Q113" s="1">
        <v>5</v>
      </c>
      <c r="R113" s="1"/>
      <c r="S113" s="1"/>
      <c r="T113" s="1"/>
      <c r="U113" s="1">
        <v>6</v>
      </c>
      <c r="V113" s="40">
        <f t="shared" si="6"/>
        <v>1.0405827263267431E-3</v>
      </c>
      <c r="W113" s="40">
        <f t="shared" si="7"/>
        <v>0</v>
      </c>
      <c r="X113" s="40">
        <f t="shared" si="8"/>
        <v>1.2484394506866417E-3</v>
      </c>
      <c r="Y113" s="2">
        <f t="shared" si="9"/>
        <v>0.68571428571428572</v>
      </c>
      <c r="Z113" s="2">
        <f t="shared" si="10"/>
        <v>1</v>
      </c>
      <c r="AA113" s="2">
        <f t="shared" si="11"/>
        <v>0.68571428571428572</v>
      </c>
      <c r="AB113" s="1"/>
    </row>
    <row r="114" spans="1:28" x14ac:dyDescent="0.25">
      <c r="A114" s="15" t="s">
        <v>680</v>
      </c>
      <c r="B114" s="10" t="s">
        <v>724</v>
      </c>
      <c r="C114" s="10" t="s">
        <v>725</v>
      </c>
      <c r="D114" s="10" t="str">
        <f>VLOOKUP(C114,Setup!A:F,3,)</f>
        <v>Air freshener GREEN COLLECTION BY PROVENCE Blooming Provence, 300 ml</v>
      </c>
      <c r="E114" s="10" t="str">
        <f>VLOOKUP(C114,Setup!A:F,4,)</f>
        <v>GREEN COLLECTION BY PROVENCE</v>
      </c>
      <c r="F114" s="10" t="str">
        <f>VLOOKUP(C114,Setup!A:F,5,)</f>
        <v>AIR FRESHENERS</v>
      </c>
      <c r="G114" s="10" t="str">
        <f>VLOOKUP(C114,Setup!A:F,6,)</f>
        <v>Air fresheners waterbase</v>
      </c>
      <c r="H114" s="11" t="s">
        <v>892</v>
      </c>
      <c r="I114" s="32">
        <v>5800</v>
      </c>
      <c r="J114" s="12">
        <v>6228</v>
      </c>
      <c r="K114" s="13">
        <v>140</v>
      </c>
      <c r="L114" s="13">
        <v>0</v>
      </c>
      <c r="M114" s="13">
        <v>0</v>
      </c>
      <c r="N114" s="1"/>
      <c r="O114" s="1"/>
      <c r="P114" s="13">
        <v>70</v>
      </c>
      <c r="Q114" s="1"/>
      <c r="R114" s="1"/>
      <c r="S114" s="1"/>
      <c r="T114" s="1"/>
      <c r="U114" s="1"/>
      <c r="V114" s="40">
        <f t="shared" si="6"/>
        <v>0</v>
      </c>
      <c r="W114" s="40">
        <f t="shared" si="7"/>
        <v>0</v>
      </c>
      <c r="X114" s="40">
        <f t="shared" si="8"/>
        <v>0</v>
      </c>
      <c r="Y114" s="2">
        <f t="shared" si="9"/>
        <v>0.63551020408163261</v>
      </c>
      <c r="Z114" s="2">
        <f t="shared" si="10"/>
        <v>1</v>
      </c>
      <c r="AA114" s="2">
        <f t="shared" si="11"/>
        <v>0.63551020408163261</v>
      </c>
      <c r="AB114" s="1"/>
    </row>
    <row r="115" spans="1:28" x14ac:dyDescent="0.25">
      <c r="A115" s="15" t="s">
        <v>680</v>
      </c>
      <c r="B115" s="10" t="s">
        <v>729</v>
      </c>
      <c r="C115" s="10" t="s">
        <v>893</v>
      </c>
      <c r="D115" s="10" t="str">
        <f>VLOOKUP(C115,Setup!A:F,3,)</f>
        <v xml:space="preserve">Air freshener GREEN COLLECTION BY PROVENCE Maritime Riviera, 300 ml. Sl, Gatter group </v>
      </c>
      <c r="E115" s="10" t="str">
        <f>VLOOKUP(C115,Setup!A:F,4,)</f>
        <v>GREEN COLLECTION BY PROVENCE</v>
      </c>
      <c r="F115" s="10" t="str">
        <f>VLOOKUP(C115,Setup!A:F,5,)</f>
        <v>AIR FRESHENERS</v>
      </c>
      <c r="G115" s="10" t="str">
        <f>VLOOKUP(C115,Setup!A:F,6,)</f>
        <v>Air fresheners waterbase</v>
      </c>
      <c r="H115" s="11" t="s">
        <v>894</v>
      </c>
      <c r="I115" s="32">
        <v>24000</v>
      </c>
      <c r="J115" s="12">
        <v>24792</v>
      </c>
      <c r="K115" s="13">
        <v>140</v>
      </c>
      <c r="L115" s="13">
        <v>15</v>
      </c>
      <c r="M115" s="13">
        <v>15</v>
      </c>
      <c r="N115" s="1"/>
      <c r="O115" s="1"/>
      <c r="P115" s="13">
        <v>210</v>
      </c>
      <c r="Q115" s="1">
        <v>14</v>
      </c>
      <c r="R115" s="1">
        <v>1</v>
      </c>
      <c r="S115" s="1"/>
      <c r="T115" s="1"/>
      <c r="U115" s="1">
        <v>6</v>
      </c>
      <c r="V115" s="40">
        <f t="shared" si="6"/>
        <v>5.6437958558413289E-4</v>
      </c>
      <c r="W115" s="40">
        <f t="shared" si="7"/>
        <v>4.0333965232121967E-5</v>
      </c>
      <c r="X115" s="40">
        <f t="shared" si="8"/>
        <v>2.4195499637067505E-4</v>
      </c>
      <c r="Y115" s="2">
        <f t="shared" si="9"/>
        <v>0.90813186813186808</v>
      </c>
      <c r="Z115" s="2">
        <f t="shared" si="10"/>
        <v>0.99995966603476782</v>
      </c>
      <c r="AA115" s="2">
        <f t="shared" si="11"/>
        <v>0.90809523957267257</v>
      </c>
      <c r="AB115" s="1"/>
    </row>
    <row r="116" spans="1:28" x14ac:dyDescent="0.25">
      <c r="A116" s="15" t="s">
        <v>680</v>
      </c>
      <c r="B116" s="10" t="s">
        <v>768</v>
      </c>
      <c r="C116" s="10" t="s">
        <v>895</v>
      </c>
      <c r="D116" s="10" t="str">
        <f>VLOOKUP(C116,Setup!A:F,3,)</f>
        <v>Air freshener ALPEN Berries, 300 ml, n</v>
      </c>
      <c r="E116" s="10" t="str">
        <f>VLOOKUP(C116,Setup!A:F,4,)</f>
        <v>ALPEN</v>
      </c>
      <c r="F116" s="10" t="str">
        <f>VLOOKUP(C116,Setup!A:F,5,)</f>
        <v>AIR FRESHENERS</v>
      </c>
      <c r="G116" s="10" t="str">
        <f>VLOOKUP(C116,Setup!A:F,6,)</f>
        <v>Air fresheners waterbase</v>
      </c>
      <c r="H116" s="11" t="s">
        <v>896</v>
      </c>
      <c r="I116" s="37">
        <v>15372</v>
      </c>
      <c r="J116" s="12">
        <v>15192</v>
      </c>
      <c r="K116" s="13">
        <v>140</v>
      </c>
      <c r="L116" s="13">
        <v>15</v>
      </c>
      <c r="M116" s="13">
        <v>0</v>
      </c>
      <c r="N116" s="1"/>
      <c r="O116" s="1"/>
      <c r="P116" s="13">
        <v>145</v>
      </c>
      <c r="Q116" s="1">
        <v>6</v>
      </c>
      <c r="R116" s="1"/>
      <c r="S116" s="1"/>
      <c r="T116" s="1"/>
      <c r="U116" s="1">
        <f>6+6</f>
        <v>12</v>
      </c>
      <c r="V116" s="40">
        <f t="shared" si="6"/>
        <v>3.9478878799842083E-4</v>
      </c>
      <c r="W116" s="40">
        <f t="shared" si="7"/>
        <v>0</v>
      </c>
      <c r="X116" s="40">
        <f t="shared" si="8"/>
        <v>7.8926598263614838E-4</v>
      </c>
      <c r="Y116" s="2">
        <f t="shared" si="9"/>
        <v>0.74837438423645319</v>
      </c>
      <c r="Z116" s="2">
        <f t="shared" si="10"/>
        <v>1</v>
      </c>
      <c r="AA116" s="2">
        <f t="shared" si="11"/>
        <v>0.74837438423645319</v>
      </c>
      <c r="AB116" s="1"/>
    </row>
    <row r="117" spans="1:28" x14ac:dyDescent="0.25">
      <c r="A117" s="15" t="s">
        <v>680</v>
      </c>
      <c r="B117" s="10" t="s">
        <v>785</v>
      </c>
      <c r="C117" s="10" t="s">
        <v>786</v>
      </c>
      <c r="D117" s="10" t="str">
        <f>VLOOKUP(C117,Setup!A:F,3,)</f>
        <v>Air freshener VERTI Lime, 350 ml</v>
      </c>
      <c r="E117" s="10" t="str">
        <f>VLOOKUP(C117,Setup!A:F,4,)</f>
        <v>VERTI</v>
      </c>
      <c r="F117" s="10" t="str">
        <f>VLOOKUP(C117,Setup!A:F,5,)</f>
        <v>AIR FRESHENERS</v>
      </c>
      <c r="G117" s="10" t="str">
        <f>VLOOKUP(C117,Setup!A:F,6,)</f>
        <v>Air fresheners waterbase</v>
      </c>
      <c r="H117" s="11" t="s">
        <v>897</v>
      </c>
      <c r="I117" s="36">
        <v>23790</v>
      </c>
      <c r="J117" s="12">
        <v>23784</v>
      </c>
      <c r="K117" s="13">
        <v>140</v>
      </c>
      <c r="L117" s="13">
        <v>30</v>
      </c>
      <c r="M117" s="13">
        <v>0</v>
      </c>
      <c r="N117" s="1"/>
      <c r="O117" s="1"/>
      <c r="P117" s="13">
        <v>200</v>
      </c>
      <c r="Q117" s="1">
        <v>2</v>
      </c>
      <c r="R117" s="1">
        <v>1</v>
      </c>
      <c r="S117" s="1"/>
      <c r="T117" s="1"/>
      <c r="U117" s="1">
        <v>6</v>
      </c>
      <c r="V117" s="40">
        <f t="shared" si="6"/>
        <v>8.4083074077188259E-5</v>
      </c>
      <c r="W117" s="40">
        <f t="shared" si="7"/>
        <v>4.2043304603741851E-5</v>
      </c>
      <c r="X117" s="40">
        <f t="shared" si="8"/>
        <v>2.5220680958385876E-4</v>
      </c>
      <c r="Y117" s="2">
        <f t="shared" si="9"/>
        <v>0.84942857142857142</v>
      </c>
      <c r="Z117" s="2">
        <f t="shared" si="10"/>
        <v>0.99995795669539622</v>
      </c>
      <c r="AA117" s="2">
        <f t="shared" si="11"/>
        <v>0.84939285864440373</v>
      </c>
      <c r="AB117" s="1"/>
    </row>
    <row r="118" spans="1:28" x14ac:dyDescent="0.25">
      <c r="A118" s="15" t="s">
        <v>680</v>
      </c>
      <c r="B118" s="10" t="s">
        <v>782</v>
      </c>
      <c r="C118" s="10" t="s">
        <v>783</v>
      </c>
      <c r="D118" s="10" t="str">
        <f>VLOOKUP(C118,Setup!A:F,3,)</f>
        <v>Air freshener VERTI Antitabacco, 350 ml</v>
      </c>
      <c r="E118" s="10" t="str">
        <f>VLOOKUP(C118,Setup!A:F,4,)</f>
        <v>VERTI</v>
      </c>
      <c r="F118" s="10" t="str">
        <f>VLOOKUP(C118,Setup!A:F,5,)</f>
        <v>AIR FRESHENERS</v>
      </c>
      <c r="G118" s="10" t="str">
        <f>VLOOKUP(C118,Setup!A:F,6,)</f>
        <v>Air fresheners waterbase</v>
      </c>
      <c r="H118" s="11" t="s">
        <v>898</v>
      </c>
      <c r="I118" s="36">
        <v>23790</v>
      </c>
      <c r="J118" s="12">
        <v>24768</v>
      </c>
      <c r="K118" s="13">
        <v>140</v>
      </c>
      <c r="L118" s="13">
        <v>15</v>
      </c>
      <c r="M118" s="13">
        <v>0</v>
      </c>
      <c r="N118" s="1"/>
      <c r="O118" s="1"/>
      <c r="P118" s="13">
        <v>200</v>
      </c>
      <c r="Q118" s="1">
        <v>2</v>
      </c>
      <c r="R118" s="1">
        <v>1</v>
      </c>
      <c r="S118" s="1"/>
      <c r="T118" s="1"/>
      <c r="U118" s="1">
        <v>6</v>
      </c>
      <c r="V118" s="40">
        <f t="shared" si="6"/>
        <v>8.0742834073475983E-5</v>
      </c>
      <c r="W118" s="40">
        <f t="shared" si="7"/>
        <v>4.0373046953853608E-5</v>
      </c>
      <c r="X118" s="40">
        <f t="shared" si="8"/>
        <v>2.4218939210462581E-4</v>
      </c>
      <c r="Y118" s="2">
        <f t="shared" si="9"/>
        <v>0.88457142857142856</v>
      </c>
      <c r="Z118" s="2">
        <f t="shared" si="10"/>
        <v>0.99995962695304619</v>
      </c>
      <c r="AA118" s="2">
        <f t="shared" si="11"/>
        <v>0.88453571572760881</v>
      </c>
      <c r="AB118" s="1"/>
    </row>
    <row r="119" spans="1:28" x14ac:dyDescent="0.25">
      <c r="A119" s="15" t="s">
        <v>680</v>
      </c>
      <c r="B119" s="10" t="s">
        <v>788</v>
      </c>
      <c r="C119" s="10" t="s">
        <v>789</v>
      </c>
      <c r="D119" s="10" t="str">
        <f>VLOOKUP(C119,Setup!A:F,3,)</f>
        <v>Air freshener VERTI Morse minerals Odor blocker, 350 ml</v>
      </c>
      <c r="E119" s="10" t="str">
        <f>VLOOKUP(C119,Setup!A:F,4,)</f>
        <v>VERTI</v>
      </c>
      <c r="F119" s="10" t="str">
        <f>VLOOKUP(C119,Setup!A:F,5,)</f>
        <v>AIR FRESHENERS</v>
      </c>
      <c r="G119" s="10" t="str">
        <f>VLOOKUP(C119,Setup!A:F,6,)</f>
        <v>Air fresheners waterbase</v>
      </c>
      <c r="H119" s="11" t="s">
        <v>899</v>
      </c>
      <c r="I119" s="36">
        <v>23790</v>
      </c>
      <c r="J119" s="12">
        <v>24780</v>
      </c>
      <c r="K119" s="13">
        <v>140</v>
      </c>
      <c r="L119" s="13">
        <v>15</v>
      </c>
      <c r="M119" s="13">
        <v>0</v>
      </c>
      <c r="N119" s="1"/>
      <c r="O119" s="1"/>
      <c r="P119" s="13">
        <v>205</v>
      </c>
      <c r="Q119" s="1"/>
      <c r="R119" s="1">
        <v>2</v>
      </c>
      <c r="S119" s="1"/>
      <c r="T119" s="1"/>
      <c r="U119" s="1">
        <v>6</v>
      </c>
      <c r="V119" s="40">
        <f t="shared" si="6"/>
        <v>0</v>
      </c>
      <c r="W119" s="40">
        <f t="shared" si="7"/>
        <v>8.0703736583003795E-5</v>
      </c>
      <c r="X119" s="40">
        <f t="shared" si="8"/>
        <v>2.4207213749697409E-4</v>
      </c>
      <c r="Y119" s="2">
        <f t="shared" si="9"/>
        <v>0.86341463414634145</v>
      </c>
      <c r="Z119" s="2">
        <f t="shared" si="10"/>
        <v>0.99991929626341702</v>
      </c>
      <c r="AA119" s="2">
        <f t="shared" si="11"/>
        <v>0.86334495335914541</v>
      </c>
      <c r="AB119" s="1"/>
    </row>
    <row r="120" spans="1:28" x14ac:dyDescent="0.25">
      <c r="A120" s="15" t="s">
        <v>680</v>
      </c>
      <c r="B120" s="10" t="s">
        <v>757</v>
      </c>
      <c r="C120" s="10" t="s">
        <v>758</v>
      </c>
      <c r="D120" s="10" t="str">
        <f>VLOOKUP(C120,Setup!A:F,3,)</f>
        <v>Air freshener VERTI Air Pure Blooming mountains, 350 ml</v>
      </c>
      <c r="E120" s="10" t="str">
        <f>VLOOKUP(C120,Setup!A:F,4,)</f>
        <v>VERTI</v>
      </c>
      <c r="F120" s="10" t="str">
        <f>VLOOKUP(C120,Setup!A:F,5,)</f>
        <v>AIR FRESHENERS</v>
      </c>
      <c r="G120" s="10" t="str">
        <f>VLOOKUP(C120,Setup!A:F,6,)</f>
        <v>Air fresheners waterbase</v>
      </c>
      <c r="H120" s="11" t="s">
        <v>900</v>
      </c>
      <c r="I120" s="36">
        <v>12810</v>
      </c>
      <c r="J120" s="12">
        <v>13344</v>
      </c>
      <c r="K120" s="13">
        <v>140</v>
      </c>
      <c r="L120" s="13">
        <v>15</v>
      </c>
      <c r="M120" s="13">
        <v>0</v>
      </c>
      <c r="N120" s="1"/>
      <c r="O120" s="1"/>
      <c r="P120" s="13">
        <v>120</v>
      </c>
      <c r="Q120" s="1"/>
      <c r="R120" s="1"/>
      <c r="S120" s="1"/>
      <c r="T120" s="1"/>
      <c r="U120" s="1">
        <v>6</v>
      </c>
      <c r="V120" s="40">
        <f t="shared" si="6"/>
        <v>0</v>
      </c>
      <c r="W120" s="40">
        <f t="shared" si="7"/>
        <v>0</v>
      </c>
      <c r="X120" s="40">
        <f t="shared" si="8"/>
        <v>4.4943820224719103E-4</v>
      </c>
      <c r="Y120" s="2">
        <f t="shared" si="9"/>
        <v>0.79428571428571426</v>
      </c>
      <c r="Z120" s="2">
        <f t="shared" si="10"/>
        <v>1</v>
      </c>
      <c r="AA120" s="2">
        <f t="shared" si="11"/>
        <v>0.79428571428571426</v>
      </c>
      <c r="AB120" s="1"/>
    </row>
    <row r="121" spans="1:28" x14ac:dyDescent="0.25">
      <c r="A121" s="15" t="s">
        <v>680</v>
      </c>
      <c r="B121" s="10" t="s">
        <v>739</v>
      </c>
      <c r="C121" s="10" t="s">
        <v>740</v>
      </c>
      <c r="D121" s="10" t="str">
        <f>VLOOKUP(C121,Setup!A:F,3,)</f>
        <v>Air freshener VERTI Air Pure Lilac day, 350 ml</v>
      </c>
      <c r="E121" s="10" t="str">
        <f>VLOOKUP(C121,Setup!A:F,4,)</f>
        <v>VERTI</v>
      </c>
      <c r="F121" s="10" t="str">
        <f>VLOOKUP(C121,Setup!A:F,5,)</f>
        <v>AIR FRESHENERS</v>
      </c>
      <c r="G121" s="10" t="str">
        <f>VLOOKUP(C121,Setup!A:F,6,)</f>
        <v>Air fresheners waterbase</v>
      </c>
      <c r="H121" s="11" t="s">
        <v>901</v>
      </c>
      <c r="I121" s="36">
        <v>10980</v>
      </c>
      <c r="J121" s="12">
        <v>10980</v>
      </c>
      <c r="K121" s="13">
        <v>140</v>
      </c>
      <c r="L121" s="13">
        <v>15</v>
      </c>
      <c r="M121" s="13">
        <v>0</v>
      </c>
      <c r="N121" s="1"/>
      <c r="O121" s="1"/>
      <c r="P121" s="13">
        <v>100</v>
      </c>
      <c r="Q121" s="1"/>
      <c r="R121" s="1"/>
      <c r="S121" s="1"/>
      <c r="T121" s="1"/>
      <c r="U121" s="1">
        <v>6</v>
      </c>
      <c r="V121" s="40">
        <f t="shared" si="6"/>
        <v>0</v>
      </c>
      <c r="W121" s="40">
        <f t="shared" si="7"/>
        <v>0</v>
      </c>
      <c r="X121" s="40">
        <f t="shared" si="8"/>
        <v>5.461496450027307E-4</v>
      </c>
      <c r="Y121" s="2">
        <f t="shared" si="9"/>
        <v>0.78428571428571425</v>
      </c>
      <c r="Z121" s="2">
        <f t="shared" si="10"/>
        <v>1</v>
      </c>
      <c r="AA121" s="2">
        <f t="shared" si="11"/>
        <v>0.78428571428571425</v>
      </c>
      <c r="AB121" s="1"/>
    </row>
    <row r="122" spans="1:28" x14ac:dyDescent="0.25">
      <c r="A122" s="15" t="s">
        <v>680</v>
      </c>
      <c r="B122" s="10" t="s">
        <v>742</v>
      </c>
      <c r="C122" s="10" t="s">
        <v>743</v>
      </c>
      <c r="D122" s="10" t="str">
        <f>VLOOKUP(C122,Setup!A:F,3,)</f>
        <v>Air freshener VERTI Air Pure White peony, 350 ml</v>
      </c>
      <c r="E122" s="10" t="str">
        <f>VLOOKUP(C122,Setup!A:F,4,)</f>
        <v>VERTI</v>
      </c>
      <c r="F122" s="10" t="str">
        <f>VLOOKUP(C122,Setup!A:F,5,)</f>
        <v>AIR FRESHENERS</v>
      </c>
      <c r="G122" s="10" t="str">
        <f>VLOOKUP(C122,Setup!A:F,6,)</f>
        <v>Air fresheners waterbase</v>
      </c>
      <c r="H122" s="11" t="s">
        <v>902</v>
      </c>
      <c r="I122" s="36">
        <v>10980</v>
      </c>
      <c r="J122" s="12">
        <v>10968</v>
      </c>
      <c r="K122" s="13">
        <v>140</v>
      </c>
      <c r="L122" s="13">
        <v>15</v>
      </c>
      <c r="M122" s="13">
        <v>0</v>
      </c>
      <c r="N122" s="1"/>
      <c r="O122" s="1"/>
      <c r="P122" s="13">
        <v>95</v>
      </c>
      <c r="Q122" s="1"/>
      <c r="R122" s="1">
        <v>2</v>
      </c>
      <c r="S122" s="1"/>
      <c r="T122" s="1"/>
      <c r="U122" s="1">
        <v>6</v>
      </c>
      <c r="V122" s="40">
        <f t="shared" si="6"/>
        <v>0</v>
      </c>
      <c r="W122" s="40">
        <f t="shared" si="7"/>
        <v>1.8231540565177758E-4</v>
      </c>
      <c r="X122" s="40">
        <f t="shared" si="8"/>
        <v>5.4674685620557679E-4</v>
      </c>
      <c r="Y122" s="2">
        <f t="shared" si="9"/>
        <v>0.82466165413533832</v>
      </c>
      <c r="Z122" s="2">
        <f t="shared" si="10"/>
        <v>0.99981768459434828</v>
      </c>
      <c r="AA122" s="2">
        <f t="shared" si="11"/>
        <v>0.82451130561133923</v>
      </c>
      <c r="AB122" s="1"/>
    </row>
    <row r="123" spans="1:28" x14ac:dyDescent="0.25">
      <c r="A123" s="15" t="s">
        <v>680</v>
      </c>
      <c r="B123" s="10" t="s">
        <v>681</v>
      </c>
      <c r="C123" s="10" t="s">
        <v>682</v>
      </c>
      <c r="D123" s="10" t="str">
        <f>VLOOKUP(C123,Setup!A:F,3,)</f>
        <v>Air freshener LIBERHAUS Berry explosion, 300 ml</v>
      </c>
      <c r="E123" s="10" t="str">
        <f>VLOOKUP(C123,Setup!A:F,4,)</f>
        <v>LIBERHAUS</v>
      </c>
      <c r="F123" s="10" t="str">
        <f>VLOOKUP(C123,Setup!A:F,5,)</f>
        <v>AIR FRESHENERS</v>
      </c>
      <c r="G123" s="10" t="str">
        <f>VLOOKUP(C123,Setup!A:F,6,)</f>
        <v>Air fresheners waterbase</v>
      </c>
      <c r="H123" s="11" t="s">
        <v>903</v>
      </c>
      <c r="I123" s="31">
        <f>16470+49410</f>
        <v>65880</v>
      </c>
      <c r="J123" s="12">
        <f>16848+49020</f>
        <v>65868</v>
      </c>
      <c r="K123" s="13">
        <v>140</v>
      </c>
      <c r="L123" s="13">
        <f>30+15</f>
        <v>45</v>
      </c>
      <c r="M123" s="13">
        <f>30+15</f>
        <v>45</v>
      </c>
      <c r="N123" s="1"/>
      <c r="O123" s="1"/>
      <c r="P123" s="13">
        <f>175+395</f>
        <v>570</v>
      </c>
      <c r="Q123" s="1">
        <v>4</v>
      </c>
      <c r="R123" s="1">
        <v>2</v>
      </c>
      <c r="S123" s="1"/>
      <c r="T123" s="1"/>
      <c r="U123" s="1">
        <v>6</v>
      </c>
      <c r="V123" s="40">
        <f t="shared" si="6"/>
        <v>6.0723828030119021E-5</v>
      </c>
      <c r="W123" s="40">
        <f t="shared" si="7"/>
        <v>3.036283588887202E-5</v>
      </c>
      <c r="X123" s="40">
        <f t="shared" si="8"/>
        <v>9.1082976591675021E-5</v>
      </c>
      <c r="Y123" s="2">
        <f t="shared" si="9"/>
        <v>0.89616326530612245</v>
      </c>
      <c r="Z123" s="2">
        <f t="shared" si="10"/>
        <v>0.99996963716411114</v>
      </c>
      <c r="AA123" s="2">
        <f t="shared" si="11"/>
        <v>0.89613605524796835</v>
      </c>
      <c r="AB123" s="1"/>
    </row>
    <row r="124" spans="1:28" x14ac:dyDescent="0.25">
      <c r="A124" s="15" t="s">
        <v>680</v>
      </c>
      <c r="B124" s="10" t="s">
        <v>779</v>
      </c>
      <c r="C124" s="10" t="s">
        <v>780</v>
      </c>
      <c r="D124" s="10" t="str">
        <f>VLOOKUP(C124,Setup!A:F,3,)</f>
        <v>Air freshener LIBERHAUS After the rain, 300 ml, Sl</v>
      </c>
      <c r="E124" s="10" t="str">
        <f>VLOOKUP(C124,Setup!A:F,4,)</f>
        <v>LIBERHAUS</v>
      </c>
      <c r="F124" s="10" t="str">
        <f>VLOOKUP(C124,Setup!A:F,5,)</f>
        <v>AIR FRESHENERS</v>
      </c>
      <c r="G124" s="10" t="str">
        <f>VLOOKUP(C124,Setup!A:F,6,)</f>
        <v>Air fresheners waterbase</v>
      </c>
      <c r="H124" s="11" t="s">
        <v>904</v>
      </c>
      <c r="I124" s="31">
        <v>30744</v>
      </c>
      <c r="J124" s="12">
        <v>30732</v>
      </c>
      <c r="K124" s="13">
        <v>140</v>
      </c>
      <c r="L124" s="13">
        <v>15</v>
      </c>
      <c r="M124" s="13">
        <v>15</v>
      </c>
      <c r="N124" s="1"/>
      <c r="O124" s="1"/>
      <c r="P124" s="13">
        <v>284</v>
      </c>
      <c r="Q124" s="1">
        <v>5</v>
      </c>
      <c r="R124" s="1"/>
      <c r="S124" s="1"/>
      <c r="T124" s="1"/>
      <c r="U124" s="1">
        <v>6</v>
      </c>
      <c r="V124" s="40">
        <f t="shared" si="6"/>
        <v>1.6267039724111005E-4</v>
      </c>
      <c r="W124" s="40">
        <f t="shared" si="7"/>
        <v>0</v>
      </c>
      <c r="X124" s="40">
        <f t="shared" si="8"/>
        <v>1.9519812609798947E-4</v>
      </c>
      <c r="Y124" s="2">
        <f t="shared" si="9"/>
        <v>0.81603823685608068</v>
      </c>
      <c r="Z124" s="2">
        <f t="shared" si="10"/>
        <v>1</v>
      </c>
      <c r="AA124" s="2">
        <f t="shared" si="11"/>
        <v>0.81603823685608068</v>
      </c>
      <c r="AB124" s="1"/>
    </row>
    <row r="125" spans="1:28" x14ac:dyDescent="0.25">
      <c r="A125" s="15" t="s">
        <v>680</v>
      </c>
      <c r="B125" s="10" t="s">
        <v>690</v>
      </c>
      <c r="C125" s="10" t="s">
        <v>905</v>
      </c>
      <c r="D125" s="10" t="str">
        <f>VLOOKUP(C125,Setup!A:F,3,)</f>
        <v>Air freshener ALPEN Blooming apple tree, 300 ml, n</v>
      </c>
      <c r="E125" s="10" t="str">
        <f>VLOOKUP(C125,Setup!A:F,4,)</f>
        <v>ALPEN</v>
      </c>
      <c r="F125" s="10" t="str">
        <f>VLOOKUP(C125,Setup!A:F,5,)</f>
        <v>AIR FRESHENERS</v>
      </c>
      <c r="G125" s="10" t="str">
        <f>VLOOKUP(C125,Setup!A:F,6,)</f>
        <v>Air fresheners waterbase</v>
      </c>
      <c r="H125" s="11" t="s">
        <v>906</v>
      </c>
      <c r="I125" s="36">
        <v>13176</v>
      </c>
      <c r="J125" s="12">
        <v>13164</v>
      </c>
      <c r="K125" s="13">
        <v>140</v>
      </c>
      <c r="L125" s="13">
        <v>15</v>
      </c>
      <c r="M125" s="13">
        <v>15</v>
      </c>
      <c r="N125" s="1"/>
      <c r="O125" s="1"/>
      <c r="P125" s="13">
        <v>132</v>
      </c>
      <c r="Q125" s="1">
        <v>4</v>
      </c>
      <c r="R125" s="1">
        <v>2</v>
      </c>
      <c r="S125" s="1"/>
      <c r="T125" s="1"/>
      <c r="U125" s="1">
        <v>6</v>
      </c>
      <c r="V125" s="40">
        <f t="shared" si="6"/>
        <v>3.0376670716889426E-4</v>
      </c>
      <c r="W125" s="40">
        <f t="shared" si="7"/>
        <v>1.5190642564180464E-4</v>
      </c>
      <c r="X125" s="40">
        <f t="shared" si="8"/>
        <v>4.5558086560364467E-4</v>
      </c>
      <c r="Y125" s="2">
        <f t="shared" si="9"/>
        <v>0.80366300366300369</v>
      </c>
      <c r="Z125" s="2">
        <f t="shared" si="10"/>
        <v>0.99984809357435822</v>
      </c>
      <c r="AA125" s="2">
        <f t="shared" si="11"/>
        <v>0.80354092208869676</v>
      </c>
      <c r="AB125" s="1"/>
    </row>
    <row r="126" spans="1:28" x14ac:dyDescent="0.25">
      <c r="A126" s="15" t="s">
        <v>680</v>
      </c>
      <c r="B126" s="10" t="s">
        <v>693</v>
      </c>
      <c r="C126" s="10" t="s">
        <v>907</v>
      </c>
      <c r="D126" s="10" t="str">
        <f>VLOOKUP(C126,Setup!A:F,3,)</f>
        <v>Air freshener ALPEN Sunny Orange, 300 ml, n</v>
      </c>
      <c r="E126" s="10" t="str">
        <f>VLOOKUP(C126,Setup!A:F,4,)</f>
        <v>ALPEN</v>
      </c>
      <c r="F126" s="10" t="str">
        <f>VLOOKUP(C126,Setup!A:F,5,)</f>
        <v>AIR FRESHENERS</v>
      </c>
      <c r="G126" s="10" t="str">
        <f>VLOOKUP(C126,Setup!A:F,6,)</f>
        <v>Air fresheners waterbase</v>
      </c>
      <c r="H126" s="11" t="s">
        <v>908</v>
      </c>
      <c r="I126" s="36">
        <v>6588</v>
      </c>
      <c r="J126" s="12">
        <v>6624</v>
      </c>
      <c r="K126" s="13">
        <v>140</v>
      </c>
      <c r="L126" s="13">
        <v>15</v>
      </c>
      <c r="M126" s="13">
        <v>0</v>
      </c>
      <c r="N126" s="1"/>
      <c r="O126" s="1"/>
      <c r="P126" s="13">
        <v>59</v>
      </c>
      <c r="Q126" s="1">
        <v>7</v>
      </c>
      <c r="R126" s="1"/>
      <c r="S126" s="1"/>
      <c r="T126" s="1"/>
      <c r="U126" s="1">
        <v>6</v>
      </c>
      <c r="V126" s="40">
        <f t="shared" si="6"/>
        <v>1.0556477152767305E-3</v>
      </c>
      <c r="W126" s="40">
        <f t="shared" si="7"/>
        <v>0</v>
      </c>
      <c r="X126" s="40">
        <f t="shared" si="8"/>
        <v>9.049773755656109E-4</v>
      </c>
      <c r="Y126" s="2">
        <f t="shared" si="9"/>
        <v>0.80193704600484261</v>
      </c>
      <c r="Z126" s="2">
        <f t="shared" si="10"/>
        <v>1</v>
      </c>
      <c r="AA126" s="2">
        <f t="shared" si="11"/>
        <v>0.80193704600484261</v>
      </c>
      <c r="AB126" s="1"/>
    </row>
    <row r="127" spans="1:28" x14ac:dyDescent="0.25">
      <c r="A127" s="15" t="s">
        <v>680</v>
      </c>
      <c r="B127" s="10" t="s">
        <v>699</v>
      </c>
      <c r="C127" s="10" t="s">
        <v>909</v>
      </c>
      <c r="D127" s="10" t="str">
        <f>VLOOKUP(C127,Setup!A:F,3,)</f>
        <v>Air freshener ALPEN Flowers After the rain, 300 ml, n</v>
      </c>
      <c r="E127" s="10" t="str">
        <f>VLOOKUP(C127,Setup!A:F,4,)</f>
        <v>ALPEN</v>
      </c>
      <c r="F127" s="10" t="str">
        <f>VLOOKUP(C127,Setup!A:F,5,)</f>
        <v>AIR FRESHENERS</v>
      </c>
      <c r="G127" s="10" t="str">
        <f>VLOOKUP(C127,Setup!A:F,6,)</f>
        <v>Air fresheners waterbase</v>
      </c>
      <c r="H127" s="11" t="s">
        <v>910</v>
      </c>
      <c r="I127" s="36">
        <v>15372</v>
      </c>
      <c r="J127" s="12">
        <v>15168</v>
      </c>
      <c r="K127" s="13">
        <v>140</v>
      </c>
      <c r="L127" s="13">
        <v>15</v>
      </c>
      <c r="M127" s="13">
        <v>0</v>
      </c>
      <c r="N127" s="1"/>
      <c r="O127" s="1"/>
      <c r="P127" s="13">
        <v>135</v>
      </c>
      <c r="Q127" s="1">
        <v>6</v>
      </c>
      <c r="R127" s="1"/>
      <c r="S127" s="1"/>
      <c r="T127" s="1"/>
      <c r="U127" s="1">
        <v>6</v>
      </c>
      <c r="V127" s="40">
        <f t="shared" si="6"/>
        <v>3.9541320680110717E-4</v>
      </c>
      <c r="W127" s="40">
        <f t="shared" si="7"/>
        <v>0</v>
      </c>
      <c r="X127" s="40">
        <f t="shared" si="8"/>
        <v>3.9541320680110717E-4</v>
      </c>
      <c r="Y127" s="2">
        <f t="shared" si="9"/>
        <v>0.80253968253968255</v>
      </c>
      <c r="Z127" s="2">
        <f t="shared" si="10"/>
        <v>1</v>
      </c>
      <c r="AA127" s="2">
        <f t="shared" si="11"/>
        <v>0.80253968253968255</v>
      </c>
      <c r="AB127" s="1"/>
    </row>
    <row r="128" spans="1:28" x14ac:dyDescent="0.25">
      <c r="A128" s="15" t="s">
        <v>680</v>
      </c>
      <c r="B128" s="10" t="s">
        <v>764</v>
      </c>
      <c r="C128" s="10" t="s">
        <v>911</v>
      </c>
      <c r="D128" s="10" t="str">
        <f>VLOOKUP(C128,Setup!A:F,3,)</f>
        <v>Air freshener AIR PURE BY ALPEN Mango and pomegranate, 300 ml, n</v>
      </c>
      <c r="E128" s="10" t="str">
        <f>VLOOKUP(C128,Setup!A:F,4,)</f>
        <v>ALPEN</v>
      </c>
      <c r="F128" s="10" t="str">
        <f>VLOOKUP(C128,Setup!A:F,5,)</f>
        <v>AIR FRESHENERS</v>
      </c>
      <c r="G128" s="10" t="str">
        <f>VLOOKUP(C128,Setup!A:F,6,)</f>
        <v>Air fresheners waterbase</v>
      </c>
      <c r="H128" s="11" t="s">
        <v>912</v>
      </c>
      <c r="I128" s="37">
        <v>13176</v>
      </c>
      <c r="J128" s="12">
        <v>13536</v>
      </c>
      <c r="K128" s="13">
        <v>140</v>
      </c>
      <c r="L128" s="13">
        <v>15</v>
      </c>
      <c r="M128" s="13">
        <v>15</v>
      </c>
      <c r="N128" s="1"/>
      <c r="O128" s="1"/>
      <c r="P128" s="13">
        <v>135</v>
      </c>
      <c r="Q128" s="1">
        <f>4+8</f>
        <v>12</v>
      </c>
      <c r="R128" s="1">
        <v>4</v>
      </c>
      <c r="S128" s="1"/>
      <c r="T128" s="1"/>
      <c r="U128" s="1">
        <v>6</v>
      </c>
      <c r="V128" s="40">
        <f t="shared" si="6"/>
        <v>8.8573959255978745E-4</v>
      </c>
      <c r="W128" s="40">
        <f t="shared" si="7"/>
        <v>2.9542097488921711E-4</v>
      </c>
      <c r="X128" s="40">
        <f t="shared" si="8"/>
        <v>4.4306601683650863E-4</v>
      </c>
      <c r="Y128" s="2">
        <f t="shared" si="9"/>
        <v>0.80571428571428572</v>
      </c>
      <c r="Z128" s="2">
        <f t="shared" si="10"/>
        <v>0.99970457902511078</v>
      </c>
      <c r="AA128" s="2">
        <f t="shared" si="11"/>
        <v>0.80547626081451784</v>
      </c>
      <c r="AB128" s="1"/>
    </row>
    <row r="129" spans="1:28" x14ac:dyDescent="0.25">
      <c r="A129" s="15" t="s">
        <v>680</v>
      </c>
      <c r="B129" s="10" t="s">
        <v>190</v>
      </c>
      <c r="C129" s="10" t="s">
        <v>913</v>
      </c>
      <c r="D129" s="10" t="str">
        <f>VLOOKUP(C129,Setup!A:F,3,)</f>
        <v>Air freshener AIR PURE BY ALPEN Cotton softness, 300 ml, n</v>
      </c>
      <c r="E129" s="10" t="str">
        <f>VLOOKUP(C129,Setup!A:F,4,)</f>
        <v>ALPEN</v>
      </c>
      <c r="F129" s="10" t="str">
        <f>VLOOKUP(C129,Setup!A:F,5,)</f>
        <v>AIR FRESHENERS</v>
      </c>
      <c r="G129" s="10" t="str">
        <f>VLOOKUP(C129,Setup!A:F,6,)</f>
        <v>Air fresheners waterbase</v>
      </c>
      <c r="H129" s="11" t="s">
        <v>914</v>
      </c>
      <c r="I129" s="36">
        <v>10985</v>
      </c>
      <c r="J129" s="12">
        <v>10980</v>
      </c>
      <c r="K129" s="13">
        <v>140</v>
      </c>
      <c r="L129" s="13">
        <v>15</v>
      </c>
      <c r="M129" s="13">
        <v>0</v>
      </c>
      <c r="N129" s="1"/>
      <c r="O129" s="1"/>
      <c r="P129" s="13">
        <v>135</v>
      </c>
      <c r="Q129" s="1"/>
      <c r="R129" s="1"/>
      <c r="S129" s="1"/>
      <c r="T129" s="1"/>
      <c r="U129" s="1">
        <v>6</v>
      </c>
      <c r="V129" s="40">
        <f t="shared" si="6"/>
        <v>0</v>
      </c>
      <c r="W129" s="40">
        <f t="shared" si="7"/>
        <v>0</v>
      </c>
      <c r="X129" s="40">
        <f t="shared" si="8"/>
        <v>5.461496450027307E-4</v>
      </c>
      <c r="Y129" s="2">
        <f t="shared" si="9"/>
        <v>0.580952380952381</v>
      </c>
      <c r="Z129" s="2">
        <f t="shared" si="10"/>
        <v>1</v>
      </c>
      <c r="AA129" s="2">
        <f t="shared" si="11"/>
        <v>0.580952380952381</v>
      </c>
      <c r="AB129" s="1"/>
    </row>
    <row r="130" spans="1:28" x14ac:dyDescent="0.25">
      <c r="A130" s="15" t="s">
        <v>680</v>
      </c>
      <c r="B130" s="10" t="s">
        <v>684</v>
      </c>
      <c r="C130" s="10" t="s">
        <v>915</v>
      </c>
      <c r="D130" s="10" t="str">
        <f>VLOOKUP(C130,Setup!A:F,3,)</f>
        <v>Air freshener AIR PURE BY ALPEN Alpine morning, 300 ml, n</v>
      </c>
      <c r="E130" s="10" t="str">
        <f>VLOOKUP(C130,Setup!A:F,4,)</f>
        <v>ALPEN</v>
      </c>
      <c r="F130" s="10" t="str">
        <f>VLOOKUP(C130,Setup!A:F,5,)</f>
        <v>AIR FRESHENERS</v>
      </c>
      <c r="G130" s="10" t="str">
        <f>VLOOKUP(C130,Setup!A:F,6,)</f>
        <v>Air fresheners waterbase</v>
      </c>
      <c r="H130" s="11" t="s">
        <v>916</v>
      </c>
      <c r="I130" s="36">
        <v>9200</v>
      </c>
      <c r="J130" s="12">
        <v>9516</v>
      </c>
      <c r="K130" s="13">
        <v>140</v>
      </c>
      <c r="L130" s="13">
        <v>15</v>
      </c>
      <c r="M130" s="13">
        <v>30</v>
      </c>
      <c r="N130" s="1"/>
      <c r="O130" s="1"/>
      <c r="P130" s="13">
        <v>125</v>
      </c>
      <c r="Q130" s="1">
        <v>3</v>
      </c>
      <c r="R130" s="1">
        <v>2</v>
      </c>
      <c r="S130" s="1"/>
      <c r="T130" s="1"/>
      <c r="U130" s="1">
        <v>6</v>
      </c>
      <c r="V130" s="40">
        <f t="shared" si="6"/>
        <v>3.1515915537346358E-4</v>
      </c>
      <c r="W130" s="40">
        <f t="shared" si="7"/>
        <v>2.101281781886951E-4</v>
      </c>
      <c r="X130" s="40">
        <f t="shared" si="8"/>
        <v>6.3011972274732201E-4</v>
      </c>
      <c r="Y130" s="2">
        <f t="shared" si="9"/>
        <v>0.71548872180451129</v>
      </c>
      <c r="Z130" s="2">
        <f t="shared" si="10"/>
        <v>0.99978987182181134</v>
      </c>
      <c r="AA130" s="2">
        <f t="shared" si="11"/>
        <v>0.71533837746288398</v>
      </c>
      <c r="AB130" s="1"/>
    </row>
    <row r="131" spans="1:28" x14ac:dyDescent="0.25">
      <c r="A131" s="15" t="s">
        <v>680</v>
      </c>
      <c r="B131" s="10" t="s">
        <v>687</v>
      </c>
      <c r="C131" s="10" t="s">
        <v>917</v>
      </c>
      <c r="D131" s="10" t="str">
        <f>VLOOKUP(C131,Setup!A:F,3,)</f>
        <v>Air freshener ALPEN Violet field, 300 ml, n</v>
      </c>
      <c r="E131" s="10" t="str">
        <f>VLOOKUP(C131,Setup!A:F,4,)</f>
        <v>ALPEN</v>
      </c>
      <c r="F131" s="10" t="str">
        <f>VLOOKUP(C131,Setup!A:F,5,)</f>
        <v>AIR FRESHENERS</v>
      </c>
      <c r="G131" s="10" t="str">
        <f>VLOOKUP(C131,Setup!A:F,6,)</f>
        <v>Air fresheners waterbase</v>
      </c>
      <c r="H131" s="11" t="s">
        <v>918</v>
      </c>
      <c r="I131" s="36">
        <v>12724</v>
      </c>
      <c r="J131" s="12">
        <v>12732</v>
      </c>
      <c r="K131" s="13">
        <v>140</v>
      </c>
      <c r="L131" s="13">
        <v>15</v>
      </c>
      <c r="M131" s="13">
        <v>15</v>
      </c>
      <c r="N131" s="1"/>
      <c r="O131" s="1"/>
      <c r="P131" s="13">
        <v>145</v>
      </c>
      <c r="Q131" s="1">
        <v>2</v>
      </c>
      <c r="R131" s="1"/>
      <c r="S131" s="1"/>
      <c r="T131" s="1"/>
      <c r="U131" s="1">
        <v>6</v>
      </c>
      <c r="V131" s="40">
        <f t="shared" ref="V131:V161" si="12">Q131/(Q131+J131)</f>
        <v>1.5705983979896342E-4</v>
      </c>
      <c r="W131" s="40">
        <f t="shared" ref="W131:W161" si="13">R131/(R131+J131)</f>
        <v>0</v>
      </c>
      <c r="X131" s="40">
        <f t="shared" ref="X131:X161" si="14">U131/(U131+J131)</f>
        <v>4.7103155911446069E-4</v>
      </c>
      <c r="Y131" s="2">
        <f t="shared" ref="Y131:Y160" si="15">(J131/(K131*(P131-M131-N131)))</f>
        <v>0.69956043956043956</v>
      </c>
      <c r="Z131" s="2">
        <f t="shared" ref="Z131:Z160" si="16">(J131/(J131+R131+S131-T131))</f>
        <v>1</v>
      </c>
      <c r="AA131" s="2">
        <f t="shared" ref="AA131:AA160" si="17">Y131*Z131</f>
        <v>0.69956043956043956</v>
      </c>
      <c r="AB131" s="1"/>
    </row>
    <row r="132" spans="1:28" x14ac:dyDescent="0.25">
      <c r="A132" s="15" t="s">
        <v>680</v>
      </c>
      <c r="B132" s="10" t="s">
        <v>800</v>
      </c>
      <c r="C132" s="10" t="s">
        <v>801</v>
      </c>
      <c r="D132" s="10" t="str">
        <f>VLOOKUP(C132,Setup!A:F,3,)</f>
        <v>Air freshener FLOWER SHOP After the rain, 300 ml,</v>
      </c>
      <c r="E132" s="10" t="str">
        <f>VLOOKUP(C132,Setup!A:F,4,)</f>
        <v>FLOWER SHOP</v>
      </c>
      <c r="F132" s="10" t="str">
        <f>VLOOKUP(C132,Setup!A:F,5,)</f>
        <v>AIR FRESHENERS</v>
      </c>
      <c r="G132" s="10" t="str">
        <f>VLOOKUP(C132,Setup!A:F,6,)</f>
        <v>Air fresheners waterbase</v>
      </c>
      <c r="H132" s="11" t="s">
        <v>919</v>
      </c>
      <c r="I132" s="31">
        <v>13176</v>
      </c>
      <c r="J132" s="12">
        <v>13164</v>
      </c>
      <c r="K132" s="13">
        <v>140</v>
      </c>
      <c r="L132" s="13">
        <v>15</v>
      </c>
      <c r="M132" s="13">
        <v>0</v>
      </c>
      <c r="N132" s="1"/>
      <c r="O132" s="1"/>
      <c r="P132" s="13">
        <v>126</v>
      </c>
      <c r="Q132" s="1">
        <f>5</f>
        <v>5</v>
      </c>
      <c r="R132" s="1"/>
      <c r="S132" s="1"/>
      <c r="T132" s="1"/>
      <c r="U132" s="1">
        <v>6</v>
      </c>
      <c r="V132" s="40">
        <f t="shared" si="12"/>
        <v>3.7967955045941227E-4</v>
      </c>
      <c r="W132" s="40">
        <f t="shared" si="13"/>
        <v>0</v>
      </c>
      <c r="X132" s="40">
        <f t="shared" si="14"/>
        <v>4.5558086560364467E-4</v>
      </c>
      <c r="Y132" s="2">
        <f t="shared" si="15"/>
        <v>0.74625850340136057</v>
      </c>
      <c r="Z132" s="2">
        <f t="shared" si="16"/>
        <v>1</v>
      </c>
      <c r="AA132" s="2">
        <f t="shared" si="17"/>
        <v>0.74625850340136057</v>
      </c>
      <c r="AB132" s="1"/>
    </row>
    <row r="133" spans="1:28" x14ac:dyDescent="0.25">
      <c r="A133" s="15" t="s">
        <v>680</v>
      </c>
      <c r="B133" s="10" t="s">
        <v>118</v>
      </c>
      <c r="C133" s="10" t="s">
        <v>119</v>
      </c>
      <c r="D133" s="10" t="str">
        <f>VLOOKUP(C133,Setup!A:F,3,)</f>
        <v>Air freshener FLOWER SHOP Antitabacco, 300 ml, N</v>
      </c>
      <c r="E133" s="10" t="str">
        <f>VLOOKUP(C133,Setup!A:F,4,)</f>
        <v>FLOWER SHOP</v>
      </c>
      <c r="F133" s="10" t="str">
        <f>VLOOKUP(C133,Setup!A:F,5,)</f>
        <v>AIR FRESHENERS</v>
      </c>
      <c r="G133" s="10" t="str">
        <f>VLOOKUP(C133,Setup!A:F,6,)</f>
        <v>Air fresheners waterbase</v>
      </c>
      <c r="H133" s="11" t="s">
        <v>920</v>
      </c>
      <c r="I133" s="31">
        <v>13176</v>
      </c>
      <c r="J133" s="12">
        <v>13368</v>
      </c>
      <c r="K133" s="13">
        <v>140</v>
      </c>
      <c r="L133" s="13">
        <v>15</v>
      </c>
      <c r="M133" s="13">
        <v>0</v>
      </c>
      <c r="N133" s="1"/>
      <c r="O133" s="1"/>
      <c r="P133" s="13">
        <v>119</v>
      </c>
      <c r="Q133" s="1">
        <v>9</v>
      </c>
      <c r="R133" s="1">
        <v>7</v>
      </c>
      <c r="S133" s="1"/>
      <c r="T133" s="1"/>
      <c r="U133" s="1">
        <v>6</v>
      </c>
      <c r="V133" s="40">
        <f t="shared" si="12"/>
        <v>6.7279659116393814E-4</v>
      </c>
      <c r="W133" s="40">
        <f t="shared" si="13"/>
        <v>5.2336448598130838E-4</v>
      </c>
      <c r="X133" s="40">
        <f t="shared" si="14"/>
        <v>4.4863167339614175E-4</v>
      </c>
      <c r="Y133" s="2">
        <f t="shared" si="15"/>
        <v>0.80240096038415365</v>
      </c>
      <c r="Z133" s="2">
        <f t="shared" si="16"/>
        <v>0.99947663551401866</v>
      </c>
      <c r="AA133" s="2">
        <f t="shared" si="17"/>
        <v>0.80198101221797125</v>
      </c>
      <c r="AB133" s="1"/>
    </row>
    <row r="134" spans="1:28" x14ac:dyDescent="0.25">
      <c r="A134" s="15" t="s">
        <v>680</v>
      </c>
      <c r="B134" s="10" t="s">
        <v>812</v>
      </c>
      <c r="C134" s="10" t="s">
        <v>813</v>
      </c>
      <c r="D134" s="10" t="str">
        <f>VLOOKUP(C134,Setup!A:F,3,)</f>
        <v>Air freshener FLOWER SHOP Strawberry and Orchid, 300 ml, N</v>
      </c>
      <c r="E134" s="10" t="str">
        <f>VLOOKUP(C134,Setup!A:F,4,)</f>
        <v>FLOWER SHOP</v>
      </c>
      <c r="F134" s="10" t="str">
        <f>VLOOKUP(C134,Setup!A:F,5,)</f>
        <v>AIR FRESHENERS</v>
      </c>
      <c r="G134" s="10" t="str">
        <f>VLOOKUP(C134,Setup!A:F,6,)</f>
        <v>Air fresheners waterbase</v>
      </c>
      <c r="H134" s="11" t="s">
        <v>921</v>
      </c>
      <c r="I134" s="31">
        <v>12444</v>
      </c>
      <c r="J134" s="12">
        <v>12432</v>
      </c>
      <c r="K134" s="13">
        <v>140</v>
      </c>
      <c r="L134" s="13">
        <v>15</v>
      </c>
      <c r="M134" s="13">
        <v>15</v>
      </c>
      <c r="N134" s="1"/>
      <c r="O134" s="1"/>
      <c r="P134" s="13">
        <v>129</v>
      </c>
      <c r="Q134" s="1">
        <v>2</v>
      </c>
      <c r="R134" s="1">
        <v>1</v>
      </c>
      <c r="S134" s="1"/>
      <c r="T134" s="1"/>
      <c r="U134" s="1">
        <v>6</v>
      </c>
      <c r="V134" s="40">
        <f t="shared" si="12"/>
        <v>1.6084928422068523E-4</v>
      </c>
      <c r="W134" s="40">
        <f t="shared" si="13"/>
        <v>8.0431110753639512E-5</v>
      </c>
      <c r="X134" s="40">
        <f t="shared" si="14"/>
        <v>4.8239266763145202E-4</v>
      </c>
      <c r="Y134" s="2">
        <f t="shared" si="15"/>
        <v>0.77894736842105261</v>
      </c>
      <c r="Z134" s="2">
        <f t="shared" si="16"/>
        <v>0.99991956888924638</v>
      </c>
      <c r="AA134" s="2">
        <f t="shared" si="17"/>
        <v>0.77888471681899185</v>
      </c>
      <c r="AB134" s="1"/>
    </row>
    <row r="135" spans="1:28" x14ac:dyDescent="0.25">
      <c r="A135" s="15" t="s">
        <v>680</v>
      </c>
      <c r="B135" s="10" t="s">
        <v>184</v>
      </c>
      <c r="C135" s="10" t="s">
        <v>185</v>
      </c>
      <c r="D135" s="10" t="str">
        <f>VLOOKUP(C135,Setup!A:F,3,)</f>
        <v>Air freshener FLOWER SHOP Delicate freesia and peach, 300 ml</v>
      </c>
      <c r="E135" s="10" t="str">
        <f>VLOOKUP(C135,Setup!A:F,4,)</f>
        <v>FLOWER SHOP</v>
      </c>
      <c r="F135" s="10" t="str">
        <f>VLOOKUP(C135,Setup!A:F,5,)</f>
        <v>AIR FRESHENERS</v>
      </c>
      <c r="G135" s="10" t="str">
        <f>VLOOKUP(C135,Setup!A:F,6,)</f>
        <v>Air fresheners waterbase</v>
      </c>
      <c r="H135" s="11" t="s">
        <v>922</v>
      </c>
      <c r="I135" s="31">
        <v>13176</v>
      </c>
      <c r="J135" s="12">
        <v>13428</v>
      </c>
      <c r="K135" s="13">
        <v>140</v>
      </c>
      <c r="L135" s="13">
        <v>15</v>
      </c>
      <c r="M135" s="13">
        <v>30</v>
      </c>
      <c r="N135" s="1"/>
      <c r="O135" s="1"/>
      <c r="P135" s="13">
        <v>147</v>
      </c>
      <c r="Q135" s="1">
        <v>1</v>
      </c>
      <c r="R135" s="1"/>
      <c r="S135" s="1"/>
      <c r="T135" s="1"/>
      <c r="U135" s="1">
        <v>6</v>
      </c>
      <c r="V135" s="40">
        <f t="shared" si="12"/>
        <v>7.4465708541216773E-5</v>
      </c>
      <c r="W135" s="40">
        <f t="shared" si="13"/>
        <v>0</v>
      </c>
      <c r="X135" s="40">
        <f t="shared" si="14"/>
        <v>4.4662795891022776E-4</v>
      </c>
      <c r="Y135" s="2">
        <f t="shared" si="15"/>
        <v>0.81978021978021975</v>
      </c>
      <c r="Z135" s="2">
        <f t="shared" si="16"/>
        <v>1</v>
      </c>
      <c r="AA135" s="2">
        <f t="shared" si="17"/>
        <v>0.81978021978021975</v>
      </c>
      <c r="AB135" s="1"/>
    </row>
    <row r="136" spans="1:28" x14ac:dyDescent="0.25">
      <c r="A136" s="15" t="s">
        <v>680</v>
      </c>
      <c r="B136" s="10" t="s">
        <v>109</v>
      </c>
      <c r="C136" s="10" t="s">
        <v>110</v>
      </c>
      <c r="D136" s="10" t="str">
        <f>VLOOKUP(C136,Setup!A:F,3,)</f>
        <v>Air freshener FLOWER SHOP Golden lotus and rose, 300 ml</v>
      </c>
      <c r="E136" s="10" t="str">
        <f>VLOOKUP(C136,Setup!A:F,4,)</f>
        <v>FLOWER SHOP</v>
      </c>
      <c r="F136" s="10" t="str">
        <f>VLOOKUP(C136,Setup!A:F,5,)</f>
        <v>AIR FRESHENERS</v>
      </c>
      <c r="G136" s="10" t="str">
        <f>VLOOKUP(C136,Setup!A:F,6,)</f>
        <v>Air fresheners waterbase</v>
      </c>
      <c r="H136" s="11" t="s">
        <v>923</v>
      </c>
      <c r="I136" s="31">
        <v>4392</v>
      </c>
      <c r="J136" s="12">
        <v>4356</v>
      </c>
      <c r="K136" s="13">
        <v>140</v>
      </c>
      <c r="L136" s="13">
        <v>15</v>
      </c>
      <c r="M136" s="13">
        <v>0</v>
      </c>
      <c r="N136" s="1"/>
      <c r="O136" s="1"/>
      <c r="P136" s="13">
        <v>46</v>
      </c>
      <c r="Q136" s="1"/>
      <c r="R136" s="1"/>
      <c r="S136" s="1"/>
      <c r="T136" s="1"/>
      <c r="U136" s="1">
        <v>6</v>
      </c>
      <c r="V136" s="40">
        <f t="shared" si="12"/>
        <v>0</v>
      </c>
      <c r="W136" s="40">
        <f t="shared" si="13"/>
        <v>0</v>
      </c>
      <c r="X136" s="40">
        <f t="shared" si="14"/>
        <v>1.375515818431912E-3</v>
      </c>
      <c r="Y136" s="2">
        <f t="shared" si="15"/>
        <v>0.67639751552795035</v>
      </c>
      <c r="Z136" s="2">
        <f t="shared" si="16"/>
        <v>1</v>
      </c>
      <c r="AA136" s="2">
        <f t="shared" si="17"/>
        <v>0.67639751552795035</v>
      </c>
      <c r="AB136" s="1"/>
    </row>
    <row r="137" spans="1:28" x14ac:dyDescent="0.25">
      <c r="A137" s="15" t="s">
        <v>680</v>
      </c>
      <c r="B137" s="10" t="s">
        <v>745</v>
      </c>
      <c r="C137" s="10" t="s">
        <v>746</v>
      </c>
      <c r="D137" s="10" t="str">
        <f>VLOOKUP(C137,Setup!A:F,3,)</f>
        <v>Air freshener VERTI Air Pure Ocean Breeze, 350 ml</v>
      </c>
      <c r="E137" s="10" t="str">
        <f>VLOOKUP(C137,Setup!A:F,4,)</f>
        <v>VERTI</v>
      </c>
      <c r="F137" s="10" t="str">
        <f>VLOOKUP(C137,Setup!A:F,5,)</f>
        <v>AIR FRESHENERS</v>
      </c>
      <c r="G137" s="10" t="str">
        <f>VLOOKUP(C137,Setup!A:F,6,)</f>
        <v>Air fresheners waterbase</v>
      </c>
      <c r="H137" s="11" t="s">
        <v>924</v>
      </c>
      <c r="I137" s="36">
        <v>10980</v>
      </c>
      <c r="J137" s="12">
        <v>10428</v>
      </c>
      <c r="K137" s="13">
        <v>140</v>
      </c>
      <c r="L137" s="13">
        <v>30</v>
      </c>
      <c r="M137" s="13">
        <v>15</v>
      </c>
      <c r="N137" s="1"/>
      <c r="O137" s="1"/>
      <c r="P137" s="13">
        <v>135</v>
      </c>
      <c r="Q137" s="1"/>
      <c r="R137" s="1"/>
      <c r="S137" s="1"/>
      <c r="T137" s="1"/>
      <c r="U137" s="1">
        <v>6</v>
      </c>
      <c r="V137" s="40">
        <f t="shared" si="12"/>
        <v>0</v>
      </c>
      <c r="W137" s="40">
        <f t="shared" si="13"/>
        <v>0</v>
      </c>
      <c r="X137" s="40">
        <f t="shared" si="14"/>
        <v>5.750431282346176E-4</v>
      </c>
      <c r="Y137" s="2">
        <f t="shared" si="15"/>
        <v>0.62071428571428566</v>
      </c>
      <c r="Z137" s="2">
        <f t="shared" si="16"/>
        <v>1</v>
      </c>
      <c r="AA137" s="2">
        <f t="shared" si="17"/>
        <v>0.62071428571428566</v>
      </c>
      <c r="AB137" s="1"/>
    </row>
    <row r="138" spans="1:28" x14ac:dyDescent="0.25">
      <c r="A138" s="15" t="s">
        <v>680</v>
      </c>
      <c r="B138" s="10" t="s">
        <v>748</v>
      </c>
      <c r="C138" s="10" t="s">
        <v>749</v>
      </c>
      <c r="D138" s="10" t="str">
        <f>VLOOKUP(C138,Setup!A:F,3,)</f>
        <v>Air freshener VERTI Air Pure After the rain, 350 ml</v>
      </c>
      <c r="E138" s="10" t="str">
        <f>VLOOKUP(C138,Setup!A:F,4,)</f>
        <v>VERTI</v>
      </c>
      <c r="F138" s="10" t="str">
        <f>VLOOKUP(C138,Setup!A:F,5,)</f>
        <v>AIR FRESHENERS</v>
      </c>
      <c r="G138" s="10" t="str">
        <f>VLOOKUP(C138,Setup!A:F,6,)</f>
        <v>Air fresheners waterbase</v>
      </c>
      <c r="H138" s="11" t="s">
        <v>925</v>
      </c>
      <c r="I138" s="36">
        <v>10980</v>
      </c>
      <c r="J138" s="12">
        <v>12036</v>
      </c>
      <c r="K138" s="13">
        <v>140</v>
      </c>
      <c r="L138" s="13">
        <v>15</v>
      </c>
      <c r="M138" s="13">
        <v>0</v>
      </c>
      <c r="N138" s="1"/>
      <c r="O138" s="1"/>
      <c r="P138" s="13">
        <v>106</v>
      </c>
      <c r="Q138" s="1">
        <v>3</v>
      </c>
      <c r="R138" s="1">
        <v>2</v>
      </c>
      <c r="S138" s="1"/>
      <c r="T138" s="1"/>
      <c r="U138" s="1">
        <v>6</v>
      </c>
      <c r="V138" s="40">
        <f t="shared" si="12"/>
        <v>2.4919013207077E-4</v>
      </c>
      <c r="W138" s="40">
        <f t="shared" si="13"/>
        <v>1.6614055490945341E-4</v>
      </c>
      <c r="X138" s="40">
        <f t="shared" si="14"/>
        <v>4.9825610363726954E-4</v>
      </c>
      <c r="Y138" s="2">
        <f t="shared" si="15"/>
        <v>0.81105121293800542</v>
      </c>
      <c r="Z138" s="2">
        <f t="shared" si="16"/>
        <v>0.99983385944509051</v>
      </c>
      <c r="AA138" s="2">
        <f t="shared" si="17"/>
        <v>0.81091646443942789</v>
      </c>
      <c r="AB138" s="1"/>
    </row>
    <row r="139" spans="1:28" x14ac:dyDescent="0.25">
      <c r="A139" s="15" t="s">
        <v>680</v>
      </c>
      <c r="B139" s="10" t="s">
        <v>751</v>
      </c>
      <c r="C139" s="10" t="s">
        <v>752</v>
      </c>
      <c r="D139" s="10" t="str">
        <f>VLOOKUP(C139,Setup!A:F,3,)</f>
        <v>Air freshener VERTI Air Pure Freshness of linen, 350 ml</v>
      </c>
      <c r="E139" s="10" t="str">
        <f>VLOOKUP(C139,Setup!A:F,4,)</f>
        <v>VERTI</v>
      </c>
      <c r="F139" s="10" t="str">
        <f>VLOOKUP(C139,Setup!A:F,5,)</f>
        <v>AIR FRESHENERS</v>
      </c>
      <c r="G139" s="10" t="str">
        <f>VLOOKUP(C139,Setup!A:F,6,)</f>
        <v>Air fresheners waterbase</v>
      </c>
      <c r="H139" s="11" t="s">
        <v>926</v>
      </c>
      <c r="I139" s="31">
        <v>10980</v>
      </c>
      <c r="J139" s="12">
        <f>2904+8328</f>
        <v>11232</v>
      </c>
      <c r="K139" s="13">
        <v>140</v>
      </c>
      <c r="L139" s="13">
        <v>15</v>
      </c>
      <c r="M139" s="13">
        <v>0</v>
      </c>
      <c r="N139" s="1"/>
      <c r="O139" s="1"/>
      <c r="P139" s="13">
        <f>37+60</f>
        <v>97</v>
      </c>
      <c r="Q139" s="1"/>
      <c r="R139" s="1"/>
      <c r="S139" s="1"/>
      <c r="T139" s="1"/>
      <c r="U139" s="1">
        <v>6</v>
      </c>
      <c r="V139" s="40">
        <f t="shared" si="12"/>
        <v>0</v>
      </c>
      <c r="W139" s="40">
        <f t="shared" si="13"/>
        <v>0</v>
      </c>
      <c r="X139" s="40">
        <f t="shared" si="14"/>
        <v>5.339028296849973E-4</v>
      </c>
      <c r="Y139" s="2">
        <f t="shared" si="15"/>
        <v>0.82709867452135488</v>
      </c>
      <c r="Z139" s="2">
        <f t="shared" si="16"/>
        <v>1</v>
      </c>
      <c r="AA139" s="2">
        <f t="shared" si="17"/>
        <v>0.82709867452135488</v>
      </c>
      <c r="AB139" s="1"/>
    </row>
    <row r="140" spans="1:28" x14ac:dyDescent="0.25">
      <c r="A140" s="15" t="s">
        <v>680</v>
      </c>
      <c r="B140" s="10" t="s">
        <v>785</v>
      </c>
      <c r="C140" s="10" t="s">
        <v>786</v>
      </c>
      <c r="D140" s="10" t="str">
        <f>VLOOKUP(C140,Setup!A:F,3,)</f>
        <v>Air freshener VERTI Lime, 350 ml</v>
      </c>
      <c r="E140" s="10" t="str">
        <f>VLOOKUP(C140,Setup!A:F,4,)</f>
        <v>VERTI</v>
      </c>
      <c r="F140" s="10" t="str">
        <f>VLOOKUP(C140,Setup!A:F,5,)</f>
        <v>AIR FRESHENERS</v>
      </c>
      <c r="G140" s="10" t="str">
        <f>VLOOKUP(C140,Setup!A:F,6,)</f>
        <v>Air fresheners waterbase</v>
      </c>
      <c r="H140" s="11" t="s">
        <v>927</v>
      </c>
      <c r="I140" s="36">
        <v>4280</v>
      </c>
      <c r="J140" s="12">
        <v>4272</v>
      </c>
      <c r="K140" s="13">
        <v>140</v>
      </c>
      <c r="L140" s="13">
        <v>15</v>
      </c>
      <c r="M140" s="13">
        <v>0</v>
      </c>
      <c r="N140" s="1"/>
      <c r="O140" s="1"/>
      <c r="P140" s="13">
        <v>50</v>
      </c>
      <c r="Q140" s="1"/>
      <c r="R140" s="1"/>
      <c r="S140" s="1"/>
      <c r="T140" s="1"/>
      <c r="U140" s="1">
        <v>6</v>
      </c>
      <c r="V140" s="40">
        <f t="shared" si="12"/>
        <v>0</v>
      </c>
      <c r="W140" s="40">
        <f t="shared" si="13"/>
        <v>0</v>
      </c>
      <c r="X140" s="40">
        <f t="shared" si="14"/>
        <v>1.4025245441795231E-3</v>
      </c>
      <c r="Y140" s="2">
        <f t="shared" si="15"/>
        <v>0.61028571428571432</v>
      </c>
      <c r="Z140" s="2">
        <f t="shared" si="16"/>
        <v>1</v>
      </c>
      <c r="AA140" s="2">
        <f t="shared" si="17"/>
        <v>0.61028571428571432</v>
      </c>
      <c r="AB140" s="1"/>
    </row>
    <row r="141" spans="1:28" x14ac:dyDescent="0.25">
      <c r="A141" s="15" t="s">
        <v>680</v>
      </c>
      <c r="B141" s="10" t="s">
        <v>782</v>
      </c>
      <c r="C141" s="10" t="s">
        <v>783</v>
      </c>
      <c r="D141" s="10" t="str">
        <f>VLOOKUP(C141,Setup!A:F,3,)</f>
        <v>Air freshener VERTI Antitabacco, 350 ml</v>
      </c>
      <c r="E141" s="10" t="str">
        <f>VLOOKUP(C141,Setup!A:F,4,)</f>
        <v>VERTI</v>
      </c>
      <c r="F141" s="10" t="str">
        <f>VLOOKUP(C141,Setup!A:F,5,)</f>
        <v>AIR FRESHENERS</v>
      </c>
      <c r="G141" s="10" t="str">
        <f>VLOOKUP(C141,Setup!A:F,6,)</f>
        <v>Air fresheners waterbase</v>
      </c>
      <c r="H141" s="11" t="s">
        <v>928</v>
      </c>
      <c r="I141" s="36">
        <v>11403</v>
      </c>
      <c r="J141" s="12">
        <v>11400</v>
      </c>
      <c r="K141" s="13">
        <v>140</v>
      </c>
      <c r="L141" s="13">
        <v>15</v>
      </c>
      <c r="M141" s="13">
        <v>0</v>
      </c>
      <c r="N141" s="1"/>
      <c r="O141" s="1"/>
      <c r="P141" s="13">
        <v>98</v>
      </c>
      <c r="Q141" s="1">
        <v>1</v>
      </c>
      <c r="R141" s="1"/>
      <c r="S141" s="1"/>
      <c r="T141" s="1"/>
      <c r="U141" s="1">
        <v>6</v>
      </c>
      <c r="V141" s="40">
        <f t="shared" si="12"/>
        <v>8.7711604245241639E-5</v>
      </c>
      <c r="W141" s="40">
        <f t="shared" si="13"/>
        <v>0</v>
      </c>
      <c r="X141" s="40">
        <f t="shared" si="14"/>
        <v>5.2603892688058915E-4</v>
      </c>
      <c r="Y141" s="2">
        <f t="shared" si="15"/>
        <v>0.83090379008746351</v>
      </c>
      <c r="Z141" s="2">
        <f t="shared" si="16"/>
        <v>1</v>
      </c>
      <c r="AA141" s="2">
        <f t="shared" si="17"/>
        <v>0.83090379008746351</v>
      </c>
      <c r="AB141" s="1"/>
    </row>
    <row r="142" spans="1:28" x14ac:dyDescent="0.25">
      <c r="A142" s="15" t="s">
        <v>680</v>
      </c>
      <c r="B142" s="10" t="s">
        <v>788</v>
      </c>
      <c r="C142" s="10" t="s">
        <v>789</v>
      </c>
      <c r="D142" s="10" t="str">
        <f>VLOOKUP(C142,Setup!A:F,3,)</f>
        <v>Air freshener VERTI Morse minerals Odor blocker, 350 ml</v>
      </c>
      <c r="E142" s="10" t="str">
        <f>VLOOKUP(C142,Setup!A:F,4,)</f>
        <v>VERTI</v>
      </c>
      <c r="F142" s="10" t="str">
        <f>VLOOKUP(C142,Setup!A:F,5,)</f>
        <v>AIR FRESHENERS</v>
      </c>
      <c r="G142" s="10" t="str">
        <f>VLOOKUP(C142,Setup!A:F,6,)</f>
        <v>Air fresheners waterbase</v>
      </c>
      <c r="H142" s="11" t="s">
        <v>929</v>
      </c>
      <c r="I142" s="36">
        <v>5718</v>
      </c>
      <c r="J142" s="12">
        <v>5712</v>
      </c>
      <c r="K142" s="13">
        <v>140</v>
      </c>
      <c r="L142" s="13">
        <v>15</v>
      </c>
      <c r="M142" s="13">
        <v>0</v>
      </c>
      <c r="N142" s="1"/>
      <c r="O142" s="1"/>
      <c r="P142" s="13">
        <v>67</v>
      </c>
      <c r="Q142" s="1"/>
      <c r="R142" s="1">
        <v>3</v>
      </c>
      <c r="S142" s="1"/>
      <c r="T142" s="1"/>
      <c r="U142" s="1">
        <v>6</v>
      </c>
      <c r="V142" s="40">
        <f t="shared" si="12"/>
        <v>0</v>
      </c>
      <c r="W142" s="40">
        <f t="shared" si="13"/>
        <v>5.2493438320209973E-4</v>
      </c>
      <c r="X142" s="40">
        <f t="shared" si="14"/>
        <v>1.0493179433368311E-3</v>
      </c>
      <c r="Y142" s="2">
        <f t="shared" si="15"/>
        <v>0.60895522388059697</v>
      </c>
      <c r="Z142" s="2">
        <f t="shared" si="16"/>
        <v>0.99947506561679789</v>
      </c>
      <c r="AA142" s="2">
        <f t="shared" si="17"/>
        <v>0.60863556234575156</v>
      </c>
      <c r="AB142" s="1"/>
    </row>
    <row r="143" spans="1:28" x14ac:dyDescent="0.25">
      <c r="A143" s="15" t="s">
        <v>680</v>
      </c>
      <c r="B143" s="10" t="s">
        <v>757</v>
      </c>
      <c r="C143" s="10" t="s">
        <v>758</v>
      </c>
      <c r="D143" s="10" t="str">
        <f>VLOOKUP(C143,Setup!A:F,3,)</f>
        <v>Air freshener VERTI Air Pure Blooming mountains, 350 ml</v>
      </c>
      <c r="E143" s="10" t="str">
        <f>VLOOKUP(C143,Setup!A:F,4,)</f>
        <v>VERTI</v>
      </c>
      <c r="F143" s="10" t="str">
        <f>VLOOKUP(C143,Setup!A:F,5,)</f>
        <v>AIR FRESHENERS</v>
      </c>
      <c r="G143" s="10" t="str">
        <f>VLOOKUP(C143,Setup!A:F,6,)</f>
        <v>Air fresheners waterbase</v>
      </c>
      <c r="H143" s="11" t="s">
        <v>930</v>
      </c>
      <c r="I143" s="36">
        <v>10980</v>
      </c>
      <c r="J143" s="12">
        <v>11232</v>
      </c>
      <c r="K143" s="13">
        <v>140</v>
      </c>
      <c r="L143" s="13">
        <v>15</v>
      </c>
      <c r="M143" s="13">
        <v>0</v>
      </c>
      <c r="N143" s="1"/>
      <c r="O143" s="1"/>
      <c r="P143" s="13">
        <v>109</v>
      </c>
      <c r="Q143" s="1">
        <v>10</v>
      </c>
      <c r="R143" s="1">
        <v>1</v>
      </c>
      <c r="S143" s="1"/>
      <c r="T143" s="1"/>
      <c r="U143" s="1">
        <v>6</v>
      </c>
      <c r="V143" s="40">
        <f t="shared" si="12"/>
        <v>8.8952143746664299E-4</v>
      </c>
      <c r="W143" s="40">
        <f t="shared" si="13"/>
        <v>8.9023413157660459E-5</v>
      </c>
      <c r="X143" s="40">
        <f t="shared" si="14"/>
        <v>5.339028296849973E-4</v>
      </c>
      <c r="Y143" s="2">
        <f t="shared" si="15"/>
        <v>0.73604193971166443</v>
      </c>
      <c r="Z143" s="2">
        <f t="shared" si="16"/>
        <v>0.99991097658684236</v>
      </c>
      <c r="AA143" s="2">
        <f t="shared" si="17"/>
        <v>0.73597641474596409</v>
      </c>
      <c r="AB143" s="1"/>
    </row>
    <row r="144" spans="1:28" x14ac:dyDescent="0.25">
      <c r="A144" s="15" t="s">
        <v>680</v>
      </c>
      <c r="B144" s="10" t="s">
        <v>754</v>
      </c>
      <c r="C144" s="10" t="s">
        <v>755</v>
      </c>
      <c r="D144" s="10" t="str">
        <f>VLOOKUP(C144,Setup!A:F,3,)</f>
        <v>Air freshener VERTI Air Pure Anti-tobacco Mojito, 350 ml</v>
      </c>
      <c r="E144" s="10" t="str">
        <f>VLOOKUP(C144,Setup!A:F,4,)</f>
        <v>VERTI</v>
      </c>
      <c r="F144" s="10" t="str">
        <f>VLOOKUP(C144,Setup!A:F,5,)</f>
        <v>AIR FRESHENERS</v>
      </c>
      <c r="G144" s="10" t="str">
        <f>VLOOKUP(C144,Setup!A:F,6,)</f>
        <v>Air fresheners waterbase</v>
      </c>
      <c r="H144" s="11" t="s">
        <v>931</v>
      </c>
      <c r="I144" s="36">
        <v>10980</v>
      </c>
      <c r="J144" s="12">
        <v>11268</v>
      </c>
      <c r="K144" s="13">
        <v>140</v>
      </c>
      <c r="L144" s="13">
        <v>15</v>
      </c>
      <c r="M144" s="13">
        <v>0</v>
      </c>
      <c r="N144" s="1"/>
      <c r="O144" s="1"/>
      <c r="P144" s="13">
        <v>106</v>
      </c>
      <c r="Q144" s="1">
        <v>5</v>
      </c>
      <c r="R144" s="1">
        <v>6</v>
      </c>
      <c r="S144" s="1"/>
      <c r="T144" s="1"/>
      <c r="U144" s="1">
        <v>6</v>
      </c>
      <c r="V144" s="40">
        <f t="shared" si="12"/>
        <v>4.4353765634702386E-4</v>
      </c>
      <c r="W144" s="40">
        <f t="shared" si="13"/>
        <v>5.3219797764768491E-4</v>
      </c>
      <c r="X144" s="40">
        <f t="shared" si="14"/>
        <v>5.3219797764768491E-4</v>
      </c>
      <c r="Y144" s="2">
        <f t="shared" si="15"/>
        <v>0.75929919137466306</v>
      </c>
      <c r="Z144" s="2">
        <f t="shared" si="16"/>
        <v>0.9994678020223523</v>
      </c>
      <c r="AA144" s="2">
        <f t="shared" si="17"/>
        <v>0.75889509388058396</v>
      </c>
      <c r="AB144" s="1"/>
    </row>
    <row r="145" spans="1:28" x14ac:dyDescent="0.25">
      <c r="A145" s="15" t="s">
        <v>680</v>
      </c>
      <c r="B145" s="10" t="s">
        <v>681</v>
      </c>
      <c r="C145" s="10" t="s">
        <v>682</v>
      </c>
      <c r="D145" s="10" t="str">
        <f>VLOOKUP(C145,Setup!A:F,3,)</f>
        <v>Air freshener LIBERHAUS Berry explosion, 300 ml</v>
      </c>
      <c r="E145" s="10" t="str">
        <f>VLOOKUP(C145,Setup!A:F,4,)</f>
        <v>LIBERHAUS</v>
      </c>
      <c r="F145" s="10" t="str">
        <f>VLOOKUP(C145,Setup!A:F,5,)</f>
        <v>AIR FRESHENERS</v>
      </c>
      <c r="G145" s="10" t="str">
        <f>VLOOKUP(C145,Setup!A:F,6,)</f>
        <v>Air fresheners waterbase</v>
      </c>
      <c r="H145" s="11" t="s">
        <v>932</v>
      </c>
      <c r="I145" s="36">
        <v>79056</v>
      </c>
      <c r="J145" s="12">
        <f>80268+99</f>
        <v>80367</v>
      </c>
      <c r="K145" s="13">
        <v>140</v>
      </c>
      <c r="L145" s="13">
        <v>30</v>
      </c>
      <c r="M145" s="13">
        <f>30</f>
        <v>30</v>
      </c>
      <c r="N145" s="1"/>
      <c r="O145" s="1"/>
      <c r="P145" s="13">
        <f>245-10+460</f>
        <v>695</v>
      </c>
      <c r="Q145" s="1">
        <v>17</v>
      </c>
      <c r="R145" s="1">
        <f>8+3+1</f>
        <v>12</v>
      </c>
      <c r="S145" s="1"/>
      <c r="T145" s="1"/>
      <c r="U145" s="1">
        <v>6</v>
      </c>
      <c r="V145" s="40">
        <f t="shared" si="12"/>
        <v>2.1148487261146498E-4</v>
      </c>
      <c r="W145" s="40">
        <f t="shared" si="13"/>
        <v>1.4929272571193969E-4</v>
      </c>
      <c r="X145" s="40">
        <f t="shared" si="14"/>
        <v>7.4651935351423987E-5</v>
      </c>
      <c r="Y145" s="2">
        <f t="shared" si="15"/>
        <v>0.86323308270676691</v>
      </c>
      <c r="Z145" s="2">
        <f t="shared" si="16"/>
        <v>0.99985070727428804</v>
      </c>
      <c r="AA145" s="2">
        <f t="shared" si="17"/>
        <v>0.86310420828692491</v>
      </c>
      <c r="AB145" s="1"/>
    </row>
    <row r="146" spans="1:28" x14ac:dyDescent="0.25">
      <c r="A146" s="15" t="s">
        <v>680</v>
      </c>
      <c r="B146" s="10" t="s">
        <v>779</v>
      </c>
      <c r="C146" s="10" t="s">
        <v>780</v>
      </c>
      <c r="D146" s="10" t="str">
        <f>VLOOKUP(C146,Setup!A:F,3,)</f>
        <v>Air freshener LIBERHAUS After the rain, 300 ml, Sl</v>
      </c>
      <c r="E146" s="10" t="str">
        <f>VLOOKUP(C146,Setup!A:F,4,)</f>
        <v>LIBERHAUS</v>
      </c>
      <c r="F146" s="10" t="str">
        <f>VLOOKUP(C146,Setup!A:F,5,)</f>
        <v>AIR FRESHENERS</v>
      </c>
      <c r="G146" s="10" t="str">
        <f>VLOOKUP(C146,Setup!A:F,6,)</f>
        <v>Air fresheners waterbase</v>
      </c>
      <c r="H146" s="11" t="s">
        <v>933</v>
      </c>
      <c r="I146" s="36">
        <v>70000</v>
      </c>
      <c r="J146" s="12">
        <v>70248</v>
      </c>
      <c r="K146" s="13">
        <v>140</v>
      </c>
      <c r="L146" s="13">
        <v>15</v>
      </c>
      <c r="M146" s="13">
        <f>15+15</f>
        <v>30</v>
      </c>
      <c r="N146" s="1"/>
      <c r="O146" s="1"/>
      <c r="P146" s="13">
        <f>275-10+325-10</f>
        <v>580</v>
      </c>
      <c r="Q146" s="1">
        <f>11+7</f>
        <v>18</v>
      </c>
      <c r="R146" s="1"/>
      <c r="S146" s="1"/>
      <c r="T146" s="1"/>
      <c r="U146" s="1">
        <v>6</v>
      </c>
      <c r="V146" s="40">
        <f t="shared" si="12"/>
        <v>2.561694133720434E-4</v>
      </c>
      <c r="W146" s="40">
        <f t="shared" si="13"/>
        <v>0</v>
      </c>
      <c r="X146" s="40">
        <f t="shared" si="14"/>
        <v>8.5404389785634986E-5</v>
      </c>
      <c r="Y146" s="2">
        <f t="shared" si="15"/>
        <v>0.9123116883116883</v>
      </c>
      <c r="Z146" s="2">
        <f t="shared" si="16"/>
        <v>1</v>
      </c>
      <c r="AA146" s="2">
        <f t="shared" si="17"/>
        <v>0.9123116883116883</v>
      </c>
      <c r="AB146" s="1"/>
    </row>
    <row r="147" spans="1:28" x14ac:dyDescent="0.25">
      <c r="A147" s="15" t="s">
        <v>680</v>
      </c>
      <c r="B147" s="10" t="s">
        <v>702</v>
      </c>
      <c r="C147" s="10" t="s">
        <v>934</v>
      </c>
      <c r="D147" s="10" t="str">
        <f>VLOOKUP(C147,Setup!A:F,3,)</f>
        <v>Air freshener ALPEN Citrus freshness, 300 ml, n</v>
      </c>
      <c r="E147" s="10" t="str">
        <f>VLOOKUP(C147,Setup!A:F,4,)</f>
        <v>ALPEN</v>
      </c>
      <c r="F147" s="10" t="str">
        <f>VLOOKUP(C147,Setup!A:F,5,)</f>
        <v>AIR FRESHENERS</v>
      </c>
      <c r="G147" s="10" t="str">
        <f>VLOOKUP(C147,Setup!A:F,6,)</f>
        <v>Air fresheners waterbase</v>
      </c>
      <c r="H147" s="11" t="s">
        <v>935</v>
      </c>
      <c r="I147" s="36">
        <v>15372</v>
      </c>
      <c r="J147" s="12">
        <v>15384</v>
      </c>
      <c r="K147" s="13">
        <v>140</v>
      </c>
      <c r="L147" s="13">
        <v>15</v>
      </c>
      <c r="M147" s="13">
        <v>30</v>
      </c>
      <c r="N147" s="1"/>
      <c r="O147" s="1"/>
      <c r="P147" s="13">
        <v>160</v>
      </c>
      <c r="Q147" s="1"/>
      <c r="R147" s="1"/>
      <c r="S147" s="1"/>
      <c r="T147" s="1"/>
      <c r="U147" s="1">
        <v>6</v>
      </c>
      <c r="V147" s="40">
        <f t="shared" si="12"/>
        <v>0</v>
      </c>
      <c r="W147" s="40">
        <f t="shared" si="13"/>
        <v>0</v>
      </c>
      <c r="X147" s="40">
        <f t="shared" si="14"/>
        <v>3.8986354775828459E-4</v>
      </c>
      <c r="Y147" s="2">
        <f t="shared" si="15"/>
        <v>0.84527472527472525</v>
      </c>
      <c r="Z147" s="2">
        <f t="shared" si="16"/>
        <v>1</v>
      </c>
      <c r="AA147" s="2">
        <f t="shared" si="17"/>
        <v>0.84527472527472525</v>
      </c>
      <c r="AB147" s="1"/>
    </row>
    <row r="148" spans="1:28" x14ac:dyDescent="0.25">
      <c r="A148" s="15" t="s">
        <v>680</v>
      </c>
      <c r="B148" s="10" t="s">
        <v>936</v>
      </c>
      <c r="C148" s="10" t="s">
        <v>937</v>
      </c>
      <c r="D148" s="10" t="str">
        <f>VLOOKUP(C148,Setup!A:F,3,)</f>
        <v>Air freshener GREEN COLLECTION BY PROVENCE Delicate peony, 300 ml</v>
      </c>
      <c r="E148" s="10" t="str">
        <f>VLOOKUP(C148,Setup!A:F,4,)</f>
        <v>GREEN COLLECTION BY PROVENCE</v>
      </c>
      <c r="F148" s="10" t="str">
        <f>VLOOKUP(C148,Setup!A:F,5,)</f>
        <v>AIR FRESHENERS</v>
      </c>
      <c r="G148" s="10" t="str">
        <f>VLOOKUP(C148,Setup!A:F,6,)</f>
        <v>Air fresheners waterbase</v>
      </c>
      <c r="H148" s="11" t="s">
        <v>938</v>
      </c>
      <c r="I148" s="31">
        <v>4400</v>
      </c>
      <c r="J148" s="12">
        <v>4500</v>
      </c>
      <c r="K148" s="13">
        <v>140</v>
      </c>
      <c r="L148" s="13">
        <v>15</v>
      </c>
      <c r="M148" s="13">
        <v>0</v>
      </c>
      <c r="N148" s="1"/>
      <c r="O148" s="1"/>
      <c r="P148" s="13">
        <v>55</v>
      </c>
      <c r="Q148" s="1">
        <v>6</v>
      </c>
      <c r="R148" s="1"/>
      <c r="S148" s="1"/>
      <c r="T148" s="1"/>
      <c r="U148" s="1">
        <v>6</v>
      </c>
      <c r="V148" s="40">
        <f t="shared" si="12"/>
        <v>1.3315579227696406E-3</v>
      </c>
      <c r="W148" s="40">
        <f t="shared" si="13"/>
        <v>0</v>
      </c>
      <c r="X148" s="40">
        <f t="shared" si="14"/>
        <v>1.3315579227696406E-3</v>
      </c>
      <c r="Y148" s="2">
        <f t="shared" si="15"/>
        <v>0.58441558441558439</v>
      </c>
      <c r="Z148" s="2">
        <f t="shared" si="16"/>
        <v>1</v>
      </c>
      <c r="AA148" s="2">
        <f t="shared" si="17"/>
        <v>0.58441558441558439</v>
      </c>
      <c r="AB148" s="1"/>
    </row>
    <row r="149" spans="1:28" x14ac:dyDescent="0.25">
      <c r="A149" s="15" t="s">
        <v>680</v>
      </c>
      <c r="B149" s="10" t="s">
        <v>939</v>
      </c>
      <c r="C149" s="10" t="s">
        <v>714</v>
      </c>
      <c r="D149" s="10" t="str">
        <f>VLOOKUP(C149,Setup!A:F,3,)</f>
        <v>Air freshener GREEN COLLECTION BY PROVENCE Pomegranate Lemonade, 300 ml</v>
      </c>
      <c r="E149" s="10" t="str">
        <f>VLOOKUP(C149,Setup!A:F,4,)</f>
        <v>GREEN COLLECTION BY PROVENCE</v>
      </c>
      <c r="F149" s="10" t="str">
        <f>VLOOKUP(C149,Setup!A:F,5,)</f>
        <v>AIR FRESHENERS</v>
      </c>
      <c r="G149" s="10" t="str">
        <f>VLOOKUP(C149,Setup!A:F,6,)</f>
        <v>Air fresheners waterbase</v>
      </c>
      <c r="H149" s="11" t="s">
        <v>940</v>
      </c>
      <c r="I149" s="31">
        <v>4016</v>
      </c>
      <c r="J149" s="12">
        <v>4020</v>
      </c>
      <c r="K149" s="13">
        <v>140</v>
      </c>
      <c r="L149" s="13">
        <v>15</v>
      </c>
      <c r="M149" s="13">
        <v>15</v>
      </c>
      <c r="N149" s="1"/>
      <c r="O149" s="1"/>
      <c r="P149" s="13">
        <v>55</v>
      </c>
      <c r="Q149" s="1">
        <v>2</v>
      </c>
      <c r="R149" s="1"/>
      <c r="S149" s="1"/>
      <c r="T149" s="1"/>
      <c r="U149" s="1">
        <v>6</v>
      </c>
      <c r="V149" s="40">
        <f t="shared" si="12"/>
        <v>4.9726504226752855E-4</v>
      </c>
      <c r="W149" s="40">
        <f t="shared" si="13"/>
        <v>0</v>
      </c>
      <c r="X149" s="40">
        <f t="shared" si="14"/>
        <v>1.4903129657228018E-3</v>
      </c>
      <c r="Y149" s="2">
        <f t="shared" si="15"/>
        <v>0.71785714285714286</v>
      </c>
      <c r="Z149" s="2">
        <f t="shared" si="16"/>
        <v>1</v>
      </c>
      <c r="AA149" s="2">
        <f t="shared" si="17"/>
        <v>0.71785714285714286</v>
      </c>
      <c r="AB149" s="1"/>
    </row>
    <row r="150" spans="1:28" x14ac:dyDescent="0.25">
      <c r="A150" s="15" t="s">
        <v>680</v>
      </c>
      <c r="B150" s="10" t="s">
        <v>941</v>
      </c>
      <c r="C150" s="10" t="s">
        <v>942</v>
      </c>
      <c r="D150" s="10" t="str">
        <f>VLOOKUP(C150,Setup!A:F,3,)</f>
        <v>Air freshener GREEN COLLECTION BY PROVENCE After the rain, 300 ml</v>
      </c>
      <c r="E150" s="10" t="str">
        <f>VLOOKUP(C150,Setup!A:F,4,)</f>
        <v>GREEN COLLECTION BY PROVENCE</v>
      </c>
      <c r="F150" s="10" t="str">
        <f>VLOOKUP(C150,Setup!A:F,5,)</f>
        <v>AIR FRESHENERS</v>
      </c>
      <c r="G150" s="10" t="str">
        <f>VLOOKUP(C150,Setup!A:F,6,)</f>
        <v>Air fresheners waterbase</v>
      </c>
      <c r="H150" s="11" t="s">
        <v>943</v>
      </c>
      <c r="I150" s="31">
        <v>2600</v>
      </c>
      <c r="J150" s="12">
        <v>2580</v>
      </c>
      <c r="K150" s="13">
        <v>140</v>
      </c>
      <c r="L150" s="13">
        <v>15</v>
      </c>
      <c r="M150" s="13">
        <v>0</v>
      </c>
      <c r="N150" s="1"/>
      <c r="O150" s="1"/>
      <c r="P150" s="13">
        <v>25</v>
      </c>
      <c r="Q150" s="1">
        <v>3</v>
      </c>
      <c r="R150" s="1"/>
      <c r="S150" s="1"/>
      <c r="T150" s="1"/>
      <c r="U150" s="1">
        <v>6</v>
      </c>
      <c r="V150" s="40">
        <f t="shared" si="12"/>
        <v>1.1614401858304297E-3</v>
      </c>
      <c r="W150" s="40">
        <f t="shared" si="13"/>
        <v>0</v>
      </c>
      <c r="X150" s="40">
        <f t="shared" si="14"/>
        <v>2.3201856148491878E-3</v>
      </c>
      <c r="Y150" s="2">
        <f t="shared" si="15"/>
        <v>0.7371428571428571</v>
      </c>
      <c r="Z150" s="2">
        <f t="shared" si="16"/>
        <v>1</v>
      </c>
      <c r="AA150" s="2">
        <f t="shared" si="17"/>
        <v>0.7371428571428571</v>
      </c>
      <c r="AB150" s="1"/>
    </row>
    <row r="151" spans="1:28" x14ac:dyDescent="0.25">
      <c r="A151" s="15" t="s">
        <v>680</v>
      </c>
      <c r="B151" s="10" t="s">
        <v>944</v>
      </c>
      <c r="C151" s="10" t="s">
        <v>855</v>
      </c>
      <c r="D151" s="10" t="str">
        <f>VLOOKUP(C151,Setup!A:F,3,)</f>
        <v xml:space="preserve">Air freshener GREEN COLLECTION BY PROVENCE After the rain, 300 ml, Gatter group </v>
      </c>
      <c r="E151" s="10" t="str">
        <f>VLOOKUP(C151,Setup!A:F,4,)</f>
        <v>GREEN COLLECTION BY PROVENCE</v>
      </c>
      <c r="F151" s="10" t="str">
        <f>VLOOKUP(C151,Setup!A:F,5,)</f>
        <v>AIR FRESHENERS</v>
      </c>
      <c r="G151" s="10" t="str">
        <f>VLOOKUP(C151,Setup!A:F,6,)</f>
        <v>Air fresheners waterbase</v>
      </c>
      <c r="H151" s="11" t="s">
        <v>943</v>
      </c>
      <c r="I151" s="31">
        <v>8380</v>
      </c>
      <c r="J151" s="12">
        <v>8388</v>
      </c>
      <c r="K151" s="13">
        <v>140</v>
      </c>
      <c r="L151" s="13">
        <v>0</v>
      </c>
      <c r="M151" s="13">
        <v>0</v>
      </c>
      <c r="N151" s="1"/>
      <c r="O151" s="1"/>
      <c r="P151" s="13">
        <v>70</v>
      </c>
      <c r="Q151" s="1"/>
      <c r="R151" s="1"/>
      <c r="S151" s="1"/>
      <c r="T151" s="1"/>
      <c r="U151" s="1"/>
      <c r="V151" s="40">
        <f t="shared" si="12"/>
        <v>0</v>
      </c>
      <c r="W151" s="40">
        <f t="shared" si="13"/>
        <v>0</v>
      </c>
      <c r="X151" s="40">
        <f t="shared" si="14"/>
        <v>0</v>
      </c>
      <c r="Y151" s="2">
        <f t="shared" si="15"/>
        <v>0.85591836734693882</v>
      </c>
      <c r="Z151" s="2">
        <f t="shared" si="16"/>
        <v>1</v>
      </c>
      <c r="AA151" s="2">
        <f t="shared" si="17"/>
        <v>0.85591836734693882</v>
      </c>
      <c r="AB151" s="1"/>
    </row>
    <row r="152" spans="1:28" x14ac:dyDescent="0.25">
      <c r="A152" s="15" t="s">
        <v>680</v>
      </c>
      <c r="B152" s="10" t="s">
        <v>945</v>
      </c>
      <c r="C152" s="10" t="s">
        <v>852</v>
      </c>
      <c r="D152" s="10" t="str">
        <f>VLOOKUP(C152,Setup!A:F,3,)</f>
        <v>Air freshener GREEN COLLECTION BY PROVENCE Azure Alps, 300 ml</v>
      </c>
      <c r="E152" s="10" t="str">
        <f>VLOOKUP(C152,Setup!A:F,4,)</f>
        <v>GREEN COLLECTION BY PROVENCE</v>
      </c>
      <c r="F152" s="10" t="str">
        <f>VLOOKUP(C152,Setup!A:F,5,)</f>
        <v>AIR FRESHENERS</v>
      </c>
      <c r="G152" s="10" t="str">
        <f>VLOOKUP(C152,Setup!A:F,6,)</f>
        <v>Air fresheners waterbase</v>
      </c>
      <c r="H152" s="11" t="s">
        <v>946</v>
      </c>
      <c r="I152" s="31">
        <v>2000</v>
      </c>
      <c r="J152" s="12">
        <v>1992</v>
      </c>
      <c r="K152" s="13">
        <v>140</v>
      </c>
      <c r="L152" s="13">
        <v>15</v>
      </c>
      <c r="M152" s="13">
        <v>0</v>
      </c>
      <c r="N152" s="1"/>
      <c r="O152" s="1"/>
      <c r="P152" s="13">
        <v>17</v>
      </c>
      <c r="Q152" s="1">
        <v>2</v>
      </c>
      <c r="R152" s="1"/>
      <c r="S152" s="1"/>
      <c r="T152" s="1"/>
      <c r="U152" s="1">
        <v>6</v>
      </c>
      <c r="V152" s="40">
        <f t="shared" si="12"/>
        <v>1.0030090270812437E-3</v>
      </c>
      <c r="W152" s="40">
        <f t="shared" si="13"/>
        <v>0</v>
      </c>
      <c r="X152" s="40">
        <f t="shared" si="14"/>
        <v>3.003003003003003E-3</v>
      </c>
      <c r="Y152" s="2">
        <f t="shared" si="15"/>
        <v>0.83697478991596641</v>
      </c>
      <c r="Z152" s="2">
        <f t="shared" si="16"/>
        <v>1</v>
      </c>
      <c r="AA152" s="2">
        <f t="shared" si="17"/>
        <v>0.83697478991596641</v>
      </c>
      <c r="AB152" s="1"/>
    </row>
    <row r="153" spans="1:28" x14ac:dyDescent="0.25">
      <c r="A153" s="15" t="s">
        <v>680</v>
      </c>
      <c r="B153" s="10" t="s">
        <v>715</v>
      </c>
      <c r="C153" s="10" t="s">
        <v>716</v>
      </c>
      <c r="D153" s="10" t="str">
        <f>VLOOKUP(C153,Setup!A:F,3,)</f>
        <v>Air freshener GREEN COLLECTION BY PROVENCE Azure Alps, 300 ml</v>
      </c>
      <c r="E153" s="10" t="str">
        <f>VLOOKUP(C153,Setup!A:F,4,)</f>
        <v>GREEN COLLECTION BY PROVENCE</v>
      </c>
      <c r="F153" s="10" t="str">
        <f>VLOOKUP(C153,Setup!A:F,5,)</f>
        <v>AIR FRESHENERS</v>
      </c>
      <c r="G153" s="10" t="str">
        <f>VLOOKUP(C153,Setup!A:F,6,)</f>
        <v>Air fresheners waterbase</v>
      </c>
      <c r="H153" s="11" t="s">
        <v>946</v>
      </c>
      <c r="I153" s="31">
        <v>8031</v>
      </c>
      <c r="J153" s="12">
        <v>8040</v>
      </c>
      <c r="K153" s="13">
        <v>140</v>
      </c>
      <c r="L153" s="13">
        <v>0</v>
      </c>
      <c r="M153" s="13">
        <v>0</v>
      </c>
      <c r="N153" s="1"/>
      <c r="O153" s="1"/>
      <c r="P153" s="13">
        <v>70</v>
      </c>
      <c r="Q153" s="1"/>
      <c r="R153" s="1"/>
      <c r="S153" s="1"/>
      <c r="T153" s="1"/>
      <c r="U153" s="1"/>
      <c r="V153" s="40">
        <f t="shared" si="12"/>
        <v>0</v>
      </c>
      <c r="W153" s="40">
        <f t="shared" si="13"/>
        <v>0</v>
      </c>
      <c r="X153" s="40">
        <f t="shared" si="14"/>
        <v>0</v>
      </c>
      <c r="Y153" s="2">
        <f t="shared" si="15"/>
        <v>0.82040816326530608</v>
      </c>
      <c r="Z153" s="2">
        <f t="shared" si="16"/>
        <v>1</v>
      </c>
      <c r="AA153" s="2">
        <f t="shared" si="17"/>
        <v>0.82040816326530608</v>
      </c>
      <c r="AB153" s="1"/>
    </row>
    <row r="154" spans="1:28" x14ac:dyDescent="0.25">
      <c r="A154" s="15" t="s">
        <v>680</v>
      </c>
      <c r="B154" s="10" t="s">
        <v>866</v>
      </c>
      <c r="C154" s="10" t="s">
        <v>867</v>
      </c>
      <c r="D154" s="10" t="str">
        <f>VLOOKUP(C154,Setup!A:F,3,)</f>
        <v>Air freshener GREEN COLLECTION BY PROVENCE Antitabacco, 300 ml, N</v>
      </c>
      <c r="E154" s="10" t="str">
        <f>VLOOKUP(C154,Setup!A:F,4,)</f>
        <v>GREEN COLLECTION BY PROVENCE</v>
      </c>
      <c r="F154" s="10" t="str">
        <f>VLOOKUP(C154,Setup!A:F,5,)</f>
        <v>AIR FRESHENERS</v>
      </c>
      <c r="G154" s="10" t="str">
        <f>VLOOKUP(C154,Setup!A:F,6,)</f>
        <v>Air fresheners waterbase</v>
      </c>
      <c r="H154" s="11" t="s">
        <v>947</v>
      </c>
      <c r="I154" s="31">
        <v>2000</v>
      </c>
      <c r="J154" s="12">
        <v>2004</v>
      </c>
      <c r="K154" s="13">
        <v>140</v>
      </c>
      <c r="L154" s="13">
        <v>15</v>
      </c>
      <c r="M154" s="13">
        <v>0</v>
      </c>
      <c r="N154" s="1"/>
      <c r="O154" s="1"/>
      <c r="P154" s="13">
        <v>21</v>
      </c>
      <c r="Q154" s="1"/>
      <c r="R154" s="1"/>
      <c r="S154" s="1"/>
      <c r="T154" s="1"/>
      <c r="U154" s="1">
        <v>6</v>
      </c>
      <c r="V154" s="40">
        <f t="shared" si="12"/>
        <v>0</v>
      </c>
      <c r="W154" s="40">
        <f t="shared" si="13"/>
        <v>0</v>
      </c>
      <c r="X154" s="40">
        <f t="shared" si="14"/>
        <v>2.9850746268656717E-3</v>
      </c>
      <c r="Y154" s="2">
        <f t="shared" si="15"/>
        <v>0.68163265306122445</v>
      </c>
      <c r="Z154" s="2">
        <f t="shared" si="16"/>
        <v>1</v>
      </c>
      <c r="AA154" s="2">
        <f t="shared" si="17"/>
        <v>0.68163265306122445</v>
      </c>
      <c r="AB154" s="1"/>
    </row>
    <row r="155" spans="1:28" x14ac:dyDescent="0.25">
      <c r="A155" s="15" t="s">
        <v>680</v>
      </c>
      <c r="B155" s="10" t="s">
        <v>948</v>
      </c>
      <c r="C155" s="10" t="s">
        <v>864</v>
      </c>
      <c r="D155" s="10" t="str">
        <f>VLOOKUP(C155,Setup!A:F,3,)</f>
        <v>Air freshener GREEN COLLECTION BY PROVENCE Antitabacco, 300 ml, N</v>
      </c>
      <c r="E155" s="10" t="str">
        <f>VLOOKUP(C155,Setup!A:F,4,)</f>
        <v>GREEN COLLECTION BY PROVENCE</v>
      </c>
      <c r="F155" s="10" t="str">
        <f>VLOOKUP(C155,Setup!A:F,5,)</f>
        <v>AIR FRESHENERS</v>
      </c>
      <c r="G155" s="10" t="str">
        <f>VLOOKUP(C155,Setup!A:F,6,)</f>
        <v>Air fresheners waterbase</v>
      </c>
      <c r="H155" s="11" t="s">
        <v>947</v>
      </c>
      <c r="I155" s="31">
        <v>3100</v>
      </c>
      <c r="J155" s="12">
        <v>3072</v>
      </c>
      <c r="K155" s="13">
        <v>140</v>
      </c>
      <c r="L155" s="13">
        <v>0</v>
      </c>
      <c r="M155" s="13">
        <v>0</v>
      </c>
      <c r="N155" s="1"/>
      <c r="O155" s="1"/>
      <c r="P155" s="13">
        <v>30</v>
      </c>
      <c r="Q155" s="1"/>
      <c r="R155" s="1"/>
      <c r="S155" s="1"/>
      <c r="T155" s="1"/>
      <c r="U155" s="1"/>
      <c r="V155" s="40">
        <f t="shared" si="12"/>
        <v>0</v>
      </c>
      <c r="W155" s="40">
        <f t="shared" si="13"/>
        <v>0</v>
      </c>
      <c r="X155" s="40">
        <f t="shared" si="14"/>
        <v>0</v>
      </c>
      <c r="Y155" s="2">
        <f t="shared" si="15"/>
        <v>0.73142857142857143</v>
      </c>
      <c r="Z155" s="2">
        <f t="shared" si="16"/>
        <v>1</v>
      </c>
      <c r="AA155" s="2">
        <f t="shared" si="17"/>
        <v>0.73142857142857143</v>
      </c>
      <c r="AB155" s="1"/>
    </row>
    <row r="156" spans="1:28" x14ac:dyDescent="0.25">
      <c r="A156" s="15" t="s">
        <v>680</v>
      </c>
      <c r="B156" s="10" t="s">
        <v>949</v>
      </c>
      <c r="C156" s="10" t="s">
        <v>735</v>
      </c>
      <c r="D156" s="10" t="str">
        <f>VLOOKUP(C156,Setup!A:F,3,)</f>
        <v xml:space="preserve">Air freshener GREEN COLLECTION BY PROVENCE Berry Delight, 300 ml, N, Gatter group </v>
      </c>
      <c r="E156" s="10" t="str">
        <f>VLOOKUP(C156,Setup!A:F,4,)</f>
        <v>GREEN COLLECTION BY PROVENCE</v>
      </c>
      <c r="F156" s="10" t="str">
        <f>VLOOKUP(C156,Setup!A:F,5,)</f>
        <v>AIR FRESHENERS</v>
      </c>
      <c r="G156" s="10" t="str">
        <f>VLOOKUP(C156,Setup!A:F,6,)</f>
        <v>Air fresheners waterbase</v>
      </c>
      <c r="H156" s="11" t="s">
        <v>950</v>
      </c>
      <c r="I156" s="31">
        <v>5000</v>
      </c>
      <c r="J156" s="12">
        <v>5004</v>
      </c>
      <c r="K156" s="13">
        <v>140</v>
      </c>
      <c r="L156" s="13">
        <v>15</v>
      </c>
      <c r="M156" s="13">
        <v>0</v>
      </c>
      <c r="N156" s="1"/>
      <c r="O156" s="1"/>
      <c r="P156" s="13">
        <v>44</v>
      </c>
      <c r="Q156" s="1">
        <v>8</v>
      </c>
      <c r="R156" s="1">
        <v>1</v>
      </c>
      <c r="S156" s="1"/>
      <c r="T156" s="1"/>
      <c r="U156" s="1">
        <v>6</v>
      </c>
      <c r="V156" s="40">
        <f t="shared" si="12"/>
        <v>1.5961691939345571E-3</v>
      </c>
      <c r="W156" s="40">
        <f t="shared" si="13"/>
        <v>1.998001998001998E-4</v>
      </c>
      <c r="X156" s="40">
        <f t="shared" si="14"/>
        <v>1.1976047904191617E-3</v>
      </c>
      <c r="Y156" s="2">
        <f t="shared" si="15"/>
        <v>0.81233766233766236</v>
      </c>
      <c r="Z156" s="2">
        <f t="shared" si="16"/>
        <v>0.99980019980019985</v>
      </c>
      <c r="AA156" s="2">
        <f t="shared" si="17"/>
        <v>0.8121753571104221</v>
      </c>
      <c r="AB156" s="1"/>
    </row>
    <row r="157" spans="1:28" x14ac:dyDescent="0.25">
      <c r="A157" s="15" t="s">
        <v>680</v>
      </c>
      <c r="B157" s="10" t="s">
        <v>951</v>
      </c>
      <c r="C157" s="10" t="s">
        <v>738</v>
      </c>
      <c r="D157" s="10" t="str">
        <f>VLOOKUP(C157,Setup!A:F,3,)</f>
        <v>Air freshener GREEN COLLECTION BY PROVENCE Berry Delight, 300 ml, N</v>
      </c>
      <c r="E157" s="10" t="str">
        <f>VLOOKUP(C157,Setup!A:F,4,)</f>
        <v>GREEN COLLECTION BY PROVENCE</v>
      </c>
      <c r="F157" s="10" t="str">
        <f>VLOOKUP(C157,Setup!A:F,5,)</f>
        <v>AIR FRESHENERS</v>
      </c>
      <c r="G157" s="10" t="str">
        <f>VLOOKUP(C157,Setup!A:F,6,)</f>
        <v>Air fresheners waterbase</v>
      </c>
      <c r="H157" s="11" t="s">
        <v>950</v>
      </c>
      <c r="I157" s="31">
        <v>2700</v>
      </c>
      <c r="J157" s="12">
        <v>2604</v>
      </c>
      <c r="K157" s="13">
        <v>140</v>
      </c>
      <c r="L157" s="13">
        <v>0</v>
      </c>
      <c r="M157" s="13">
        <v>0</v>
      </c>
      <c r="N157" s="1"/>
      <c r="O157" s="1"/>
      <c r="P157" s="13">
        <v>25</v>
      </c>
      <c r="Q157" s="1"/>
      <c r="R157" s="1"/>
      <c r="S157" s="1"/>
      <c r="T157" s="1"/>
      <c r="U157" s="1"/>
      <c r="V157" s="40">
        <f t="shared" si="12"/>
        <v>0</v>
      </c>
      <c r="W157" s="40">
        <f t="shared" si="13"/>
        <v>0</v>
      </c>
      <c r="X157" s="40">
        <f t="shared" si="14"/>
        <v>0</v>
      </c>
      <c r="Y157" s="2">
        <f t="shared" si="15"/>
        <v>0.74399999999999999</v>
      </c>
      <c r="Z157" s="2">
        <f t="shared" si="16"/>
        <v>1</v>
      </c>
      <c r="AA157" s="2">
        <f t="shared" si="17"/>
        <v>0.74399999999999999</v>
      </c>
      <c r="AB157" s="1"/>
    </row>
    <row r="158" spans="1:28" x14ac:dyDescent="0.25">
      <c r="A158" s="15" t="s">
        <v>680</v>
      </c>
      <c r="B158" s="10" t="s">
        <v>681</v>
      </c>
      <c r="C158" s="10" t="s">
        <v>682</v>
      </c>
      <c r="D158" s="10" t="str">
        <f>VLOOKUP(C158,Setup!A:F,3,)</f>
        <v>Air freshener LIBERHAUS Berry explosion, 300 ml</v>
      </c>
      <c r="E158" s="10" t="str">
        <f>VLOOKUP(C158,Setup!A:F,4,)</f>
        <v>LIBERHAUS</v>
      </c>
      <c r="F158" s="10" t="str">
        <f>VLOOKUP(C158,Setup!A:F,5,)</f>
        <v>AIR FRESHENERS</v>
      </c>
      <c r="G158" s="10" t="str">
        <f>VLOOKUP(C158,Setup!A:F,6,)</f>
        <v>Air fresheners waterbase</v>
      </c>
      <c r="H158" s="11" t="s">
        <v>952</v>
      </c>
      <c r="I158" s="36">
        <v>65062</v>
      </c>
      <c r="J158" s="12">
        <v>65052</v>
      </c>
      <c r="K158" s="13">
        <v>140</v>
      </c>
      <c r="L158" s="13">
        <v>15</v>
      </c>
      <c r="M158" s="13">
        <v>0</v>
      </c>
      <c r="N158" s="1"/>
      <c r="O158" s="1"/>
      <c r="P158" s="13">
        <v>503</v>
      </c>
      <c r="Q158" s="1">
        <v>6</v>
      </c>
      <c r="R158" s="1"/>
      <c r="S158" s="1"/>
      <c r="T158" s="1"/>
      <c r="U158" s="1">
        <v>6</v>
      </c>
      <c r="V158" s="40">
        <f t="shared" si="12"/>
        <v>9.2225398874850134E-5</v>
      </c>
      <c r="W158" s="40">
        <f t="shared" si="13"/>
        <v>0</v>
      </c>
      <c r="X158" s="40">
        <f t="shared" si="14"/>
        <v>9.2225398874850134E-5</v>
      </c>
      <c r="Y158" s="2">
        <f t="shared" si="15"/>
        <v>0.92377165577960807</v>
      </c>
      <c r="Z158" s="2">
        <f t="shared" si="16"/>
        <v>1</v>
      </c>
      <c r="AA158" s="2">
        <f t="shared" si="17"/>
        <v>0.92377165577960807</v>
      </c>
      <c r="AB158" s="1"/>
    </row>
    <row r="159" spans="1:28" x14ac:dyDescent="0.25">
      <c r="A159" s="15" t="s">
        <v>680</v>
      </c>
      <c r="B159" s="10" t="s">
        <v>779</v>
      </c>
      <c r="C159" s="10" t="s">
        <v>780</v>
      </c>
      <c r="D159" s="10" t="str">
        <f>VLOOKUP(C159,Setup!A:F,3,)</f>
        <v>Air freshener LIBERHAUS After the rain, 300 ml, Sl</v>
      </c>
      <c r="E159" s="10" t="str">
        <f>VLOOKUP(C159,Setup!A:F,4,)</f>
        <v>LIBERHAUS</v>
      </c>
      <c r="F159" s="10" t="str">
        <f>VLOOKUP(C159,Setup!A:F,5,)</f>
        <v>AIR FRESHENERS</v>
      </c>
      <c r="G159" s="10" t="str">
        <f>VLOOKUP(C159,Setup!A:F,6,)</f>
        <v>Air fresheners waterbase</v>
      </c>
      <c r="H159" s="11" t="s">
        <v>953</v>
      </c>
      <c r="I159" s="36">
        <v>60000</v>
      </c>
      <c r="J159" s="12">
        <f>31056+30132+100</f>
        <v>61288</v>
      </c>
      <c r="K159" s="13">
        <v>140</v>
      </c>
      <c r="L159" s="13">
        <f>15+180</f>
        <v>195</v>
      </c>
      <c r="M159" s="13">
        <v>15</v>
      </c>
      <c r="N159" s="1"/>
      <c r="O159" s="1"/>
      <c r="P159" s="13">
        <f>60-10+201+455</f>
        <v>706</v>
      </c>
      <c r="Q159" s="1">
        <f>12+6</f>
        <v>18</v>
      </c>
      <c r="R159" s="1">
        <f>2+264</f>
        <v>266</v>
      </c>
      <c r="S159" s="1"/>
      <c r="T159" s="1"/>
      <c r="U159" s="1">
        <v>6</v>
      </c>
      <c r="V159" s="40">
        <f t="shared" si="12"/>
        <v>2.9360910840700745E-4</v>
      </c>
      <c r="W159" s="40">
        <f t="shared" si="13"/>
        <v>4.3214088442668228E-3</v>
      </c>
      <c r="X159" s="40">
        <f t="shared" si="14"/>
        <v>9.7888863510294649E-5</v>
      </c>
      <c r="Y159" s="2">
        <f t="shared" si="15"/>
        <v>0.63353318172420925</v>
      </c>
      <c r="Z159" s="2">
        <f t="shared" si="16"/>
        <v>0.99567859115573321</v>
      </c>
      <c r="AA159" s="2">
        <f t="shared" si="17"/>
        <v>0.63079542582956982</v>
      </c>
      <c r="AB159" s="1"/>
    </row>
    <row r="160" spans="1:28" x14ac:dyDescent="0.25">
      <c r="A160" s="15" t="s">
        <v>680</v>
      </c>
      <c r="B160" s="10" t="s">
        <v>954</v>
      </c>
      <c r="C160" s="10" t="s">
        <v>955</v>
      </c>
      <c r="D160" s="10" t="str">
        <f>VLOOKUP(C160,Setup!A:F,3,)</f>
        <v>Dry shampoo ICE by Natura Siberica, 200 ml</v>
      </c>
      <c r="E160" s="10" t="str">
        <f>VLOOKUP(C160,Setup!A:F,4,)</f>
        <v>NATURA SIBERICA</v>
      </c>
      <c r="F160" s="10" t="str">
        <f>VLOOKUP(C160,Setup!A:F,5,)</f>
        <v>HAIR CARE</v>
      </c>
      <c r="G160" s="10" t="str">
        <f>VLOOKUP(C160,Setup!A:F,6,)</f>
        <v>Dry shampoo</v>
      </c>
      <c r="H160" s="11" t="s">
        <v>956</v>
      </c>
      <c r="I160" s="36">
        <v>31820</v>
      </c>
      <c r="J160" s="12">
        <f>13804+954+16902</f>
        <v>31660</v>
      </c>
      <c r="K160" s="13">
        <v>80</v>
      </c>
      <c r="L160" s="13">
        <v>180</v>
      </c>
      <c r="M160" s="13">
        <f>15</f>
        <v>15</v>
      </c>
      <c r="N160" s="1">
        <v>100</v>
      </c>
      <c r="O160" s="1" t="s">
        <v>4844</v>
      </c>
      <c r="P160" s="13">
        <f>534-10+315</f>
        <v>839</v>
      </c>
      <c r="Q160" s="1">
        <f>12+12</f>
        <v>24</v>
      </c>
      <c r="R160" s="1">
        <f>43+10+77</f>
        <v>130</v>
      </c>
      <c r="S160" s="1"/>
      <c r="T160" s="1"/>
      <c r="U160" s="1">
        <v>6</v>
      </c>
      <c r="V160" s="40">
        <f t="shared" si="12"/>
        <v>7.5748011614695115E-4</v>
      </c>
      <c r="W160" s="40">
        <f t="shared" si="13"/>
        <v>4.0893362692670651E-3</v>
      </c>
      <c r="X160" s="40">
        <f t="shared" si="14"/>
        <v>1.8947767321417293E-4</v>
      </c>
      <c r="Y160" s="2">
        <f t="shared" si="15"/>
        <v>0.54661602209944748</v>
      </c>
      <c r="Z160" s="2">
        <f t="shared" si="16"/>
        <v>0.99591066373073289</v>
      </c>
      <c r="AA160" s="2">
        <f t="shared" si="17"/>
        <v>0.54438072537491367</v>
      </c>
      <c r="AB160" s="1"/>
    </row>
    <row r="161" spans="9:24" x14ac:dyDescent="0.25">
      <c r="I161" s="22">
        <f t="shared" ref="I161:J161" si="18">SUM(I2:I160)</f>
        <v>2231127</v>
      </c>
      <c r="J161" s="22">
        <f t="shared" si="18"/>
        <v>2246597</v>
      </c>
      <c r="K161" s="22">
        <f t="shared" ref="K161" si="19">SUM(K2:K160)</f>
        <v>22100</v>
      </c>
      <c r="L161" s="22">
        <f t="shared" ref="L161" si="20">SUM(L2:L160)</f>
        <v>3105</v>
      </c>
      <c r="M161" s="22">
        <f t="shared" ref="M161" si="21">SUM(M2:M160)</f>
        <v>872</v>
      </c>
      <c r="N161" s="22">
        <f t="shared" ref="N161:T161" si="22">SUM(N2:N160)</f>
        <v>385</v>
      </c>
      <c r="P161" s="22">
        <f t="shared" si="22"/>
        <v>22969</v>
      </c>
      <c r="Q161" s="22">
        <f t="shared" si="22"/>
        <v>468</v>
      </c>
      <c r="R161" s="22">
        <f t="shared" si="22"/>
        <v>1032</v>
      </c>
      <c r="S161" s="22">
        <f t="shared" si="22"/>
        <v>0</v>
      </c>
      <c r="T161" s="22">
        <f t="shared" si="22"/>
        <v>0</v>
      </c>
      <c r="U161" s="22">
        <f>SUM(U2:U160)</f>
        <v>858</v>
      </c>
      <c r="V161" s="41">
        <f t="shared" si="12"/>
        <v>2.0827167883439063E-4</v>
      </c>
      <c r="W161" s="41">
        <f t="shared" si="13"/>
        <v>4.5915050926999073E-4</v>
      </c>
      <c r="X161" s="41">
        <f t="shared" si="14"/>
        <v>3.817651521387525E-4</v>
      </c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3164-8E0F-4720-BA8C-8EF6D95277A8}">
  <sheetPr filterMode="1"/>
  <dimension ref="A1:F1480"/>
  <sheetViews>
    <sheetView topLeftCell="A1060" zoomScale="54" zoomScaleNormal="54" workbookViewId="0">
      <selection activeCell="C1092" sqref="C1092"/>
    </sheetView>
  </sheetViews>
  <sheetFormatPr defaultColWidth="24.7109375" defaultRowHeight="15" x14ac:dyDescent="0.25"/>
  <cols>
    <col min="1" max="1" width="10.28515625" bestFit="1" customWidth="1"/>
    <col min="2" max="2" width="66.140625" customWidth="1"/>
    <col min="3" max="3" width="68.28515625" customWidth="1"/>
    <col min="4" max="4" width="52.5703125" customWidth="1"/>
    <col min="6" max="6" width="24" bestFit="1" customWidth="1"/>
  </cols>
  <sheetData>
    <row r="1" spans="1:6" ht="38.25" x14ac:dyDescent="0.25">
      <c r="A1" s="6" t="s">
        <v>957</v>
      </c>
      <c r="B1" s="6" t="s">
        <v>958</v>
      </c>
      <c r="C1" s="6" t="s">
        <v>959</v>
      </c>
      <c r="D1" s="6" t="s">
        <v>960</v>
      </c>
      <c r="E1" s="6" t="s">
        <v>961</v>
      </c>
      <c r="F1" s="6" t="s">
        <v>962</v>
      </c>
    </row>
    <row r="2" spans="1:6" hidden="1" x14ac:dyDescent="0.25">
      <c r="A2" s="7" t="s">
        <v>963</v>
      </c>
      <c r="B2" s="7" t="s">
        <v>964</v>
      </c>
      <c r="C2" s="7"/>
      <c r="D2" s="7"/>
      <c r="E2" s="7"/>
      <c r="F2" s="7"/>
    </row>
    <row r="3" spans="1:6" hidden="1" x14ac:dyDescent="0.25">
      <c r="A3" s="7" t="s">
        <v>965</v>
      </c>
      <c r="B3" s="7" t="s">
        <v>966</v>
      </c>
      <c r="C3" s="7"/>
      <c r="D3" s="7"/>
      <c r="E3" s="7"/>
      <c r="F3" s="7"/>
    </row>
    <row r="4" spans="1:6" hidden="1" x14ac:dyDescent="0.25">
      <c r="A4" s="7" t="s">
        <v>967</v>
      </c>
      <c r="B4" s="7" t="s">
        <v>968</v>
      </c>
      <c r="C4" s="7"/>
      <c r="D4" s="7"/>
      <c r="E4" s="7"/>
      <c r="F4" s="7"/>
    </row>
    <row r="5" spans="1:6" hidden="1" x14ac:dyDescent="0.25">
      <c r="A5" s="7" t="s">
        <v>969</v>
      </c>
      <c r="B5" s="7" t="s">
        <v>970</v>
      </c>
      <c r="C5" s="7"/>
      <c r="D5" s="7"/>
      <c r="E5" s="7"/>
      <c r="F5" s="7"/>
    </row>
    <row r="6" spans="1:6" hidden="1" x14ac:dyDescent="0.25">
      <c r="A6" s="7" t="s">
        <v>971</v>
      </c>
      <c r="B6" s="7" t="s">
        <v>972</v>
      </c>
      <c r="C6" s="7"/>
      <c r="D6" s="7"/>
      <c r="E6" s="7"/>
      <c r="F6" s="7"/>
    </row>
    <row r="7" spans="1:6" hidden="1" x14ac:dyDescent="0.25">
      <c r="A7" s="7" t="s">
        <v>973</v>
      </c>
      <c r="B7" s="7" t="s">
        <v>974</v>
      </c>
      <c r="C7" s="7"/>
      <c r="D7" s="7"/>
      <c r="E7" s="7"/>
      <c r="F7" s="7"/>
    </row>
    <row r="8" spans="1:6" hidden="1" x14ac:dyDescent="0.25">
      <c r="A8" s="7" t="s">
        <v>975</v>
      </c>
      <c r="B8" s="7" t="s">
        <v>976</v>
      </c>
      <c r="C8" s="7"/>
      <c r="D8" s="7"/>
      <c r="E8" s="7"/>
      <c r="F8" s="7"/>
    </row>
    <row r="9" spans="1:6" hidden="1" x14ac:dyDescent="0.25">
      <c r="A9" s="7" t="s">
        <v>977</v>
      </c>
      <c r="B9" s="7" t="s">
        <v>978</v>
      </c>
      <c r="C9" s="7"/>
      <c r="D9" s="7"/>
      <c r="E9" s="7"/>
      <c r="F9" s="7"/>
    </row>
    <row r="10" spans="1:6" hidden="1" x14ac:dyDescent="0.25">
      <c r="A10" s="7" t="s">
        <v>979</v>
      </c>
      <c r="B10" s="7" t="s">
        <v>980</v>
      </c>
      <c r="C10" s="7"/>
      <c r="D10" s="7"/>
      <c r="E10" s="7"/>
      <c r="F10" s="7"/>
    </row>
    <row r="11" spans="1:6" hidden="1" x14ac:dyDescent="0.25">
      <c r="A11" s="7" t="s">
        <v>981</v>
      </c>
      <c r="B11" s="7" t="s">
        <v>982</v>
      </c>
      <c r="C11" s="7"/>
      <c r="D11" s="7"/>
      <c r="E11" s="7"/>
      <c r="F11" s="7"/>
    </row>
    <row r="12" spans="1:6" hidden="1" x14ac:dyDescent="0.25">
      <c r="A12" s="7" t="s">
        <v>983</v>
      </c>
      <c r="B12" s="7" t="s">
        <v>984</v>
      </c>
      <c r="C12" s="7"/>
      <c r="D12" s="7"/>
      <c r="E12" s="7"/>
      <c r="F12" s="7"/>
    </row>
    <row r="13" spans="1:6" hidden="1" x14ac:dyDescent="0.25">
      <c r="A13" s="7" t="s">
        <v>985</v>
      </c>
      <c r="B13" s="7" t="s">
        <v>986</v>
      </c>
      <c r="C13" s="7"/>
      <c r="D13" s="7"/>
      <c r="E13" s="7"/>
      <c r="F13" s="7"/>
    </row>
    <row r="14" spans="1:6" hidden="1" x14ac:dyDescent="0.25">
      <c r="A14" s="7" t="s">
        <v>987</v>
      </c>
      <c r="B14" s="7" t="s">
        <v>988</v>
      </c>
      <c r="C14" s="7"/>
      <c r="D14" s="7"/>
      <c r="E14" s="7"/>
      <c r="F14" s="7"/>
    </row>
    <row r="15" spans="1:6" hidden="1" x14ac:dyDescent="0.25">
      <c r="A15" s="7" t="s">
        <v>989</v>
      </c>
      <c r="B15" s="7" t="s">
        <v>990</v>
      </c>
      <c r="C15" s="7"/>
      <c r="D15" s="7"/>
      <c r="E15" s="7"/>
      <c r="F15" s="7"/>
    </row>
    <row r="16" spans="1:6" hidden="1" x14ac:dyDescent="0.25">
      <c r="A16" s="7" t="s">
        <v>991</v>
      </c>
      <c r="B16" s="7" t="s">
        <v>992</v>
      </c>
      <c r="C16" s="7"/>
      <c r="D16" s="7"/>
      <c r="E16" s="7"/>
      <c r="F16" s="7"/>
    </row>
    <row r="17" spans="1:6" hidden="1" x14ac:dyDescent="0.25">
      <c r="A17" s="7" t="s">
        <v>993</v>
      </c>
      <c r="B17" s="7" t="s">
        <v>994</v>
      </c>
      <c r="C17" s="7"/>
      <c r="D17" s="7"/>
      <c r="E17" s="7"/>
      <c r="F17" s="7"/>
    </row>
    <row r="18" spans="1:6" hidden="1" x14ac:dyDescent="0.25">
      <c r="A18" s="7" t="s">
        <v>995</v>
      </c>
      <c r="B18" s="7" t="s">
        <v>996</v>
      </c>
      <c r="C18" s="7"/>
      <c r="D18" s="7"/>
      <c r="E18" s="7"/>
      <c r="F18" s="7"/>
    </row>
    <row r="19" spans="1:6" hidden="1" x14ac:dyDescent="0.25">
      <c r="A19" s="7" t="s">
        <v>997</v>
      </c>
      <c r="B19" s="7" t="s">
        <v>998</v>
      </c>
      <c r="C19" s="7"/>
      <c r="D19" s="7"/>
      <c r="E19" s="7"/>
      <c r="F19" s="7"/>
    </row>
    <row r="20" spans="1:6" hidden="1" x14ac:dyDescent="0.25">
      <c r="A20" s="7" t="s">
        <v>999</v>
      </c>
      <c r="B20" s="7" t="s">
        <v>1000</v>
      </c>
      <c r="C20" s="7"/>
      <c r="D20" s="7"/>
      <c r="E20" s="7"/>
      <c r="F20" s="7"/>
    </row>
    <row r="21" spans="1:6" hidden="1" x14ac:dyDescent="0.25">
      <c r="A21" s="7" t="s">
        <v>1001</v>
      </c>
      <c r="B21" s="7" t="s">
        <v>1002</v>
      </c>
      <c r="C21" s="7"/>
      <c r="D21" s="7"/>
      <c r="E21" s="7"/>
      <c r="F21" s="7"/>
    </row>
    <row r="22" spans="1:6" hidden="1" x14ac:dyDescent="0.25">
      <c r="A22" s="7" t="s">
        <v>1003</v>
      </c>
      <c r="B22" s="7" t="s">
        <v>1004</v>
      </c>
      <c r="C22" s="7"/>
      <c r="D22" s="7"/>
      <c r="E22" s="7"/>
      <c r="F22" s="7"/>
    </row>
    <row r="23" spans="1:6" hidden="1" x14ac:dyDescent="0.25">
      <c r="A23" s="7" t="s">
        <v>1005</v>
      </c>
      <c r="B23" s="7" t="s">
        <v>1006</v>
      </c>
      <c r="C23" s="7"/>
      <c r="D23" s="7"/>
      <c r="E23" s="7"/>
      <c r="F23" s="7"/>
    </row>
    <row r="24" spans="1:6" hidden="1" x14ac:dyDescent="0.25">
      <c r="A24" s="7" t="s">
        <v>1007</v>
      </c>
      <c r="B24" s="7" t="s">
        <v>1008</v>
      </c>
      <c r="C24" s="7"/>
      <c r="D24" s="7"/>
      <c r="E24" s="7"/>
      <c r="F24" s="7"/>
    </row>
    <row r="25" spans="1:6" hidden="1" x14ac:dyDescent="0.25">
      <c r="A25" s="7" t="s">
        <v>1009</v>
      </c>
      <c r="B25" s="7" t="s">
        <v>1008</v>
      </c>
      <c r="C25" s="7"/>
      <c r="D25" s="7"/>
      <c r="E25" s="7"/>
      <c r="F25" s="7"/>
    </row>
    <row r="26" spans="1:6" hidden="1" x14ac:dyDescent="0.25">
      <c r="A26" s="7" t="s">
        <v>1010</v>
      </c>
      <c r="B26" s="7" t="s">
        <v>1011</v>
      </c>
      <c r="C26" s="7"/>
      <c r="D26" s="7"/>
      <c r="E26" s="7"/>
      <c r="F26" s="7"/>
    </row>
    <row r="27" spans="1:6" hidden="1" x14ac:dyDescent="0.25">
      <c r="A27" s="7" t="s">
        <v>1012</v>
      </c>
      <c r="B27" s="7" t="s">
        <v>1013</v>
      </c>
      <c r="C27" s="7"/>
      <c r="D27" s="7"/>
      <c r="E27" s="7"/>
      <c r="F27" s="7"/>
    </row>
    <row r="28" spans="1:6" hidden="1" x14ac:dyDescent="0.25">
      <c r="A28" s="7" t="s">
        <v>1014</v>
      </c>
      <c r="B28" s="7" t="s">
        <v>1015</v>
      </c>
      <c r="C28" s="7"/>
      <c r="D28" s="7"/>
      <c r="E28" s="7"/>
      <c r="F28" s="7"/>
    </row>
    <row r="29" spans="1:6" hidden="1" x14ac:dyDescent="0.25">
      <c r="A29" s="7" t="s">
        <v>1016</v>
      </c>
      <c r="B29" s="7" t="s">
        <v>1017</v>
      </c>
      <c r="C29" s="7"/>
      <c r="D29" s="7"/>
      <c r="E29" s="7"/>
      <c r="F29" s="7"/>
    </row>
    <row r="30" spans="1:6" hidden="1" x14ac:dyDescent="0.25">
      <c r="A30" s="7" t="s">
        <v>1018</v>
      </c>
      <c r="B30" s="7" t="s">
        <v>1019</v>
      </c>
      <c r="C30" s="7"/>
      <c r="D30" s="7"/>
      <c r="E30" s="7"/>
      <c r="F30" s="7"/>
    </row>
    <row r="31" spans="1:6" hidden="1" x14ac:dyDescent="0.25">
      <c r="A31" s="7" t="s">
        <v>1020</v>
      </c>
      <c r="B31" s="7" t="s">
        <v>1021</v>
      </c>
      <c r="C31" s="7"/>
      <c r="D31" s="7"/>
      <c r="E31" s="7"/>
      <c r="F31" s="7"/>
    </row>
    <row r="32" spans="1:6" hidden="1" x14ac:dyDescent="0.25">
      <c r="A32" s="7" t="s">
        <v>1022</v>
      </c>
      <c r="B32" s="7" t="s">
        <v>1023</v>
      </c>
      <c r="C32" s="7"/>
      <c r="D32" s="7"/>
      <c r="E32" s="7"/>
      <c r="F32" s="7"/>
    </row>
    <row r="33" spans="1:6" hidden="1" x14ac:dyDescent="0.25">
      <c r="A33" s="7" t="s">
        <v>1024</v>
      </c>
      <c r="B33" s="7" t="s">
        <v>1025</v>
      </c>
      <c r="C33" s="7"/>
      <c r="D33" s="7"/>
      <c r="E33" s="7"/>
      <c r="F33" s="7"/>
    </row>
    <row r="34" spans="1:6" hidden="1" x14ac:dyDescent="0.25">
      <c r="A34" s="7" t="s">
        <v>1026</v>
      </c>
      <c r="B34" s="7" t="s">
        <v>1027</v>
      </c>
      <c r="C34" s="7"/>
      <c r="D34" s="7"/>
      <c r="E34" s="7"/>
      <c r="F34" s="7"/>
    </row>
    <row r="35" spans="1:6" hidden="1" x14ac:dyDescent="0.25">
      <c r="A35" s="7" t="s">
        <v>1028</v>
      </c>
      <c r="B35" s="7" t="s">
        <v>1029</v>
      </c>
      <c r="C35" s="7"/>
      <c r="D35" s="7"/>
      <c r="E35" s="7"/>
      <c r="F35" s="7"/>
    </row>
    <row r="36" spans="1:6" hidden="1" x14ac:dyDescent="0.25">
      <c r="A36" s="7" t="s">
        <v>1030</v>
      </c>
      <c r="B36" s="7" t="s">
        <v>1031</v>
      </c>
      <c r="C36" s="7"/>
      <c r="D36" s="7"/>
      <c r="E36" s="7"/>
      <c r="F36" s="7"/>
    </row>
    <row r="37" spans="1:6" hidden="1" x14ac:dyDescent="0.25">
      <c r="A37" s="7" t="s">
        <v>1032</v>
      </c>
      <c r="B37" s="7" t="s">
        <v>1033</v>
      </c>
      <c r="C37" s="7"/>
      <c r="D37" s="7"/>
      <c r="E37" s="7"/>
      <c r="F37" s="7"/>
    </row>
    <row r="38" spans="1:6" hidden="1" x14ac:dyDescent="0.25">
      <c r="A38" s="7" t="s">
        <v>1034</v>
      </c>
      <c r="B38" s="7" t="s">
        <v>1035</v>
      </c>
      <c r="C38" s="7"/>
      <c r="D38" s="7"/>
      <c r="E38" s="7"/>
      <c r="F38" s="7"/>
    </row>
    <row r="39" spans="1:6" hidden="1" x14ac:dyDescent="0.25">
      <c r="A39" s="7" t="s">
        <v>1036</v>
      </c>
      <c r="B39" s="7" t="s">
        <v>1037</v>
      </c>
      <c r="C39" s="7"/>
      <c r="D39" s="7"/>
      <c r="E39" s="7"/>
      <c r="F39" s="7"/>
    </row>
    <row r="40" spans="1:6" hidden="1" x14ac:dyDescent="0.25">
      <c r="A40" s="7" t="s">
        <v>1038</v>
      </c>
      <c r="B40" s="7" t="s">
        <v>1039</v>
      </c>
      <c r="C40" s="7"/>
      <c r="D40" s="7"/>
      <c r="E40" s="7"/>
      <c r="F40" s="7"/>
    </row>
    <row r="41" spans="1:6" hidden="1" x14ac:dyDescent="0.25">
      <c r="A41" s="7" t="s">
        <v>1040</v>
      </c>
      <c r="B41" s="7" t="s">
        <v>1041</v>
      </c>
      <c r="C41" s="7"/>
      <c r="D41" s="7"/>
      <c r="E41" s="7"/>
      <c r="F41" s="7"/>
    </row>
    <row r="42" spans="1:6" hidden="1" x14ac:dyDescent="0.25">
      <c r="A42" s="7" t="s">
        <v>1042</v>
      </c>
      <c r="B42" s="7" t="s">
        <v>1043</v>
      </c>
      <c r="C42" s="7"/>
      <c r="D42" s="7"/>
      <c r="E42" s="7"/>
      <c r="F42" s="7"/>
    </row>
    <row r="43" spans="1:6" hidden="1" x14ac:dyDescent="0.25">
      <c r="A43" s="7" t="s">
        <v>1044</v>
      </c>
      <c r="B43" s="7" t="s">
        <v>1045</v>
      </c>
      <c r="C43" s="7"/>
      <c r="D43" s="7"/>
      <c r="E43" s="7"/>
      <c r="F43" s="7"/>
    </row>
    <row r="44" spans="1:6" hidden="1" x14ac:dyDescent="0.25">
      <c r="A44" s="7" t="s">
        <v>1046</v>
      </c>
      <c r="B44" s="7" t="s">
        <v>1047</v>
      </c>
      <c r="C44" s="7"/>
      <c r="D44" s="7"/>
      <c r="E44" s="7"/>
      <c r="F44" s="7"/>
    </row>
    <row r="45" spans="1:6" hidden="1" x14ac:dyDescent="0.25">
      <c r="A45" s="7" t="s">
        <v>1048</v>
      </c>
      <c r="B45" s="7" t="s">
        <v>1049</v>
      </c>
      <c r="C45" s="7"/>
      <c r="D45" s="7"/>
      <c r="E45" s="7"/>
      <c r="F45" s="7"/>
    </row>
    <row r="46" spans="1:6" hidden="1" x14ac:dyDescent="0.25">
      <c r="A46" s="7" t="s">
        <v>1050</v>
      </c>
      <c r="B46" s="7" t="s">
        <v>1051</v>
      </c>
      <c r="C46" s="7"/>
      <c r="D46" s="7"/>
      <c r="E46" s="7"/>
      <c r="F46" s="7"/>
    </row>
    <row r="47" spans="1:6" hidden="1" x14ac:dyDescent="0.25">
      <c r="A47" s="7" t="s">
        <v>1052</v>
      </c>
      <c r="B47" s="7" t="s">
        <v>1053</v>
      </c>
      <c r="C47" s="7"/>
      <c r="D47" s="7"/>
      <c r="E47" s="7"/>
      <c r="F47" s="7"/>
    </row>
    <row r="48" spans="1:6" hidden="1" x14ac:dyDescent="0.25">
      <c r="A48" s="7" t="s">
        <v>1054</v>
      </c>
      <c r="B48" s="7" t="s">
        <v>1055</v>
      </c>
      <c r="C48" s="7"/>
      <c r="D48" s="7"/>
      <c r="E48" s="7"/>
      <c r="F48" s="7"/>
    </row>
    <row r="49" spans="1:6" hidden="1" x14ac:dyDescent="0.25">
      <c r="A49" s="7" t="s">
        <v>1056</v>
      </c>
      <c r="B49" s="7" t="s">
        <v>1057</v>
      </c>
      <c r="C49" s="7"/>
      <c r="D49" s="7"/>
      <c r="E49" s="7"/>
      <c r="F49" s="7"/>
    </row>
    <row r="50" spans="1:6" hidden="1" x14ac:dyDescent="0.25">
      <c r="A50" s="7" t="s">
        <v>1058</v>
      </c>
      <c r="B50" s="7" t="s">
        <v>1059</v>
      </c>
      <c r="C50" s="7"/>
      <c r="D50" s="7"/>
      <c r="E50" s="7"/>
      <c r="F50" s="7"/>
    </row>
    <row r="51" spans="1:6" hidden="1" x14ac:dyDescent="0.25">
      <c r="A51" s="7" t="s">
        <v>1060</v>
      </c>
      <c r="B51" s="7" t="s">
        <v>1061</v>
      </c>
      <c r="C51" s="7"/>
      <c r="D51" s="7"/>
      <c r="E51" s="7"/>
      <c r="F51" s="7"/>
    </row>
    <row r="52" spans="1:6" hidden="1" x14ac:dyDescent="0.25">
      <c r="A52" s="7" t="s">
        <v>1062</v>
      </c>
      <c r="B52" s="7" t="s">
        <v>1063</v>
      </c>
      <c r="C52" s="7"/>
      <c r="D52" s="7"/>
      <c r="E52" s="7"/>
      <c r="F52" s="7"/>
    </row>
    <row r="53" spans="1:6" hidden="1" x14ac:dyDescent="0.25">
      <c r="A53" s="7" t="s">
        <v>1064</v>
      </c>
      <c r="B53" s="7" t="s">
        <v>1065</v>
      </c>
      <c r="C53" s="7"/>
      <c r="D53" s="7"/>
      <c r="E53" s="7"/>
      <c r="F53" s="7"/>
    </row>
    <row r="54" spans="1:6" hidden="1" x14ac:dyDescent="0.25">
      <c r="A54" s="7" t="s">
        <v>1066</v>
      </c>
      <c r="B54" s="7" t="s">
        <v>1067</v>
      </c>
      <c r="C54" s="7"/>
      <c r="D54" s="7"/>
      <c r="E54" s="7"/>
      <c r="F54" s="7"/>
    </row>
    <row r="55" spans="1:6" hidden="1" x14ac:dyDescent="0.25">
      <c r="A55" s="7" t="s">
        <v>1068</v>
      </c>
      <c r="B55" s="7" t="s">
        <v>1069</v>
      </c>
      <c r="C55" s="7"/>
      <c r="D55" s="7"/>
      <c r="E55" s="7"/>
      <c r="F55" s="7"/>
    </row>
    <row r="56" spans="1:6" hidden="1" x14ac:dyDescent="0.25">
      <c r="A56" s="7" t="s">
        <v>1070</v>
      </c>
      <c r="B56" s="7" t="s">
        <v>1071</v>
      </c>
      <c r="C56" s="7"/>
      <c r="D56" s="7"/>
      <c r="E56" s="7"/>
      <c r="F56" s="7"/>
    </row>
    <row r="57" spans="1:6" hidden="1" x14ac:dyDescent="0.25">
      <c r="A57" s="7" t="s">
        <v>1072</v>
      </c>
      <c r="B57" s="7" t="s">
        <v>1073</v>
      </c>
      <c r="C57" s="7"/>
      <c r="D57" s="7"/>
      <c r="E57" s="7"/>
      <c r="F57" s="7"/>
    </row>
    <row r="58" spans="1:6" hidden="1" x14ac:dyDescent="0.25">
      <c r="A58" s="7" t="s">
        <v>1074</v>
      </c>
      <c r="B58" s="7" t="s">
        <v>1075</v>
      </c>
      <c r="C58" s="7"/>
      <c r="D58" s="7"/>
      <c r="E58" s="7"/>
      <c r="F58" s="7"/>
    </row>
    <row r="59" spans="1:6" hidden="1" x14ac:dyDescent="0.25">
      <c r="A59" s="7" t="s">
        <v>1076</v>
      </c>
      <c r="B59" s="7" t="s">
        <v>1077</v>
      </c>
      <c r="C59" s="7"/>
      <c r="D59" s="7"/>
      <c r="E59" s="7"/>
      <c r="F59" s="7"/>
    </row>
    <row r="60" spans="1:6" hidden="1" x14ac:dyDescent="0.25">
      <c r="A60" s="7" t="s">
        <v>1078</v>
      </c>
      <c r="B60" s="7" t="s">
        <v>1079</v>
      </c>
      <c r="C60" s="7"/>
      <c r="D60" s="7"/>
      <c r="E60" s="7"/>
      <c r="F60" s="7"/>
    </row>
    <row r="61" spans="1:6" hidden="1" x14ac:dyDescent="0.25">
      <c r="A61" s="7" t="s">
        <v>1080</v>
      </c>
      <c r="B61" s="7" t="s">
        <v>1081</v>
      </c>
      <c r="C61" s="7"/>
      <c r="D61" s="7"/>
      <c r="E61" s="7"/>
      <c r="F61" s="7"/>
    </row>
    <row r="62" spans="1:6" hidden="1" x14ac:dyDescent="0.25">
      <c r="A62" s="7" t="s">
        <v>1082</v>
      </c>
      <c r="B62" s="7" t="s">
        <v>1083</v>
      </c>
      <c r="C62" s="7"/>
      <c r="D62" s="7"/>
      <c r="E62" s="7"/>
      <c r="F62" s="7"/>
    </row>
    <row r="63" spans="1:6" hidden="1" x14ac:dyDescent="0.25">
      <c r="A63" s="7" t="s">
        <v>1084</v>
      </c>
      <c r="B63" s="7" t="s">
        <v>1085</v>
      </c>
      <c r="C63" s="7"/>
      <c r="D63" s="7"/>
      <c r="E63" s="7"/>
      <c r="F63" s="7"/>
    </row>
    <row r="64" spans="1:6" hidden="1" x14ac:dyDescent="0.25">
      <c r="A64" s="7" t="s">
        <v>1086</v>
      </c>
      <c r="B64" s="7" t="s">
        <v>1087</v>
      </c>
      <c r="C64" s="7"/>
      <c r="D64" s="7"/>
      <c r="E64" s="7"/>
      <c r="F64" s="7"/>
    </row>
    <row r="65" spans="1:6" hidden="1" x14ac:dyDescent="0.25">
      <c r="A65" s="7" t="s">
        <v>1088</v>
      </c>
      <c r="B65" s="7" t="s">
        <v>1089</v>
      </c>
      <c r="C65" s="7"/>
      <c r="D65" s="7"/>
      <c r="E65" s="7"/>
      <c r="F65" s="7"/>
    </row>
    <row r="66" spans="1:6" hidden="1" x14ac:dyDescent="0.25">
      <c r="A66" s="7" t="s">
        <v>1090</v>
      </c>
      <c r="B66" s="7" t="s">
        <v>1091</v>
      </c>
      <c r="C66" s="7"/>
      <c r="D66" s="7"/>
      <c r="E66" s="7"/>
      <c r="F66" s="7"/>
    </row>
    <row r="67" spans="1:6" hidden="1" x14ac:dyDescent="0.25">
      <c r="A67" s="7" t="s">
        <v>1092</v>
      </c>
      <c r="B67" s="7" t="s">
        <v>1093</v>
      </c>
      <c r="C67" s="7"/>
      <c r="D67" s="7"/>
      <c r="E67" s="7"/>
      <c r="F67" s="7"/>
    </row>
    <row r="68" spans="1:6" hidden="1" x14ac:dyDescent="0.25">
      <c r="A68" s="7" t="s">
        <v>1094</v>
      </c>
      <c r="B68" s="7" t="s">
        <v>1095</v>
      </c>
      <c r="C68" s="7"/>
      <c r="D68" s="7"/>
      <c r="E68" s="7"/>
      <c r="F68" s="7"/>
    </row>
    <row r="69" spans="1:6" hidden="1" x14ac:dyDescent="0.25">
      <c r="A69" s="7" t="s">
        <v>1096</v>
      </c>
      <c r="B69" s="7" t="s">
        <v>1097</v>
      </c>
      <c r="C69" s="7"/>
      <c r="D69" s="7"/>
      <c r="E69" s="7"/>
      <c r="F69" s="7"/>
    </row>
    <row r="70" spans="1:6" hidden="1" x14ac:dyDescent="0.25">
      <c r="A70" s="7" t="s">
        <v>1098</v>
      </c>
      <c r="B70" s="7" t="s">
        <v>1099</v>
      </c>
      <c r="C70" s="7"/>
      <c r="D70" s="7"/>
      <c r="E70" s="7"/>
      <c r="F70" s="7"/>
    </row>
    <row r="71" spans="1:6" hidden="1" x14ac:dyDescent="0.25">
      <c r="A71" s="7" t="s">
        <v>1100</v>
      </c>
      <c r="B71" s="7" t="s">
        <v>1101</v>
      </c>
      <c r="C71" s="7"/>
      <c r="D71" s="7"/>
      <c r="E71" s="7"/>
      <c r="F71" s="7"/>
    </row>
    <row r="72" spans="1:6" hidden="1" x14ac:dyDescent="0.25">
      <c r="A72" s="7" t="s">
        <v>1102</v>
      </c>
      <c r="B72" s="7" t="s">
        <v>1103</v>
      </c>
      <c r="C72" s="7"/>
      <c r="D72" s="7"/>
      <c r="E72" s="7"/>
      <c r="F72" s="7"/>
    </row>
    <row r="73" spans="1:6" hidden="1" x14ac:dyDescent="0.25">
      <c r="A73" s="7" t="s">
        <v>1104</v>
      </c>
      <c r="B73" s="7" t="s">
        <v>1105</v>
      </c>
      <c r="C73" s="7"/>
      <c r="D73" s="7"/>
      <c r="E73" s="7"/>
      <c r="F73" s="7"/>
    </row>
    <row r="74" spans="1:6" hidden="1" x14ac:dyDescent="0.25">
      <c r="A74" s="7" t="s">
        <v>1106</v>
      </c>
      <c r="B74" s="7" t="s">
        <v>1107</v>
      </c>
      <c r="C74" s="7"/>
      <c r="D74" s="7"/>
      <c r="E74" s="7"/>
      <c r="F74" s="7"/>
    </row>
    <row r="75" spans="1:6" hidden="1" x14ac:dyDescent="0.25">
      <c r="A75" s="7" t="s">
        <v>1108</v>
      </c>
      <c r="B75" s="7" t="s">
        <v>1109</v>
      </c>
      <c r="C75" s="7"/>
      <c r="D75" s="7"/>
      <c r="E75" s="7"/>
      <c r="F75" s="7"/>
    </row>
    <row r="76" spans="1:6" hidden="1" x14ac:dyDescent="0.25">
      <c r="A76" s="7" t="s">
        <v>1110</v>
      </c>
      <c r="B76" s="7" t="s">
        <v>1111</v>
      </c>
      <c r="C76" s="7"/>
      <c r="D76" s="7"/>
      <c r="E76" s="7"/>
      <c r="F76" s="7"/>
    </row>
    <row r="77" spans="1:6" hidden="1" x14ac:dyDescent="0.25">
      <c r="A77" s="7" t="s">
        <v>1112</v>
      </c>
      <c r="B77" s="7" t="s">
        <v>1113</v>
      </c>
      <c r="C77" s="7"/>
      <c r="D77" s="7"/>
      <c r="E77" s="7"/>
      <c r="F77" s="7"/>
    </row>
    <row r="78" spans="1:6" hidden="1" x14ac:dyDescent="0.25">
      <c r="A78" s="7" t="s">
        <v>1114</v>
      </c>
      <c r="B78" s="7" t="s">
        <v>1115</v>
      </c>
      <c r="C78" s="7"/>
      <c r="D78" s="7"/>
      <c r="E78" s="7"/>
      <c r="F78" s="7"/>
    </row>
    <row r="79" spans="1:6" hidden="1" x14ac:dyDescent="0.25">
      <c r="A79" s="7" t="s">
        <v>1116</v>
      </c>
      <c r="B79" s="7" t="s">
        <v>1117</v>
      </c>
      <c r="C79" s="7"/>
      <c r="D79" s="7"/>
      <c r="E79" s="7"/>
      <c r="F79" s="7"/>
    </row>
    <row r="80" spans="1:6" hidden="1" x14ac:dyDescent="0.25">
      <c r="A80" s="7" t="s">
        <v>1118</v>
      </c>
      <c r="B80" s="7" t="s">
        <v>1119</v>
      </c>
      <c r="C80" s="7"/>
      <c r="D80" s="7"/>
      <c r="E80" s="7"/>
      <c r="F80" s="7"/>
    </row>
    <row r="81" spans="1:6" hidden="1" x14ac:dyDescent="0.25">
      <c r="A81" s="7" t="s">
        <v>1120</v>
      </c>
      <c r="B81" s="7" t="s">
        <v>1121</v>
      </c>
      <c r="C81" s="7"/>
      <c r="D81" s="7"/>
      <c r="E81" s="7"/>
      <c r="F81" s="7"/>
    </row>
    <row r="82" spans="1:6" hidden="1" x14ac:dyDescent="0.25">
      <c r="A82" s="7" t="s">
        <v>1122</v>
      </c>
      <c r="B82" s="7" t="s">
        <v>1123</v>
      </c>
      <c r="C82" s="7"/>
      <c r="D82" s="7"/>
      <c r="E82" s="7"/>
      <c r="F82" s="7"/>
    </row>
    <row r="83" spans="1:6" hidden="1" x14ac:dyDescent="0.25">
      <c r="A83" s="7" t="s">
        <v>1124</v>
      </c>
      <c r="B83" s="7" t="s">
        <v>1125</v>
      </c>
      <c r="C83" s="7"/>
      <c r="D83" s="7"/>
      <c r="E83" s="7"/>
      <c r="F83" s="7"/>
    </row>
    <row r="84" spans="1:6" hidden="1" x14ac:dyDescent="0.25">
      <c r="A84" s="7" t="s">
        <v>1126</v>
      </c>
      <c r="B84" s="7" t="s">
        <v>1127</v>
      </c>
      <c r="C84" s="7"/>
      <c r="D84" s="7"/>
      <c r="E84" s="7"/>
      <c r="F84" s="7"/>
    </row>
    <row r="85" spans="1:6" hidden="1" x14ac:dyDescent="0.25">
      <c r="A85" s="7" t="s">
        <v>1128</v>
      </c>
      <c r="B85" s="7" t="s">
        <v>1129</v>
      </c>
      <c r="C85" s="7"/>
      <c r="D85" s="7"/>
      <c r="E85" s="7"/>
      <c r="F85" s="7"/>
    </row>
    <row r="86" spans="1:6" hidden="1" x14ac:dyDescent="0.25">
      <c r="A86" s="7" t="s">
        <v>1130</v>
      </c>
      <c r="B86" s="7" t="s">
        <v>1131</v>
      </c>
      <c r="C86" s="7"/>
      <c r="D86" s="7"/>
      <c r="E86" s="7"/>
      <c r="F86" s="7"/>
    </row>
    <row r="87" spans="1:6" hidden="1" x14ac:dyDescent="0.25">
      <c r="A87" s="7" t="s">
        <v>1132</v>
      </c>
      <c r="B87" s="7" t="s">
        <v>1133</v>
      </c>
      <c r="C87" s="7"/>
      <c r="D87" s="7"/>
      <c r="E87" s="7"/>
      <c r="F87" s="7"/>
    </row>
    <row r="88" spans="1:6" hidden="1" x14ac:dyDescent="0.25">
      <c r="A88" s="7" t="s">
        <v>1134</v>
      </c>
      <c r="B88" s="7" t="s">
        <v>1135</v>
      </c>
      <c r="C88" s="7"/>
      <c r="D88" s="7"/>
      <c r="E88" s="7"/>
      <c r="F88" s="7"/>
    </row>
    <row r="89" spans="1:6" hidden="1" x14ac:dyDescent="0.25">
      <c r="A89" s="7" t="s">
        <v>1136</v>
      </c>
      <c r="B89" s="7" t="s">
        <v>1137</v>
      </c>
      <c r="C89" s="7"/>
      <c r="D89" s="7"/>
      <c r="E89" s="7"/>
      <c r="F89" s="7"/>
    </row>
    <row r="90" spans="1:6" hidden="1" x14ac:dyDescent="0.25">
      <c r="A90" s="7" t="s">
        <v>1138</v>
      </c>
      <c r="B90" s="7" t="s">
        <v>1139</v>
      </c>
      <c r="C90" s="7"/>
      <c r="D90" s="7"/>
      <c r="E90" s="7"/>
      <c r="F90" s="7"/>
    </row>
    <row r="91" spans="1:6" hidden="1" x14ac:dyDescent="0.25">
      <c r="A91" s="7" t="s">
        <v>1140</v>
      </c>
      <c r="B91" s="7" t="s">
        <v>1141</v>
      </c>
      <c r="C91" s="7"/>
      <c r="D91" s="7"/>
      <c r="E91" s="7"/>
      <c r="F91" s="7"/>
    </row>
    <row r="92" spans="1:6" hidden="1" x14ac:dyDescent="0.25">
      <c r="A92" s="7" t="s">
        <v>1142</v>
      </c>
      <c r="B92" s="7" t="s">
        <v>1143</v>
      </c>
      <c r="C92" s="7"/>
      <c r="D92" s="7"/>
      <c r="E92" s="7"/>
      <c r="F92" s="7"/>
    </row>
    <row r="93" spans="1:6" hidden="1" x14ac:dyDescent="0.25">
      <c r="A93" s="7" t="s">
        <v>1144</v>
      </c>
      <c r="B93" s="7" t="s">
        <v>1145</v>
      </c>
      <c r="C93" s="7"/>
      <c r="D93" s="7"/>
      <c r="E93" s="7"/>
      <c r="F93" s="7"/>
    </row>
    <row r="94" spans="1:6" hidden="1" x14ac:dyDescent="0.25">
      <c r="A94" s="7" t="s">
        <v>1146</v>
      </c>
      <c r="B94" s="7" t="s">
        <v>1147</v>
      </c>
      <c r="C94" s="7"/>
      <c r="D94" s="7"/>
      <c r="E94" s="7"/>
      <c r="F94" s="7"/>
    </row>
    <row r="95" spans="1:6" hidden="1" x14ac:dyDescent="0.25">
      <c r="A95" s="7" t="s">
        <v>1148</v>
      </c>
      <c r="B95" s="7" t="s">
        <v>1149</v>
      </c>
      <c r="C95" s="7"/>
      <c r="D95" s="7"/>
      <c r="E95" s="7"/>
      <c r="F95" s="7"/>
    </row>
    <row r="96" spans="1:6" hidden="1" x14ac:dyDescent="0.25">
      <c r="A96" s="7" t="s">
        <v>1150</v>
      </c>
      <c r="B96" s="7" t="s">
        <v>1151</v>
      </c>
      <c r="C96" s="7"/>
      <c r="D96" s="7"/>
      <c r="E96" s="7"/>
      <c r="F96" s="7"/>
    </row>
    <row r="97" spans="1:6" hidden="1" x14ac:dyDescent="0.25">
      <c r="A97" s="7" t="s">
        <v>1152</v>
      </c>
      <c r="B97" s="7" t="s">
        <v>1153</v>
      </c>
      <c r="C97" s="7"/>
      <c r="D97" s="7"/>
      <c r="E97" s="7"/>
      <c r="F97" s="7"/>
    </row>
    <row r="98" spans="1:6" hidden="1" x14ac:dyDescent="0.25">
      <c r="A98" s="7" t="s">
        <v>1154</v>
      </c>
      <c r="B98" s="7" t="s">
        <v>1155</v>
      </c>
      <c r="C98" s="7"/>
      <c r="D98" s="7"/>
      <c r="E98" s="7"/>
      <c r="F98" s="7"/>
    </row>
    <row r="99" spans="1:6" hidden="1" x14ac:dyDescent="0.25">
      <c r="A99" s="7" t="s">
        <v>1156</v>
      </c>
      <c r="B99" s="7" t="s">
        <v>1157</v>
      </c>
      <c r="C99" s="7"/>
      <c r="D99" s="7"/>
      <c r="E99" s="7"/>
      <c r="F99" s="7"/>
    </row>
    <row r="100" spans="1:6" hidden="1" x14ac:dyDescent="0.25">
      <c r="A100" s="7" t="s">
        <v>1158</v>
      </c>
      <c r="B100" s="7" t="s">
        <v>1159</v>
      </c>
      <c r="C100" s="7"/>
      <c r="D100" s="7"/>
      <c r="E100" s="7"/>
      <c r="F100" s="7"/>
    </row>
    <row r="101" spans="1:6" hidden="1" x14ac:dyDescent="0.25">
      <c r="A101" s="7" t="s">
        <v>1160</v>
      </c>
      <c r="B101" s="7" t="s">
        <v>1161</v>
      </c>
      <c r="C101" s="7"/>
      <c r="D101" s="7"/>
      <c r="E101" s="7"/>
      <c r="F101" s="7"/>
    </row>
    <row r="102" spans="1:6" hidden="1" x14ac:dyDescent="0.25">
      <c r="A102" s="7" t="s">
        <v>1162</v>
      </c>
      <c r="B102" s="7" t="s">
        <v>1163</v>
      </c>
      <c r="C102" s="7"/>
      <c r="D102" s="7"/>
      <c r="E102" s="7"/>
      <c r="F102" s="7"/>
    </row>
    <row r="103" spans="1:6" hidden="1" x14ac:dyDescent="0.25">
      <c r="A103" s="7" t="s">
        <v>1164</v>
      </c>
      <c r="B103" s="7" t="s">
        <v>1165</v>
      </c>
      <c r="C103" s="7"/>
      <c r="D103" s="7"/>
      <c r="E103" s="7"/>
      <c r="F103" s="7"/>
    </row>
    <row r="104" spans="1:6" hidden="1" x14ac:dyDescent="0.25">
      <c r="A104" s="7" t="s">
        <v>1166</v>
      </c>
      <c r="B104" s="7" t="s">
        <v>1167</v>
      </c>
      <c r="C104" s="7"/>
      <c r="D104" s="7"/>
      <c r="E104" s="7"/>
      <c r="F104" s="7"/>
    </row>
    <row r="105" spans="1:6" hidden="1" x14ac:dyDescent="0.25">
      <c r="A105" s="7" t="s">
        <v>1168</v>
      </c>
      <c r="B105" s="7" t="s">
        <v>1169</v>
      </c>
      <c r="C105" s="7"/>
      <c r="D105" s="7"/>
      <c r="E105" s="7"/>
      <c r="F105" s="7"/>
    </row>
    <row r="106" spans="1:6" hidden="1" x14ac:dyDescent="0.25">
      <c r="A106" s="7" t="s">
        <v>1170</v>
      </c>
      <c r="B106" s="7" t="s">
        <v>1171</v>
      </c>
      <c r="C106" s="7"/>
      <c r="D106" s="7"/>
      <c r="E106" s="7"/>
      <c r="F106" s="7"/>
    </row>
    <row r="107" spans="1:6" hidden="1" x14ac:dyDescent="0.25">
      <c r="A107" s="7" t="s">
        <v>1172</v>
      </c>
      <c r="B107" s="7" t="s">
        <v>1173</v>
      </c>
      <c r="C107" s="7"/>
      <c r="D107" s="7"/>
      <c r="E107" s="7"/>
      <c r="F107" s="7"/>
    </row>
    <row r="108" spans="1:6" hidden="1" x14ac:dyDescent="0.25">
      <c r="A108" s="7" t="s">
        <v>1174</v>
      </c>
      <c r="B108" s="7" t="s">
        <v>1175</v>
      </c>
      <c r="C108" s="7"/>
      <c r="D108" s="7"/>
      <c r="E108" s="7"/>
      <c r="F108" s="7"/>
    </row>
    <row r="109" spans="1:6" hidden="1" x14ac:dyDescent="0.25">
      <c r="A109" s="7" t="s">
        <v>1176</v>
      </c>
      <c r="B109" s="7" t="s">
        <v>1177</v>
      </c>
      <c r="C109" s="7"/>
      <c r="D109" s="7"/>
      <c r="E109" s="7"/>
      <c r="F109" s="7"/>
    </row>
    <row r="110" spans="1:6" hidden="1" x14ac:dyDescent="0.25">
      <c r="A110" s="7" t="s">
        <v>1178</v>
      </c>
      <c r="B110" s="7" t="s">
        <v>1179</v>
      </c>
      <c r="C110" s="7"/>
      <c r="D110" s="7"/>
      <c r="E110" s="7"/>
      <c r="F110" s="7"/>
    </row>
    <row r="111" spans="1:6" hidden="1" x14ac:dyDescent="0.25">
      <c r="A111" s="7" t="s">
        <v>1180</v>
      </c>
      <c r="B111" s="7" t="s">
        <v>1181</v>
      </c>
      <c r="C111" s="7"/>
      <c r="D111" s="7"/>
      <c r="E111" s="7"/>
      <c r="F111" s="7"/>
    </row>
    <row r="112" spans="1:6" hidden="1" x14ac:dyDescent="0.25">
      <c r="A112" s="7" t="s">
        <v>1182</v>
      </c>
      <c r="B112" s="7" t="s">
        <v>1183</v>
      </c>
      <c r="C112" s="7"/>
      <c r="D112" s="7"/>
      <c r="E112" s="7"/>
      <c r="F112" s="7"/>
    </row>
    <row r="113" spans="1:6" hidden="1" x14ac:dyDescent="0.25">
      <c r="A113" s="7" t="s">
        <v>1184</v>
      </c>
      <c r="B113" s="7" t="s">
        <v>1185</v>
      </c>
      <c r="C113" s="7"/>
      <c r="D113" s="7"/>
      <c r="E113" s="7"/>
      <c r="F113" s="7"/>
    </row>
    <row r="114" spans="1:6" hidden="1" x14ac:dyDescent="0.25">
      <c r="A114" s="7" t="s">
        <v>1186</v>
      </c>
      <c r="B114" s="7" t="s">
        <v>1187</v>
      </c>
      <c r="C114" s="7"/>
      <c r="D114" s="7"/>
      <c r="E114" s="7"/>
      <c r="F114" s="7"/>
    </row>
    <row r="115" spans="1:6" hidden="1" x14ac:dyDescent="0.25">
      <c r="A115" s="7" t="s">
        <v>1188</v>
      </c>
      <c r="B115" s="7" t="s">
        <v>1189</v>
      </c>
      <c r="C115" s="7"/>
      <c r="D115" s="7"/>
      <c r="E115" s="7"/>
      <c r="F115" s="7"/>
    </row>
    <row r="116" spans="1:6" hidden="1" x14ac:dyDescent="0.25">
      <c r="A116" s="7" t="s">
        <v>1190</v>
      </c>
      <c r="B116" s="7" t="s">
        <v>1191</v>
      </c>
      <c r="C116" s="7"/>
      <c r="D116" s="7"/>
      <c r="E116" s="7"/>
      <c r="F116" s="7"/>
    </row>
    <row r="117" spans="1:6" hidden="1" x14ac:dyDescent="0.25">
      <c r="A117" s="7" t="s">
        <v>1192</v>
      </c>
      <c r="B117" s="7" t="s">
        <v>1193</v>
      </c>
      <c r="C117" s="7"/>
      <c r="D117" s="7"/>
      <c r="E117" s="7"/>
      <c r="F117" s="7"/>
    </row>
    <row r="118" spans="1:6" hidden="1" x14ac:dyDescent="0.25">
      <c r="A118" s="7" t="s">
        <v>1194</v>
      </c>
      <c r="B118" s="7" t="s">
        <v>1195</v>
      </c>
      <c r="C118" s="7"/>
      <c r="D118" s="7"/>
      <c r="E118" s="7"/>
      <c r="F118" s="7"/>
    </row>
    <row r="119" spans="1:6" hidden="1" x14ac:dyDescent="0.25">
      <c r="A119" s="7" t="s">
        <v>1196</v>
      </c>
      <c r="B119" s="7" t="s">
        <v>1197</v>
      </c>
      <c r="C119" s="7"/>
      <c r="D119" s="7"/>
      <c r="E119" s="7"/>
      <c r="F119" s="7"/>
    </row>
    <row r="120" spans="1:6" hidden="1" x14ac:dyDescent="0.25">
      <c r="A120" s="7" t="s">
        <v>1198</v>
      </c>
      <c r="B120" s="7" t="s">
        <v>1199</v>
      </c>
      <c r="C120" s="7"/>
      <c r="D120" s="7"/>
      <c r="E120" s="7"/>
      <c r="F120" s="7"/>
    </row>
    <row r="121" spans="1:6" hidden="1" x14ac:dyDescent="0.25">
      <c r="A121" s="7" t="s">
        <v>1200</v>
      </c>
      <c r="B121" s="7" t="s">
        <v>1201</v>
      </c>
      <c r="C121" s="7"/>
      <c r="D121" s="7"/>
      <c r="E121" s="7"/>
      <c r="F121" s="7"/>
    </row>
    <row r="122" spans="1:6" hidden="1" x14ac:dyDescent="0.25">
      <c r="A122" s="7" t="s">
        <v>1202</v>
      </c>
      <c r="B122" s="7" t="s">
        <v>1203</v>
      </c>
      <c r="C122" s="7"/>
      <c r="D122" s="7"/>
      <c r="E122" s="7"/>
      <c r="F122" s="7"/>
    </row>
    <row r="123" spans="1:6" hidden="1" x14ac:dyDescent="0.25">
      <c r="A123" s="7" t="s">
        <v>1204</v>
      </c>
      <c r="B123" s="7" t="s">
        <v>1205</v>
      </c>
      <c r="C123" s="7"/>
      <c r="D123" s="7"/>
      <c r="E123" s="7"/>
      <c r="F123" s="7"/>
    </row>
    <row r="124" spans="1:6" hidden="1" x14ac:dyDescent="0.25">
      <c r="A124" s="7" t="s">
        <v>1206</v>
      </c>
      <c r="B124" s="7" t="s">
        <v>1207</v>
      </c>
      <c r="C124" s="7"/>
      <c r="D124" s="7"/>
      <c r="E124" s="7"/>
      <c r="F124" s="7"/>
    </row>
    <row r="125" spans="1:6" hidden="1" x14ac:dyDescent="0.25">
      <c r="A125" s="7" t="s">
        <v>1208</v>
      </c>
      <c r="B125" s="7" t="s">
        <v>1209</v>
      </c>
      <c r="C125" s="7"/>
      <c r="D125" s="7"/>
      <c r="E125" s="7"/>
      <c r="F125" s="7"/>
    </row>
    <row r="126" spans="1:6" hidden="1" x14ac:dyDescent="0.25">
      <c r="A126" s="7" t="s">
        <v>1210</v>
      </c>
      <c r="B126" s="7" t="s">
        <v>1211</v>
      </c>
      <c r="C126" s="7"/>
      <c r="D126" s="7"/>
      <c r="E126" s="7"/>
      <c r="F126" s="7"/>
    </row>
    <row r="127" spans="1:6" hidden="1" x14ac:dyDescent="0.25">
      <c r="A127" s="7" t="s">
        <v>1212</v>
      </c>
      <c r="B127" s="7" t="s">
        <v>1213</v>
      </c>
      <c r="C127" s="7"/>
      <c r="D127" s="7"/>
      <c r="E127" s="7"/>
      <c r="F127" s="7"/>
    </row>
    <row r="128" spans="1:6" hidden="1" x14ac:dyDescent="0.25">
      <c r="A128" s="7" t="s">
        <v>1214</v>
      </c>
      <c r="B128" s="7" t="s">
        <v>1215</v>
      </c>
      <c r="C128" s="7"/>
      <c r="D128" s="7"/>
      <c r="E128" s="7"/>
      <c r="F128" s="7"/>
    </row>
    <row r="129" spans="1:6" hidden="1" x14ac:dyDescent="0.25">
      <c r="A129" s="7" t="s">
        <v>1216</v>
      </c>
      <c r="B129" s="7" t="s">
        <v>1217</v>
      </c>
      <c r="C129" s="7"/>
      <c r="D129" s="7"/>
      <c r="E129" s="7"/>
      <c r="F129" s="7"/>
    </row>
    <row r="130" spans="1:6" hidden="1" x14ac:dyDescent="0.25">
      <c r="A130" s="7" t="s">
        <v>1218</v>
      </c>
      <c r="B130" s="7" t="s">
        <v>1219</v>
      </c>
      <c r="C130" s="7"/>
      <c r="D130" s="7"/>
      <c r="E130" s="7"/>
      <c r="F130" s="7"/>
    </row>
    <row r="131" spans="1:6" hidden="1" x14ac:dyDescent="0.25">
      <c r="A131" s="7" t="s">
        <v>1220</v>
      </c>
      <c r="B131" s="7" t="s">
        <v>1221</v>
      </c>
      <c r="C131" s="7"/>
      <c r="D131" s="7"/>
      <c r="E131" s="7"/>
      <c r="F131" s="7"/>
    </row>
    <row r="132" spans="1:6" hidden="1" x14ac:dyDescent="0.25">
      <c r="A132" s="7" t="s">
        <v>1222</v>
      </c>
      <c r="B132" s="7" t="s">
        <v>1223</v>
      </c>
      <c r="C132" s="7"/>
      <c r="D132" s="7"/>
      <c r="E132" s="7"/>
      <c r="F132" s="7"/>
    </row>
    <row r="133" spans="1:6" hidden="1" x14ac:dyDescent="0.25">
      <c r="A133" s="7" t="s">
        <v>1224</v>
      </c>
      <c r="B133" s="7" t="s">
        <v>1225</v>
      </c>
      <c r="C133" s="7"/>
      <c r="D133" s="7"/>
      <c r="E133" s="7"/>
      <c r="F133" s="7"/>
    </row>
    <row r="134" spans="1:6" hidden="1" x14ac:dyDescent="0.25">
      <c r="A134" s="7" t="s">
        <v>1226</v>
      </c>
      <c r="B134" s="7" t="s">
        <v>1227</v>
      </c>
      <c r="C134" s="7"/>
      <c r="D134" s="7"/>
      <c r="E134" s="7"/>
      <c r="F134" s="7"/>
    </row>
    <row r="135" spans="1:6" hidden="1" x14ac:dyDescent="0.25">
      <c r="A135" s="7" t="s">
        <v>1228</v>
      </c>
      <c r="B135" s="7" t="s">
        <v>1229</v>
      </c>
      <c r="C135" s="7"/>
      <c r="D135" s="7"/>
      <c r="E135" s="7"/>
      <c r="F135" s="7"/>
    </row>
    <row r="136" spans="1:6" hidden="1" x14ac:dyDescent="0.25">
      <c r="A136" s="7" t="s">
        <v>1230</v>
      </c>
      <c r="B136" s="7" t="s">
        <v>1231</v>
      </c>
      <c r="C136" s="7"/>
      <c r="D136" s="7"/>
      <c r="E136" s="7"/>
      <c r="F136" s="7"/>
    </row>
    <row r="137" spans="1:6" hidden="1" x14ac:dyDescent="0.25">
      <c r="A137" s="7" t="s">
        <v>1232</v>
      </c>
      <c r="B137" s="7" t="s">
        <v>1233</v>
      </c>
      <c r="C137" s="7"/>
      <c r="D137" s="7"/>
      <c r="E137" s="7"/>
      <c r="F137" s="7"/>
    </row>
    <row r="138" spans="1:6" hidden="1" x14ac:dyDescent="0.25">
      <c r="A138" s="7" t="s">
        <v>1234</v>
      </c>
      <c r="B138" s="7" t="s">
        <v>1235</v>
      </c>
      <c r="C138" s="7"/>
      <c r="D138" s="7"/>
      <c r="E138" s="7"/>
      <c r="F138" s="7"/>
    </row>
    <row r="139" spans="1:6" hidden="1" x14ac:dyDescent="0.25">
      <c r="A139" s="7" t="s">
        <v>1236</v>
      </c>
      <c r="B139" s="7" t="s">
        <v>1237</v>
      </c>
      <c r="C139" s="7"/>
      <c r="D139" s="7"/>
      <c r="E139" s="7"/>
      <c r="F139" s="7"/>
    </row>
    <row r="140" spans="1:6" hidden="1" x14ac:dyDescent="0.25">
      <c r="A140" s="7" t="s">
        <v>1238</v>
      </c>
      <c r="B140" s="7" t="s">
        <v>1239</v>
      </c>
      <c r="C140" s="7"/>
      <c r="D140" s="7"/>
      <c r="E140" s="7"/>
      <c r="F140" s="7"/>
    </row>
    <row r="141" spans="1:6" hidden="1" x14ac:dyDescent="0.25">
      <c r="A141" s="7" t="s">
        <v>1240</v>
      </c>
      <c r="B141" s="7" t="s">
        <v>1241</v>
      </c>
      <c r="C141" s="7"/>
      <c r="D141" s="7"/>
      <c r="E141" s="7"/>
      <c r="F141" s="7"/>
    </row>
    <row r="142" spans="1:6" hidden="1" x14ac:dyDescent="0.25">
      <c r="A142" s="7" t="s">
        <v>1242</v>
      </c>
      <c r="B142" s="7" t="s">
        <v>1243</v>
      </c>
      <c r="C142" s="7"/>
      <c r="D142" s="7"/>
      <c r="E142" s="7"/>
      <c r="F142" s="7"/>
    </row>
    <row r="143" spans="1:6" hidden="1" x14ac:dyDescent="0.25">
      <c r="A143" s="7" t="s">
        <v>1244</v>
      </c>
      <c r="B143" s="7" t="s">
        <v>1245</v>
      </c>
      <c r="C143" s="7"/>
      <c r="D143" s="7"/>
      <c r="E143" s="7"/>
      <c r="F143" s="7"/>
    </row>
    <row r="144" spans="1:6" hidden="1" x14ac:dyDescent="0.25">
      <c r="A144" s="7" t="s">
        <v>1246</v>
      </c>
      <c r="B144" s="7" t="s">
        <v>1247</v>
      </c>
      <c r="C144" s="7"/>
      <c r="D144" s="7"/>
      <c r="E144" s="7"/>
      <c r="F144" s="7"/>
    </row>
    <row r="145" spans="1:6" hidden="1" x14ac:dyDescent="0.25">
      <c r="A145" s="7" t="s">
        <v>1248</v>
      </c>
      <c r="B145" s="7" t="s">
        <v>1249</v>
      </c>
      <c r="C145" s="7"/>
      <c r="D145" s="7"/>
      <c r="E145" s="7"/>
      <c r="F145" s="7"/>
    </row>
    <row r="146" spans="1:6" hidden="1" x14ac:dyDescent="0.25">
      <c r="A146" s="7" t="s">
        <v>1250</v>
      </c>
      <c r="B146" s="7" t="s">
        <v>1251</v>
      </c>
      <c r="C146" s="7"/>
      <c r="D146" s="7"/>
      <c r="E146" s="7"/>
      <c r="F146" s="7"/>
    </row>
    <row r="147" spans="1:6" hidden="1" x14ac:dyDescent="0.25">
      <c r="A147" s="7" t="s">
        <v>1252</v>
      </c>
      <c r="B147" s="7" t="s">
        <v>1253</v>
      </c>
      <c r="C147" s="7"/>
      <c r="D147" s="7"/>
      <c r="E147" s="7"/>
      <c r="F147" s="7"/>
    </row>
    <row r="148" spans="1:6" hidden="1" x14ac:dyDescent="0.25">
      <c r="A148" s="7" t="s">
        <v>1254</v>
      </c>
      <c r="B148" s="7" t="s">
        <v>1255</v>
      </c>
      <c r="C148" s="7"/>
      <c r="D148" s="7"/>
      <c r="E148" s="7"/>
      <c r="F148" s="7"/>
    </row>
    <row r="149" spans="1:6" hidden="1" x14ac:dyDescent="0.25">
      <c r="A149" s="7" t="s">
        <v>1256</v>
      </c>
      <c r="B149" s="7" t="s">
        <v>1257</v>
      </c>
      <c r="C149" s="7"/>
      <c r="D149" s="7"/>
      <c r="E149" s="7"/>
      <c r="F149" s="7"/>
    </row>
    <row r="150" spans="1:6" hidden="1" x14ac:dyDescent="0.25">
      <c r="A150" s="7" t="s">
        <v>1258</v>
      </c>
      <c r="B150" s="7" t="s">
        <v>1259</v>
      </c>
      <c r="C150" s="7"/>
      <c r="D150" s="7"/>
      <c r="E150" s="7"/>
      <c r="F150" s="7"/>
    </row>
    <row r="151" spans="1:6" hidden="1" x14ac:dyDescent="0.25">
      <c r="A151" s="7" t="s">
        <v>1260</v>
      </c>
      <c r="B151" s="7" t="s">
        <v>1261</v>
      </c>
      <c r="C151" s="7"/>
      <c r="D151" s="7"/>
      <c r="E151" s="7"/>
      <c r="F151" s="7"/>
    </row>
    <row r="152" spans="1:6" hidden="1" x14ac:dyDescent="0.25">
      <c r="A152" s="7" t="s">
        <v>1262</v>
      </c>
      <c r="B152" s="7" t="s">
        <v>1263</v>
      </c>
      <c r="C152" s="7"/>
      <c r="D152" s="7"/>
      <c r="E152" s="7"/>
      <c r="F152" s="7"/>
    </row>
    <row r="153" spans="1:6" hidden="1" x14ac:dyDescent="0.25">
      <c r="A153" s="7" t="s">
        <v>1264</v>
      </c>
      <c r="B153" s="7" t="s">
        <v>1265</v>
      </c>
      <c r="C153" s="7"/>
      <c r="D153" s="7"/>
      <c r="E153" s="7"/>
      <c r="F153" s="7"/>
    </row>
    <row r="154" spans="1:6" hidden="1" x14ac:dyDescent="0.25">
      <c r="A154" s="7" t="s">
        <v>1266</v>
      </c>
      <c r="B154" s="7" t="s">
        <v>1267</v>
      </c>
      <c r="C154" s="7"/>
      <c r="D154" s="7"/>
      <c r="E154" s="7"/>
      <c r="F154" s="7"/>
    </row>
    <row r="155" spans="1:6" hidden="1" x14ac:dyDescent="0.25">
      <c r="A155" s="7" t="s">
        <v>1268</v>
      </c>
      <c r="B155" s="7" t="s">
        <v>1269</v>
      </c>
      <c r="C155" s="7"/>
      <c r="D155" s="7"/>
      <c r="E155" s="7"/>
      <c r="F155" s="7"/>
    </row>
    <row r="156" spans="1:6" hidden="1" x14ac:dyDescent="0.25">
      <c r="A156" s="7" t="s">
        <v>1270</v>
      </c>
      <c r="B156" s="7" t="s">
        <v>1271</v>
      </c>
      <c r="C156" s="7"/>
      <c r="D156" s="7"/>
      <c r="E156" s="7"/>
      <c r="F156" s="7"/>
    </row>
    <row r="157" spans="1:6" hidden="1" x14ac:dyDescent="0.25">
      <c r="A157" s="7" t="s">
        <v>1272</v>
      </c>
      <c r="B157" s="7" t="s">
        <v>1273</v>
      </c>
      <c r="C157" s="7"/>
      <c r="D157" s="7"/>
      <c r="E157" s="7"/>
      <c r="F157" s="7"/>
    </row>
    <row r="158" spans="1:6" hidden="1" x14ac:dyDescent="0.25">
      <c r="A158" s="7" t="s">
        <v>1274</v>
      </c>
      <c r="B158" s="7" t="s">
        <v>1275</v>
      </c>
      <c r="C158" s="7"/>
      <c r="D158" s="7"/>
      <c r="E158" s="7"/>
      <c r="F158" s="7"/>
    </row>
    <row r="159" spans="1:6" hidden="1" x14ac:dyDescent="0.25">
      <c r="A159" s="7" t="s">
        <v>1276</v>
      </c>
      <c r="B159" s="7" t="s">
        <v>1277</v>
      </c>
      <c r="C159" s="7"/>
      <c r="D159" s="7"/>
      <c r="E159" s="7"/>
      <c r="F159" s="7"/>
    </row>
    <row r="160" spans="1:6" hidden="1" x14ac:dyDescent="0.25">
      <c r="A160" s="7" t="s">
        <v>1278</v>
      </c>
      <c r="B160" s="7" t="s">
        <v>1279</v>
      </c>
      <c r="C160" s="7"/>
      <c r="D160" s="7"/>
      <c r="E160" s="7"/>
      <c r="F160" s="7"/>
    </row>
    <row r="161" spans="1:6" hidden="1" x14ac:dyDescent="0.25">
      <c r="A161" s="7" t="s">
        <v>1280</v>
      </c>
      <c r="B161" s="7" t="s">
        <v>1281</v>
      </c>
      <c r="C161" s="7"/>
      <c r="D161" s="7"/>
      <c r="E161" s="7"/>
      <c r="F161" s="7"/>
    </row>
    <row r="162" spans="1:6" hidden="1" x14ac:dyDescent="0.25">
      <c r="A162" s="7" t="s">
        <v>1282</v>
      </c>
      <c r="B162" s="7" t="s">
        <v>1283</v>
      </c>
      <c r="C162" s="7"/>
      <c r="D162" s="7"/>
      <c r="E162" s="7"/>
      <c r="F162" s="7"/>
    </row>
    <row r="163" spans="1:6" hidden="1" x14ac:dyDescent="0.25">
      <c r="A163" s="7" t="s">
        <v>1284</v>
      </c>
      <c r="B163" s="7" t="s">
        <v>1285</v>
      </c>
      <c r="C163" s="7"/>
      <c r="D163" s="7"/>
      <c r="E163" s="7"/>
      <c r="F163" s="7"/>
    </row>
    <row r="164" spans="1:6" hidden="1" x14ac:dyDescent="0.25">
      <c r="A164" s="7" t="s">
        <v>1286</v>
      </c>
      <c r="B164" s="7" t="s">
        <v>1287</v>
      </c>
      <c r="C164" s="7"/>
      <c r="D164" s="7"/>
      <c r="E164" s="7"/>
      <c r="F164" s="7"/>
    </row>
    <row r="165" spans="1:6" hidden="1" x14ac:dyDescent="0.25">
      <c r="A165" s="7" t="s">
        <v>1288</v>
      </c>
      <c r="B165" s="7" t="s">
        <v>1289</v>
      </c>
      <c r="C165" s="7"/>
      <c r="D165" s="7"/>
      <c r="E165" s="7"/>
      <c r="F165" s="7"/>
    </row>
    <row r="166" spans="1:6" hidden="1" x14ac:dyDescent="0.25">
      <c r="A166" s="7" t="s">
        <v>1290</v>
      </c>
      <c r="B166" s="7" t="s">
        <v>1291</v>
      </c>
      <c r="C166" s="7"/>
      <c r="D166" s="7"/>
      <c r="E166" s="7"/>
      <c r="F166" s="7"/>
    </row>
    <row r="167" spans="1:6" hidden="1" x14ac:dyDescent="0.25">
      <c r="A167" s="7" t="s">
        <v>1292</v>
      </c>
      <c r="B167" s="7" t="s">
        <v>1293</v>
      </c>
      <c r="C167" s="7"/>
      <c r="D167" s="7"/>
      <c r="E167" s="7"/>
      <c r="F167" s="7"/>
    </row>
    <row r="168" spans="1:6" hidden="1" x14ac:dyDescent="0.25">
      <c r="A168" s="7" t="s">
        <v>1294</v>
      </c>
      <c r="B168" s="7" t="s">
        <v>1295</v>
      </c>
      <c r="C168" s="7"/>
      <c r="D168" s="7"/>
      <c r="E168" s="7"/>
      <c r="F168" s="7"/>
    </row>
    <row r="169" spans="1:6" hidden="1" x14ac:dyDescent="0.25">
      <c r="A169" s="7" t="s">
        <v>1296</v>
      </c>
      <c r="B169" s="7" t="s">
        <v>1297</v>
      </c>
      <c r="C169" s="7"/>
      <c r="D169" s="7"/>
      <c r="E169" s="7"/>
      <c r="F169" s="7"/>
    </row>
    <row r="170" spans="1:6" hidden="1" x14ac:dyDescent="0.25">
      <c r="A170" s="7" t="s">
        <v>1298</v>
      </c>
      <c r="B170" s="7" t="s">
        <v>1299</v>
      </c>
      <c r="C170" s="7"/>
      <c r="D170" s="7"/>
      <c r="E170" s="7"/>
      <c r="F170" s="7"/>
    </row>
    <row r="171" spans="1:6" hidden="1" x14ac:dyDescent="0.25">
      <c r="A171" s="7" t="s">
        <v>1300</v>
      </c>
      <c r="B171" s="7" t="s">
        <v>1301</v>
      </c>
      <c r="C171" s="7"/>
      <c r="D171" s="7"/>
      <c r="E171" s="7"/>
      <c r="F171" s="7"/>
    </row>
    <row r="172" spans="1:6" hidden="1" x14ac:dyDescent="0.25">
      <c r="A172" s="7" t="s">
        <v>1302</v>
      </c>
      <c r="B172" s="7" t="s">
        <v>1303</v>
      </c>
      <c r="C172" s="7"/>
      <c r="D172" s="7"/>
      <c r="E172" s="7"/>
      <c r="F172" s="7"/>
    </row>
    <row r="173" spans="1:6" hidden="1" x14ac:dyDescent="0.25">
      <c r="A173" s="7" t="s">
        <v>1304</v>
      </c>
      <c r="B173" s="7" t="s">
        <v>1305</v>
      </c>
      <c r="C173" s="7"/>
      <c r="D173" s="7"/>
      <c r="E173" s="7"/>
      <c r="F173" s="7"/>
    </row>
    <row r="174" spans="1:6" hidden="1" x14ac:dyDescent="0.25">
      <c r="A174" s="7" t="s">
        <v>1306</v>
      </c>
      <c r="B174" s="7" t="s">
        <v>1307</v>
      </c>
      <c r="C174" s="7"/>
      <c r="D174" s="7"/>
      <c r="E174" s="7"/>
      <c r="F174" s="7"/>
    </row>
    <row r="175" spans="1:6" hidden="1" x14ac:dyDescent="0.25">
      <c r="A175" s="7" t="s">
        <v>1308</v>
      </c>
      <c r="B175" s="7" t="s">
        <v>1309</v>
      </c>
      <c r="C175" s="7"/>
      <c r="D175" s="7"/>
      <c r="E175" s="7"/>
      <c r="F175" s="7"/>
    </row>
    <row r="176" spans="1:6" hidden="1" x14ac:dyDescent="0.25">
      <c r="A176" s="7" t="s">
        <v>1310</v>
      </c>
      <c r="B176" s="7" t="s">
        <v>1311</v>
      </c>
      <c r="C176" s="7"/>
      <c r="D176" s="7"/>
      <c r="E176" s="7"/>
      <c r="F176" s="7"/>
    </row>
    <row r="177" spans="1:6" hidden="1" x14ac:dyDescent="0.25">
      <c r="A177" s="7" t="s">
        <v>1312</v>
      </c>
      <c r="B177" s="7" t="s">
        <v>1313</v>
      </c>
      <c r="C177" s="7"/>
      <c r="D177" s="7"/>
      <c r="E177" s="7"/>
      <c r="F177" s="7"/>
    </row>
    <row r="178" spans="1:6" hidden="1" x14ac:dyDescent="0.25">
      <c r="A178" s="7" t="s">
        <v>1314</v>
      </c>
      <c r="B178" s="7" t="s">
        <v>1315</v>
      </c>
      <c r="C178" s="7"/>
      <c r="D178" s="7"/>
      <c r="E178" s="7"/>
      <c r="F178" s="7"/>
    </row>
    <row r="179" spans="1:6" hidden="1" x14ac:dyDescent="0.25">
      <c r="A179" s="7" t="s">
        <v>1316</v>
      </c>
      <c r="B179" s="7" t="s">
        <v>1317</v>
      </c>
      <c r="C179" s="7"/>
      <c r="D179" s="7"/>
      <c r="E179" s="7"/>
      <c r="F179" s="7"/>
    </row>
    <row r="180" spans="1:6" hidden="1" x14ac:dyDescent="0.25">
      <c r="A180" s="7" t="s">
        <v>1318</v>
      </c>
      <c r="B180" s="7" t="s">
        <v>1319</v>
      </c>
      <c r="C180" s="7"/>
      <c r="D180" s="7"/>
      <c r="E180" s="7"/>
      <c r="F180" s="7"/>
    </row>
    <row r="181" spans="1:6" hidden="1" x14ac:dyDescent="0.25">
      <c r="A181" s="7" t="s">
        <v>1320</v>
      </c>
      <c r="B181" s="7" t="s">
        <v>1321</v>
      </c>
      <c r="C181" s="7"/>
      <c r="D181" s="7"/>
      <c r="E181" s="7"/>
      <c r="F181" s="7"/>
    </row>
    <row r="182" spans="1:6" hidden="1" x14ac:dyDescent="0.25">
      <c r="A182" s="7" t="s">
        <v>1322</v>
      </c>
      <c r="B182" s="7" t="s">
        <v>1323</v>
      </c>
      <c r="C182" s="7"/>
      <c r="D182" s="7"/>
      <c r="E182" s="7"/>
      <c r="F182" s="7"/>
    </row>
    <row r="183" spans="1:6" hidden="1" x14ac:dyDescent="0.25">
      <c r="A183" s="7" t="s">
        <v>1324</v>
      </c>
      <c r="B183" s="7" t="s">
        <v>1325</v>
      </c>
      <c r="C183" s="7"/>
      <c r="D183" s="7"/>
      <c r="E183" s="7"/>
      <c r="F183" s="7"/>
    </row>
    <row r="184" spans="1:6" hidden="1" x14ac:dyDescent="0.25">
      <c r="A184" s="7" t="s">
        <v>1326</v>
      </c>
      <c r="B184" s="7" t="s">
        <v>1327</v>
      </c>
      <c r="C184" s="7"/>
      <c r="D184" s="7"/>
      <c r="E184" s="7"/>
      <c r="F184" s="7"/>
    </row>
    <row r="185" spans="1:6" hidden="1" x14ac:dyDescent="0.25">
      <c r="A185" s="7" t="s">
        <v>1328</v>
      </c>
      <c r="B185" s="7" t="s">
        <v>1329</v>
      </c>
      <c r="C185" s="7"/>
      <c r="D185" s="7"/>
      <c r="E185" s="7"/>
      <c r="F185" s="7"/>
    </row>
    <row r="186" spans="1:6" hidden="1" x14ac:dyDescent="0.25">
      <c r="A186" s="7" t="s">
        <v>1330</v>
      </c>
      <c r="B186" s="7" t="s">
        <v>1331</v>
      </c>
      <c r="C186" s="7"/>
      <c r="D186" s="7"/>
      <c r="E186" s="7"/>
      <c r="F186" s="7"/>
    </row>
    <row r="187" spans="1:6" hidden="1" x14ac:dyDescent="0.25">
      <c r="A187" s="7" t="s">
        <v>1332</v>
      </c>
      <c r="B187" s="7" t="s">
        <v>1333</v>
      </c>
      <c r="C187" s="7"/>
      <c r="D187" s="7"/>
      <c r="E187" s="7"/>
      <c r="F187" s="7"/>
    </row>
    <row r="188" spans="1:6" hidden="1" x14ac:dyDescent="0.25">
      <c r="A188" s="7" t="s">
        <v>1334</v>
      </c>
      <c r="B188" s="7" t="s">
        <v>1335</v>
      </c>
      <c r="C188" s="7"/>
      <c r="D188" s="7"/>
      <c r="E188" s="7"/>
      <c r="F188" s="7"/>
    </row>
    <row r="189" spans="1:6" hidden="1" x14ac:dyDescent="0.25">
      <c r="A189" s="7" t="s">
        <v>1336</v>
      </c>
      <c r="B189" s="7" t="s">
        <v>1337</v>
      </c>
      <c r="C189" s="7"/>
      <c r="D189" s="7"/>
      <c r="E189" s="7"/>
      <c r="F189" s="7"/>
    </row>
    <row r="190" spans="1:6" hidden="1" x14ac:dyDescent="0.25">
      <c r="A190" s="7" t="s">
        <v>1338</v>
      </c>
      <c r="B190" s="7" t="s">
        <v>1339</v>
      </c>
      <c r="C190" s="7"/>
      <c r="D190" s="7"/>
      <c r="E190" s="7"/>
      <c r="F190" s="7"/>
    </row>
    <row r="191" spans="1:6" hidden="1" x14ac:dyDescent="0.25">
      <c r="A191" s="7" t="s">
        <v>1340</v>
      </c>
      <c r="B191" s="7" t="s">
        <v>1341</v>
      </c>
      <c r="C191" s="7"/>
      <c r="D191" s="7"/>
      <c r="E191" s="7"/>
      <c r="F191" s="7"/>
    </row>
    <row r="192" spans="1:6" hidden="1" x14ac:dyDescent="0.25">
      <c r="A192" s="7" t="s">
        <v>1342</v>
      </c>
      <c r="B192" s="7" t="s">
        <v>1343</v>
      </c>
      <c r="C192" s="7"/>
      <c r="D192" s="7"/>
      <c r="E192" s="7"/>
      <c r="F192" s="7"/>
    </row>
    <row r="193" spans="1:6" hidden="1" x14ac:dyDescent="0.25">
      <c r="A193" s="7" t="s">
        <v>1344</v>
      </c>
      <c r="B193" s="7" t="s">
        <v>1345</v>
      </c>
      <c r="C193" s="7"/>
      <c r="D193" s="7"/>
      <c r="E193" s="7"/>
      <c r="F193" s="7"/>
    </row>
    <row r="194" spans="1:6" hidden="1" x14ac:dyDescent="0.25">
      <c r="A194" s="7" t="s">
        <v>1346</v>
      </c>
      <c r="B194" s="7" t="s">
        <v>1347</v>
      </c>
      <c r="C194" s="7"/>
      <c r="D194" s="7"/>
      <c r="E194" s="7"/>
      <c r="F194" s="7"/>
    </row>
    <row r="195" spans="1:6" hidden="1" x14ac:dyDescent="0.25">
      <c r="A195" s="7" t="s">
        <v>1348</v>
      </c>
      <c r="B195" s="7" t="s">
        <v>1349</v>
      </c>
      <c r="C195" s="7"/>
      <c r="D195" s="7"/>
      <c r="E195" s="7"/>
      <c r="F195" s="7"/>
    </row>
    <row r="196" spans="1:6" hidden="1" x14ac:dyDescent="0.25">
      <c r="A196" s="7" t="s">
        <v>1350</v>
      </c>
      <c r="B196" s="7" t="s">
        <v>1351</v>
      </c>
      <c r="C196" s="7"/>
      <c r="D196" s="7"/>
      <c r="E196" s="7"/>
      <c r="F196" s="7"/>
    </row>
    <row r="197" spans="1:6" hidden="1" x14ac:dyDescent="0.25">
      <c r="A197" s="7" t="s">
        <v>1352</v>
      </c>
      <c r="B197" s="7" t="s">
        <v>1353</v>
      </c>
      <c r="C197" s="7"/>
      <c r="D197" s="7"/>
      <c r="E197" s="7"/>
      <c r="F197" s="7"/>
    </row>
    <row r="198" spans="1:6" hidden="1" x14ac:dyDescent="0.25">
      <c r="A198" s="7" t="s">
        <v>1354</v>
      </c>
      <c r="B198" s="7" t="s">
        <v>1355</v>
      </c>
      <c r="C198" s="7"/>
      <c r="D198" s="7"/>
      <c r="E198" s="7"/>
      <c r="F198" s="7"/>
    </row>
    <row r="199" spans="1:6" hidden="1" x14ac:dyDescent="0.25">
      <c r="A199" s="7" t="s">
        <v>1356</v>
      </c>
      <c r="B199" s="7" t="s">
        <v>1357</v>
      </c>
      <c r="C199" s="7"/>
      <c r="D199" s="7"/>
      <c r="E199" s="7"/>
      <c r="F199" s="7"/>
    </row>
    <row r="200" spans="1:6" hidden="1" x14ac:dyDescent="0.25">
      <c r="A200" s="7" t="s">
        <v>1358</v>
      </c>
      <c r="B200" s="7" t="s">
        <v>1359</v>
      </c>
      <c r="C200" s="7"/>
      <c r="D200" s="7"/>
      <c r="E200" s="7"/>
      <c r="F200" s="7"/>
    </row>
    <row r="201" spans="1:6" hidden="1" x14ac:dyDescent="0.25">
      <c r="A201" s="7" t="s">
        <v>1360</v>
      </c>
      <c r="B201" s="7" t="s">
        <v>1361</v>
      </c>
      <c r="C201" s="7"/>
      <c r="D201" s="7"/>
      <c r="E201" s="7"/>
      <c r="F201" s="7"/>
    </row>
    <row r="202" spans="1:6" hidden="1" x14ac:dyDescent="0.25">
      <c r="A202" s="7" t="s">
        <v>1362</v>
      </c>
      <c r="B202" s="7" t="s">
        <v>1363</v>
      </c>
      <c r="C202" s="7"/>
      <c r="D202" s="7"/>
      <c r="E202" s="7"/>
      <c r="F202" s="7"/>
    </row>
    <row r="203" spans="1:6" hidden="1" x14ac:dyDescent="0.25">
      <c r="A203" s="7" t="s">
        <v>1364</v>
      </c>
      <c r="B203" s="7" t="s">
        <v>1365</v>
      </c>
      <c r="C203" s="7"/>
      <c r="D203" s="7"/>
      <c r="E203" s="7"/>
      <c r="F203" s="7"/>
    </row>
    <row r="204" spans="1:6" hidden="1" x14ac:dyDescent="0.25">
      <c r="A204" s="7" t="s">
        <v>1366</v>
      </c>
      <c r="B204" s="7" t="s">
        <v>1367</v>
      </c>
      <c r="C204" s="7"/>
      <c r="D204" s="7"/>
      <c r="E204" s="7"/>
      <c r="F204" s="7"/>
    </row>
    <row r="205" spans="1:6" hidden="1" x14ac:dyDescent="0.25">
      <c r="A205" s="7" t="s">
        <v>1368</v>
      </c>
      <c r="B205" s="7" t="s">
        <v>1369</v>
      </c>
      <c r="C205" s="7"/>
      <c r="D205" s="7"/>
      <c r="E205" s="7"/>
      <c r="F205" s="7"/>
    </row>
    <row r="206" spans="1:6" hidden="1" x14ac:dyDescent="0.25">
      <c r="A206" s="7" t="s">
        <v>1370</v>
      </c>
      <c r="B206" s="7" t="s">
        <v>1371</v>
      </c>
      <c r="C206" s="7"/>
      <c r="D206" s="7"/>
      <c r="E206" s="7"/>
      <c r="F206" s="7"/>
    </row>
    <row r="207" spans="1:6" hidden="1" x14ac:dyDescent="0.25">
      <c r="A207" s="7" t="s">
        <v>1372</v>
      </c>
      <c r="B207" s="7" t="s">
        <v>1373</v>
      </c>
      <c r="C207" s="7"/>
      <c r="D207" s="7"/>
      <c r="E207" s="7"/>
      <c r="F207" s="7"/>
    </row>
    <row r="208" spans="1:6" hidden="1" x14ac:dyDescent="0.25">
      <c r="A208" s="7" t="s">
        <v>1374</v>
      </c>
      <c r="B208" s="7" t="s">
        <v>1375</v>
      </c>
      <c r="C208" s="7"/>
      <c r="D208" s="7"/>
      <c r="E208" s="7"/>
      <c r="F208" s="7"/>
    </row>
    <row r="209" spans="1:6" hidden="1" x14ac:dyDescent="0.25">
      <c r="A209" s="7" t="s">
        <v>1376</v>
      </c>
      <c r="B209" s="7" t="s">
        <v>1377</v>
      </c>
      <c r="C209" s="7"/>
      <c r="D209" s="7"/>
      <c r="E209" s="7"/>
      <c r="F209" s="7"/>
    </row>
    <row r="210" spans="1:6" hidden="1" x14ac:dyDescent="0.25">
      <c r="A210" s="7" t="s">
        <v>1378</v>
      </c>
      <c r="B210" s="7" t="s">
        <v>1379</v>
      </c>
      <c r="C210" s="7"/>
      <c r="D210" s="7"/>
      <c r="E210" s="7"/>
      <c r="F210" s="7"/>
    </row>
    <row r="211" spans="1:6" hidden="1" x14ac:dyDescent="0.25">
      <c r="A211" s="7" t="s">
        <v>1380</v>
      </c>
      <c r="B211" s="7" t="s">
        <v>1381</v>
      </c>
      <c r="C211" s="7"/>
      <c r="D211" s="7"/>
      <c r="E211" s="7"/>
      <c r="F211" s="7"/>
    </row>
    <row r="212" spans="1:6" hidden="1" x14ac:dyDescent="0.25">
      <c r="A212" s="7" t="s">
        <v>1382</v>
      </c>
      <c r="B212" s="7" t="s">
        <v>1383</v>
      </c>
      <c r="C212" s="7"/>
      <c r="D212" s="7"/>
      <c r="E212" s="7"/>
      <c r="F212" s="7"/>
    </row>
    <row r="213" spans="1:6" hidden="1" x14ac:dyDescent="0.25">
      <c r="A213" s="7" t="s">
        <v>1384</v>
      </c>
      <c r="B213" s="7" t="s">
        <v>1385</v>
      </c>
      <c r="C213" s="7"/>
      <c r="D213" s="7"/>
      <c r="E213" s="7"/>
      <c r="F213" s="7"/>
    </row>
    <row r="214" spans="1:6" hidden="1" x14ac:dyDescent="0.25">
      <c r="A214" s="7" t="s">
        <v>1386</v>
      </c>
      <c r="B214" s="7" t="s">
        <v>1387</v>
      </c>
      <c r="C214" s="7"/>
      <c r="D214" s="7"/>
      <c r="E214" s="7"/>
      <c r="F214" s="7"/>
    </row>
    <row r="215" spans="1:6" hidden="1" x14ac:dyDescent="0.25">
      <c r="A215" s="7" t="s">
        <v>1388</v>
      </c>
      <c r="B215" s="7" t="s">
        <v>1389</v>
      </c>
      <c r="C215" s="7"/>
      <c r="D215" s="7"/>
      <c r="E215" s="7"/>
      <c r="F215" s="7"/>
    </row>
    <row r="216" spans="1:6" hidden="1" x14ac:dyDescent="0.25">
      <c r="A216" s="7" t="s">
        <v>1390</v>
      </c>
      <c r="B216" s="7" t="s">
        <v>1391</v>
      </c>
      <c r="C216" s="7"/>
      <c r="D216" s="7"/>
      <c r="E216" s="7"/>
      <c r="F216" s="7"/>
    </row>
    <row r="217" spans="1:6" hidden="1" x14ac:dyDescent="0.25">
      <c r="A217" s="7" t="s">
        <v>1392</v>
      </c>
      <c r="B217" s="7" t="s">
        <v>1393</v>
      </c>
      <c r="C217" s="7"/>
      <c r="D217" s="7"/>
      <c r="E217" s="7"/>
      <c r="F217" s="7"/>
    </row>
    <row r="218" spans="1:6" hidden="1" x14ac:dyDescent="0.25">
      <c r="A218" s="7" t="s">
        <v>1394</v>
      </c>
      <c r="B218" s="7" t="s">
        <v>1395</v>
      </c>
      <c r="C218" s="7"/>
      <c r="D218" s="7"/>
      <c r="E218" s="7"/>
      <c r="F218" s="7"/>
    </row>
    <row r="219" spans="1:6" hidden="1" x14ac:dyDescent="0.25">
      <c r="A219" s="7" t="s">
        <v>1396</v>
      </c>
      <c r="B219" s="7" t="s">
        <v>1397</v>
      </c>
      <c r="C219" s="7"/>
      <c r="D219" s="7"/>
      <c r="E219" s="7"/>
      <c r="F219" s="7"/>
    </row>
    <row r="220" spans="1:6" hidden="1" x14ac:dyDescent="0.25">
      <c r="A220" s="7" t="s">
        <v>1398</v>
      </c>
      <c r="B220" s="7" t="s">
        <v>1399</v>
      </c>
      <c r="C220" s="7"/>
      <c r="D220" s="7"/>
      <c r="E220" s="7"/>
      <c r="F220" s="7"/>
    </row>
    <row r="221" spans="1:6" hidden="1" x14ac:dyDescent="0.25">
      <c r="A221" s="7" t="s">
        <v>1400</v>
      </c>
      <c r="B221" s="7" t="s">
        <v>1401</v>
      </c>
      <c r="C221" s="7"/>
      <c r="D221" s="7"/>
      <c r="E221" s="7"/>
      <c r="F221" s="7"/>
    </row>
    <row r="222" spans="1:6" hidden="1" x14ac:dyDescent="0.25">
      <c r="A222" s="7" t="s">
        <v>1402</v>
      </c>
      <c r="B222" s="7" t="s">
        <v>1403</v>
      </c>
      <c r="C222" s="7"/>
      <c r="D222" s="7"/>
      <c r="E222" s="7"/>
      <c r="F222" s="7"/>
    </row>
    <row r="223" spans="1:6" hidden="1" x14ac:dyDescent="0.25">
      <c r="A223" s="7" t="s">
        <v>1404</v>
      </c>
      <c r="B223" s="7" t="s">
        <v>1405</v>
      </c>
      <c r="C223" s="7"/>
      <c r="D223" s="7"/>
      <c r="E223" s="7"/>
      <c r="F223" s="7"/>
    </row>
    <row r="224" spans="1:6" hidden="1" x14ac:dyDescent="0.25">
      <c r="A224" s="7" t="s">
        <v>1406</v>
      </c>
      <c r="B224" s="7" t="s">
        <v>1407</v>
      </c>
      <c r="C224" s="7"/>
      <c r="D224" s="7"/>
      <c r="E224" s="7"/>
      <c r="F224" s="7"/>
    </row>
    <row r="225" spans="1:6" hidden="1" x14ac:dyDescent="0.25">
      <c r="A225" s="7" t="s">
        <v>1408</v>
      </c>
      <c r="B225" s="7" t="s">
        <v>1409</v>
      </c>
      <c r="C225" s="7"/>
      <c r="D225" s="7"/>
      <c r="E225" s="7"/>
      <c r="F225" s="7"/>
    </row>
    <row r="226" spans="1:6" hidden="1" x14ac:dyDescent="0.25">
      <c r="A226" s="7" t="s">
        <v>1410</v>
      </c>
      <c r="B226" s="7" t="s">
        <v>1411</v>
      </c>
      <c r="C226" s="7"/>
      <c r="D226" s="7"/>
      <c r="E226" s="7"/>
      <c r="F226" s="7"/>
    </row>
    <row r="227" spans="1:6" hidden="1" x14ac:dyDescent="0.25">
      <c r="A227" s="7" t="s">
        <v>1412</v>
      </c>
      <c r="B227" s="7" t="s">
        <v>1413</v>
      </c>
      <c r="C227" s="7"/>
      <c r="D227" s="7"/>
      <c r="E227" s="7"/>
      <c r="F227" s="7"/>
    </row>
    <row r="228" spans="1:6" hidden="1" x14ac:dyDescent="0.25">
      <c r="A228" s="7" t="s">
        <v>1414</v>
      </c>
      <c r="B228" s="7" t="s">
        <v>1415</v>
      </c>
      <c r="C228" s="7"/>
      <c r="D228" s="7"/>
      <c r="E228" s="7"/>
      <c r="F228" s="7"/>
    </row>
    <row r="229" spans="1:6" hidden="1" x14ac:dyDescent="0.25">
      <c r="A229" s="7" t="s">
        <v>1416</v>
      </c>
      <c r="B229" s="7" t="s">
        <v>1417</v>
      </c>
      <c r="C229" s="7"/>
      <c r="D229" s="7"/>
      <c r="E229" s="7"/>
      <c r="F229" s="7"/>
    </row>
    <row r="230" spans="1:6" hidden="1" x14ac:dyDescent="0.25">
      <c r="A230" s="7" t="s">
        <v>1418</v>
      </c>
      <c r="B230" s="7" t="s">
        <v>1419</v>
      </c>
      <c r="C230" s="7"/>
      <c r="D230" s="7"/>
      <c r="E230" s="7"/>
      <c r="F230" s="7"/>
    </row>
    <row r="231" spans="1:6" hidden="1" x14ac:dyDescent="0.25">
      <c r="A231" s="7" t="s">
        <v>1420</v>
      </c>
      <c r="B231" s="7" t="s">
        <v>1421</v>
      </c>
      <c r="C231" s="7"/>
      <c r="D231" s="7"/>
      <c r="E231" s="7"/>
      <c r="F231" s="7"/>
    </row>
    <row r="232" spans="1:6" hidden="1" x14ac:dyDescent="0.25">
      <c r="A232" s="7" t="s">
        <v>1422</v>
      </c>
      <c r="B232" s="7" t="s">
        <v>1423</v>
      </c>
      <c r="C232" s="7"/>
      <c r="D232" s="7"/>
      <c r="E232" s="7"/>
      <c r="F232" s="7"/>
    </row>
    <row r="233" spans="1:6" hidden="1" x14ac:dyDescent="0.25">
      <c r="A233" s="7" t="s">
        <v>1424</v>
      </c>
      <c r="B233" s="7" t="s">
        <v>1425</v>
      </c>
      <c r="C233" s="7"/>
      <c r="D233" s="7"/>
      <c r="E233" s="7"/>
      <c r="F233" s="7"/>
    </row>
    <row r="234" spans="1:6" hidden="1" x14ac:dyDescent="0.25">
      <c r="A234" s="7" t="s">
        <v>1426</v>
      </c>
      <c r="B234" s="7" t="s">
        <v>1427</v>
      </c>
      <c r="C234" s="7"/>
      <c r="D234" s="7"/>
      <c r="E234" s="7"/>
      <c r="F234" s="7"/>
    </row>
    <row r="235" spans="1:6" hidden="1" x14ac:dyDescent="0.25">
      <c r="A235" s="7" t="s">
        <v>1428</v>
      </c>
      <c r="B235" s="7" t="s">
        <v>1429</v>
      </c>
      <c r="C235" s="7"/>
      <c r="D235" s="7"/>
      <c r="E235" s="7"/>
      <c r="F235" s="7"/>
    </row>
    <row r="236" spans="1:6" hidden="1" x14ac:dyDescent="0.25">
      <c r="A236" s="7" t="s">
        <v>1430</v>
      </c>
      <c r="B236" s="7" t="s">
        <v>1431</v>
      </c>
      <c r="C236" s="7"/>
      <c r="D236" s="7"/>
      <c r="E236" s="7"/>
      <c r="F236" s="7"/>
    </row>
    <row r="237" spans="1:6" hidden="1" x14ac:dyDescent="0.25">
      <c r="A237" s="7" t="s">
        <v>1432</v>
      </c>
      <c r="B237" s="7" t="s">
        <v>1433</v>
      </c>
      <c r="C237" s="7"/>
      <c r="D237" s="7"/>
      <c r="E237" s="7"/>
      <c r="F237" s="7"/>
    </row>
    <row r="238" spans="1:6" hidden="1" x14ac:dyDescent="0.25">
      <c r="A238" s="7" t="s">
        <v>1434</v>
      </c>
      <c r="B238" s="7" t="s">
        <v>1435</v>
      </c>
      <c r="C238" s="7"/>
      <c r="D238" s="7"/>
      <c r="E238" s="7"/>
      <c r="F238" s="7"/>
    </row>
    <row r="239" spans="1:6" hidden="1" x14ac:dyDescent="0.25">
      <c r="A239" s="7" t="s">
        <v>1436</v>
      </c>
      <c r="B239" s="7" t="s">
        <v>1437</v>
      </c>
      <c r="C239" s="7"/>
      <c r="D239" s="7"/>
      <c r="E239" s="7"/>
      <c r="F239" s="7"/>
    </row>
    <row r="240" spans="1:6" hidden="1" x14ac:dyDescent="0.25">
      <c r="A240" s="7" t="s">
        <v>1438</v>
      </c>
      <c r="B240" s="7" t="s">
        <v>1439</v>
      </c>
      <c r="C240" s="7"/>
      <c r="D240" s="7"/>
      <c r="E240" s="7"/>
      <c r="F240" s="7"/>
    </row>
    <row r="241" spans="1:6" hidden="1" x14ac:dyDescent="0.25">
      <c r="A241" s="7" t="s">
        <v>1440</v>
      </c>
      <c r="B241" s="7" t="s">
        <v>1441</v>
      </c>
      <c r="C241" s="7"/>
      <c r="D241" s="7"/>
      <c r="E241" s="7"/>
      <c r="F241" s="7"/>
    </row>
    <row r="242" spans="1:6" hidden="1" x14ac:dyDescent="0.25">
      <c r="A242" s="7" t="s">
        <v>1442</v>
      </c>
      <c r="B242" s="7" t="s">
        <v>1443</v>
      </c>
      <c r="C242" s="7"/>
      <c r="D242" s="7"/>
      <c r="E242" s="7"/>
      <c r="F242" s="7"/>
    </row>
    <row r="243" spans="1:6" hidden="1" x14ac:dyDescent="0.25">
      <c r="A243" s="7" t="s">
        <v>1444</v>
      </c>
      <c r="B243" s="7" t="s">
        <v>1445</v>
      </c>
      <c r="C243" s="7"/>
      <c r="D243" s="7"/>
      <c r="E243" s="7"/>
      <c r="F243" s="7"/>
    </row>
    <row r="244" spans="1:6" hidden="1" x14ac:dyDescent="0.25">
      <c r="A244" s="7" t="s">
        <v>1446</v>
      </c>
      <c r="B244" s="7" t="s">
        <v>1447</v>
      </c>
      <c r="C244" s="7"/>
      <c r="D244" s="7"/>
      <c r="E244" s="7"/>
      <c r="F244" s="7"/>
    </row>
    <row r="245" spans="1:6" hidden="1" x14ac:dyDescent="0.25">
      <c r="A245" s="7" t="s">
        <v>1448</v>
      </c>
      <c r="B245" s="7" t="s">
        <v>1449</v>
      </c>
      <c r="C245" s="7"/>
      <c r="D245" s="7"/>
      <c r="E245" s="7"/>
      <c r="F245" s="7"/>
    </row>
    <row r="246" spans="1:6" hidden="1" x14ac:dyDescent="0.25">
      <c r="A246" s="7" t="s">
        <v>1450</v>
      </c>
      <c r="B246" s="7" t="s">
        <v>1451</v>
      </c>
      <c r="C246" s="7"/>
      <c r="D246" s="7"/>
      <c r="E246" s="7"/>
      <c r="F246" s="7"/>
    </row>
    <row r="247" spans="1:6" hidden="1" x14ac:dyDescent="0.25">
      <c r="A247" s="7" t="s">
        <v>1452</v>
      </c>
      <c r="B247" s="7" t="s">
        <v>1453</v>
      </c>
      <c r="C247" s="7"/>
      <c r="D247" s="7"/>
      <c r="E247" s="7"/>
      <c r="F247" s="7"/>
    </row>
    <row r="248" spans="1:6" hidden="1" x14ac:dyDescent="0.25">
      <c r="A248" s="7" t="s">
        <v>1454</v>
      </c>
      <c r="B248" s="7" t="s">
        <v>1455</v>
      </c>
      <c r="C248" s="7"/>
      <c r="D248" s="7"/>
      <c r="E248" s="7"/>
      <c r="F248" s="7"/>
    </row>
    <row r="249" spans="1:6" hidden="1" x14ac:dyDescent="0.25">
      <c r="A249" s="7" t="s">
        <v>1456</v>
      </c>
      <c r="B249" s="7" t="s">
        <v>1457</v>
      </c>
      <c r="C249" s="7"/>
      <c r="D249" s="7"/>
      <c r="E249" s="7"/>
      <c r="F249" s="7"/>
    </row>
    <row r="250" spans="1:6" hidden="1" x14ac:dyDescent="0.25">
      <c r="A250" s="7" t="s">
        <v>1458</v>
      </c>
      <c r="B250" s="7" t="s">
        <v>1459</v>
      </c>
      <c r="C250" s="7"/>
      <c r="D250" s="7"/>
      <c r="E250" s="7"/>
      <c r="F250" s="7"/>
    </row>
    <row r="251" spans="1:6" hidden="1" x14ac:dyDescent="0.25">
      <c r="A251" s="7" t="s">
        <v>1460</v>
      </c>
      <c r="B251" s="7" t="s">
        <v>1461</v>
      </c>
      <c r="C251" s="7"/>
      <c r="D251" s="7"/>
      <c r="E251" s="7"/>
      <c r="F251" s="7"/>
    </row>
    <row r="252" spans="1:6" hidden="1" x14ac:dyDescent="0.25">
      <c r="A252" s="7" t="s">
        <v>1462</v>
      </c>
      <c r="B252" s="7" t="s">
        <v>1463</v>
      </c>
      <c r="C252" s="7"/>
      <c r="D252" s="7"/>
      <c r="E252" s="7"/>
      <c r="F252" s="7"/>
    </row>
    <row r="253" spans="1:6" hidden="1" x14ac:dyDescent="0.25">
      <c r="A253" s="7" t="s">
        <v>1464</v>
      </c>
      <c r="B253" s="7" t="s">
        <v>1465</v>
      </c>
      <c r="C253" s="7"/>
      <c r="D253" s="7"/>
      <c r="E253" s="7"/>
      <c r="F253" s="7"/>
    </row>
    <row r="254" spans="1:6" hidden="1" x14ac:dyDescent="0.25">
      <c r="A254" s="7" t="s">
        <v>1466</v>
      </c>
      <c r="B254" s="7" t="s">
        <v>1467</v>
      </c>
      <c r="C254" s="7"/>
      <c r="D254" s="7"/>
      <c r="E254" s="7"/>
      <c r="F254" s="7"/>
    </row>
    <row r="255" spans="1:6" hidden="1" x14ac:dyDescent="0.25">
      <c r="A255" s="7" t="s">
        <v>1468</v>
      </c>
      <c r="B255" s="7" t="s">
        <v>1469</v>
      </c>
      <c r="C255" s="7"/>
      <c r="D255" s="7"/>
      <c r="E255" s="7"/>
      <c r="F255" s="7"/>
    </row>
    <row r="256" spans="1:6" hidden="1" x14ac:dyDescent="0.25">
      <c r="A256" s="7" t="s">
        <v>1470</v>
      </c>
      <c r="B256" s="7" t="s">
        <v>1471</v>
      </c>
      <c r="C256" s="7"/>
      <c r="D256" s="7"/>
      <c r="E256" s="7"/>
      <c r="F256" s="7"/>
    </row>
    <row r="257" spans="1:6" hidden="1" x14ac:dyDescent="0.25">
      <c r="A257" s="7" t="s">
        <v>1472</v>
      </c>
      <c r="B257" s="7" t="s">
        <v>1473</v>
      </c>
      <c r="C257" s="7"/>
      <c r="D257" s="7"/>
      <c r="E257" s="7"/>
      <c r="F257" s="7"/>
    </row>
    <row r="258" spans="1:6" hidden="1" x14ac:dyDescent="0.25">
      <c r="A258" s="7" t="s">
        <v>1474</v>
      </c>
      <c r="B258" s="7" t="s">
        <v>1475</v>
      </c>
      <c r="C258" s="7"/>
      <c r="D258" s="7"/>
      <c r="E258" s="7"/>
      <c r="F258" s="7"/>
    </row>
    <row r="259" spans="1:6" hidden="1" x14ac:dyDescent="0.25">
      <c r="A259" s="7" t="s">
        <v>1476</v>
      </c>
      <c r="B259" s="7" t="s">
        <v>1477</v>
      </c>
      <c r="C259" s="7"/>
      <c r="D259" s="7"/>
      <c r="E259" s="7"/>
      <c r="F259" s="7"/>
    </row>
    <row r="260" spans="1:6" hidden="1" x14ac:dyDescent="0.25">
      <c r="A260" s="7" t="s">
        <v>1478</v>
      </c>
      <c r="B260" s="7" t="s">
        <v>1479</v>
      </c>
      <c r="C260" s="7"/>
      <c r="D260" s="7"/>
      <c r="E260" s="7"/>
      <c r="F260" s="7"/>
    </row>
    <row r="261" spans="1:6" hidden="1" x14ac:dyDescent="0.25">
      <c r="A261" s="7" t="s">
        <v>1480</v>
      </c>
      <c r="B261" s="7" t="s">
        <v>1481</v>
      </c>
      <c r="C261" s="7"/>
      <c r="D261" s="7"/>
      <c r="E261" s="7"/>
      <c r="F261" s="7"/>
    </row>
    <row r="262" spans="1:6" hidden="1" x14ac:dyDescent="0.25">
      <c r="A262" s="7" t="s">
        <v>1482</v>
      </c>
      <c r="B262" s="7" t="s">
        <v>1483</v>
      </c>
      <c r="C262" s="7"/>
      <c r="D262" s="7"/>
      <c r="E262" s="7"/>
      <c r="F262" s="7"/>
    </row>
    <row r="263" spans="1:6" hidden="1" x14ac:dyDescent="0.25">
      <c r="A263" s="7" t="s">
        <v>1484</v>
      </c>
      <c r="B263" s="7" t="s">
        <v>1485</v>
      </c>
      <c r="C263" s="7"/>
      <c r="D263" s="7"/>
      <c r="E263" s="7"/>
      <c r="F263" s="7"/>
    </row>
    <row r="264" spans="1:6" hidden="1" x14ac:dyDescent="0.25">
      <c r="A264" s="7" t="s">
        <v>1486</v>
      </c>
      <c r="B264" s="7" t="s">
        <v>1487</v>
      </c>
      <c r="C264" s="7"/>
      <c r="D264" s="7"/>
      <c r="E264" s="7"/>
      <c r="F264" s="7"/>
    </row>
    <row r="265" spans="1:6" hidden="1" x14ac:dyDescent="0.25">
      <c r="A265" s="7" t="s">
        <v>1488</v>
      </c>
      <c r="B265" s="7" t="s">
        <v>1489</v>
      </c>
      <c r="C265" s="7"/>
      <c r="D265" s="7"/>
      <c r="E265" s="7"/>
      <c r="F265" s="7"/>
    </row>
    <row r="266" spans="1:6" hidden="1" x14ac:dyDescent="0.25">
      <c r="A266" s="7" t="s">
        <v>1490</v>
      </c>
      <c r="B266" s="7" t="s">
        <v>1491</v>
      </c>
      <c r="C266" s="7"/>
      <c r="D266" s="7"/>
      <c r="E266" s="7"/>
      <c r="F266" s="7"/>
    </row>
    <row r="267" spans="1:6" ht="22.5" hidden="1" x14ac:dyDescent="0.25">
      <c r="A267" s="7" t="s">
        <v>1492</v>
      </c>
      <c r="B267" s="7" t="s">
        <v>1493</v>
      </c>
      <c r="C267" s="7"/>
      <c r="D267" s="7"/>
      <c r="E267" s="7"/>
      <c r="F267" s="7"/>
    </row>
    <row r="268" spans="1:6" ht="22.5" hidden="1" x14ac:dyDescent="0.25">
      <c r="A268" s="7" t="s">
        <v>1494</v>
      </c>
      <c r="B268" s="7" t="s">
        <v>1495</v>
      </c>
      <c r="C268" s="7"/>
      <c r="D268" s="7"/>
      <c r="E268" s="7"/>
      <c r="F268" s="7"/>
    </row>
    <row r="269" spans="1:6" ht="22.5" hidden="1" x14ac:dyDescent="0.25">
      <c r="A269" s="7" t="s">
        <v>1496</v>
      </c>
      <c r="B269" s="7" t="s">
        <v>1497</v>
      </c>
      <c r="C269" s="7"/>
      <c r="D269" s="7"/>
      <c r="E269" s="7"/>
      <c r="F269" s="7"/>
    </row>
    <row r="270" spans="1:6" ht="22.5" hidden="1" x14ac:dyDescent="0.25">
      <c r="A270" s="7" t="s">
        <v>1498</v>
      </c>
      <c r="B270" s="7" t="s">
        <v>1499</v>
      </c>
      <c r="C270" s="7"/>
      <c r="D270" s="7"/>
      <c r="E270" s="7"/>
      <c r="F270" s="7"/>
    </row>
    <row r="271" spans="1:6" ht="22.5" hidden="1" x14ac:dyDescent="0.25">
      <c r="A271" s="7" t="s">
        <v>1500</v>
      </c>
      <c r="B271" s="7" t="s">
        <v>1501</v>
      </c>
      <c r="C271" s="7"/>
      <c r="D271" s="7"/>
      <c r="E271" s="7"/>
      <c r="F271" s="7"/>
    </row>
    <row r="272" spans="1:6" hidden="1" x14ac:dyDescent="0.25">
      <c r="A272" s="7" t="s">
        <v>1502</v>
      </c>
      <c r="B272" s="7" t="s">
        <v>1503</v>
      </c>
      <c r="C272" s="7"/>
      <c r="D272" s="7"/>
      <c r="E272" s="7"/>
      <c r="F272" s="7"/>
    </row>
    <row r="273" spans="1:6" hidden="1" x14ac:dyDescent="0.25">
      <c r="A273" s="7" t="s">
        <v>1504</v>
      </c>
      <c r="B273" s="7" t="s">
        <v>1505</v>
      </c>
      <c r="C273" s="7"/>
      <c r="D273" s="7"/>
      <c r="E273" s="7"/>
      <c r="F273" s="7"/>
    </row>
    <row r="274" spans="1:6" hidden="1" x14ac:dyDescent="0.25">
      <c r="A274" s="7" t="s">
        <v>1506</v>
      </c>
      <c r="B274" s="7" t="s">
        <v>1507</v>
      </c>
      <c r="C274" s="7"/>
      <c r="D274" s="7"/>
      <c r="E274" s="7"/>
      <c r="F274" s="7"/>
    </row>
    <row r="275" spans="1:6" hidden="1" x14ac:dyDescent="0.25">
      <c r="A275" s="7" t="s">
        <v>1508</v>
      </c>
      <c r="B275" s="7" t="s">
        <v>1509</v>
      </c>
      <c r="C275" s="7"/>
      <c r="D275" s="7"/>
      <c r="E275" s="7"/>
      <c r="F275" s="7"/>
    </row>
    <row r="276" spans="1:6" hidden="1" x14ac:dyDescent="0.25">
      <c r="A276" s="7" t="s">
        <v>1510</v>
      </c>
      <c r="B276" s="7" t="s">
        <v>1511</v>
      </c>
      <c r="C276" s="7"/>
      <c r="D276" s="7"/>
      <c r="E276" s="7"/>
      <c r="F276" s="7"/>
    </row>
    <row r="277" spans="1:6" hidden="1" x14ac:dyDescent="0.25">
      <c r="A277" s="7" t="s">
        <v>1512</v>
      </c>
      <c r="B277" s="7" t="s">
        <v>1513</v>
      </c>
      <c r="C277" s="7"/>
      <c r="D277" s="7"/>
      <c r="E277" s="7"/>
      <c r="F277" s="7"/>
    </row>
    <row r="278" spans="1:6" hidden="1" x14ac:dyDescent="0.25">
      <c r="A278" s="7" t="s">
        <v>1514</v>
      </c>
      <c r="B278" s="7" t="s">
        <v>1515</v>
      </c>
      <c r="C278" s="7"/>
      <c r="D278" s="7"/>
      <c r="E278" s="7"/>
      <c r="F278" s="7"/>
    </row>
    <row r="279" spans="1:6" hidden="1" x14ac:dyDescent="0.25">
      <c r="A279" s="7" t="s">
        <v>1516</v>
      </c>
      <c r="B279" s="7" t="s">
        <v>1517</v>
      </c>
      <c r="C279" s="7"/>
      <c r="D279" s="7"/>
      <c r="E279" s="7"/>
      <c r="F279" s="7"/>
    </row>
    <row r="280" spans="1:6" hidden="1" x14ac:dyDescent="0.25">
      <c r="A280" s="7" t="s">
        <v>1518</v>
      </c>
      <c r="B280" s="7" t="s">
        <v>1519</v>
      </c>
      <c r="C280" s="7"/>
      <c r="D280" s="7"/>
      <c r="E280" s="7"/>
      <c r="F280" s="7"/>
    </row>
    <row r="281" spans="1:6" hidden="1" x14ac:dyDescent="0.25">
      <c r="A281" s="7" t="s">
        <v>1520</v>
      </c>
      <c r="B281" s="7" t="s">
        <v>1521</v>
      </c>
      <c r="C281" s="7"/>
      <c r="D281" s="7"/>
      <c r="E281" s="7"/>
      <c r="F281" s="7"/>
    </row>
    <row r="282" spans="1:6" hidden="1" x14ac:dyDescent="0.25">
      <c r="A282" s="7" t="s">
        <v>1522</v>
      </c>
      <c r="B282" s="7" t="s">
        <v>1523</v>
      </c>
      <c r="C282" s="7"/>
      <c r="D282" s="7"/>
      <c r="E282" s="7"/>
      <c r="F282" s="7"/>
    </row>
    <row r="283" spans="1:6" hidden="1" x14ac:dyDescent="0.25">
      <c r="A283" s="7" t="s">
        <v>1524</v>
      </c>
      <c r="B283" s="7" t="s">
        <v>1525</v>
      </c>
      <c r="C283" s="7"/>
      <c r="D283" s="7"/>
      <c r="E283" s="7"/>
      <c r="F283" s="7"/>
    </row>
    <row r="284" spans="1:6" hidden="1" x14ac:dyDescent="0.25">
      <c r="A284" s="7" t="s">
        <v>1526</v>
      </c>
      <c r="B284" s="7" t="s">
        <v>1527</v>
      </c>
      <c r="C284" s="7"/>
      <c r="D284" s="7"/>
      <c r="E284" s="7"/>
      <c r="F284" s="7"/>
    </row>
    <row r="285" spans="1:6" hidden="1" x14ac:dyDescent="0.25">
      <c r="A285" s="7" t="s">
        <v>1528</v>
      </c>
      <c r="B285" s="7" t="s">
        <v>1529</v>
      </c>
      <c r="C285" s="7"/>
      <c r="D285" s="7"/>
      <c r="E285" s="7"/>
      <c r="F285" s="7"/>
    </row>
    <row r="286" spans="1:6" hidden="1" x14ac:dyDescent="0.25">
      <c r="A286" s="7" t="s">
        <v>1530</v>
      </c>
      <c r="B286" s="7" t="s">
        <v>1531</v>
      </c>
      <c r="C286" s="7"/>
      <c r="D286" s="7"/>
      <c r="E286" s="7"/>
      <c r="F286" s="7"/>
    </row>
    <row r="287" spans="1:6" hidden="1" x14ac:dyDescent="0.25">
      <c r="A287" s="7" t="s">
        <v>1532</v>
      </c>
      <c r="B287" s="7" t="s">
        <v>1533</v>
      </c>
      <c r="C287" s="7"/>
      <c r="D287" s="7"/>
      <c r="E287" s="7"/>
      <c r="F287" s="7"/>
    </row>
    <row r="288" spans="1:6" ht="22.5" hidden="1" x14ac:dyDescent="0.25">
      <c r="A288" s="7" t="s">
        <v>1534</v>
      </c>
      <c r="B288" s="7" t="s">
        <v>1535</v>
      </c>
      <c r="C288" s="7"/>
      <c r="D288" s="7"/>
      <c r="E288" s="7"/>
      <c r="F288" s="7"/>
    </row>
    <row r="289" spans="1:6" hidden="1" x14ac:dyDescent="0.25">
      <c r="A289" s="7" t="s">
        <v>1536</v>
      </c>
      <c r="B289" s="7" t="s">
        <v>1537</v>
      </c>
      <c r="C289" s="7"/>
      <c r="D289" s="7"/>
      <c r="E289" s="7"/>
      <c r="F289" s="7"/>
    </row>
    <row r="290" spans="1:6" hidden="1" x14ac:dyDescent="0.25">
      <c r="A290" s="7" t="s">
        <v>1538</v>
      </c>
      <c r="B290" s="7" t="s">
        <v>1539</v>
      </c>
      <c r="C290" s="7"/>
      <c r="D290" s="7"/>
      <c r="E290" s="7"/>
      <c r="F290" s="7"/>
    </row>
    <row r="291" spans="1:6" ht="22.5" hidden="1" x14ac:dyDescent="0.25">
      <c r="A291" s="7" t="s">
        <v>1540</v>
      </c>
      <c r="B291" s="7" t="s">
        <v>1541</v>
      </c>
      <c r="C291" s="7"/>
      <c r="D291" s="7"/>
      <c r="E291" s="7"/>
      <c r="F291" s="7"/>
    </row>
    <row r="292" spans="1:6" hidden="1" x14ac:dyDescent="0.25">
      <c r="A292" s="7" t="s">
        <v>1542</v>
      </c>
      <c r="B292" s="7" t="s">
        <v>1543</v>
      </c>
      <c r="C292" s="7"/>
      <c r="D292" s="7"/>
      <c r="E292" s="7"/>
      <c r="F292" s="7"/>
    </row>
    <row r="293" spans="1:6" hidden="1" x14ac:dyDescent="0.25">
      <c r="A293" s="7" t="s">
        <v>1544</v>
      </c>
      <c r="B293" s="7" t="s">
        <v>1545</v>
      </c>
      <c r="C293" s="7"/>
      <c r="D293" s="7"/>
      <c r="E293" s="7"/>
      <c r="F293" s="7"/>
    </row>
    <row r="294" spans="1:6" hidden="1" x14ac:dyDescent="0.25">
      <c r="A294" s="7" t="s">
        <v>1546</v>
      </c>
      <c r="B294" s="7" t="s">
        <v>1547</v>
      </c>
      <c r="C294" s="7"/>
      <c r="D294" s="7"/>
      <c r="E294" s="7"/>
      <c r="F294" s="7"/>
    </row>
    <row r="295" spans="1:6" hidden="1" x14ac:dyDescent="0.25">
      <c r="A295" s="7" t="s">
        <v>1548</v>
      </c>
      <c r="B295" s="7" t="s">
        <v>1549</v>
      </c>
      <c r="C295" s="7"/>
      <c r="D295" s="7"/>
      <c r="E295" s="7"/>
      <c r="F295" s="7"/>
    </row>
    <row r="296" spans="1:6" hidden="1" x14ac:dyDescent="0.25">
      <c r="A296" s="7" t="s">
        <v>1550</v>
      </c>
      <c r="B296" s="7" t="s">
        <v>1551</v>
      </c>
      <c r="C296" s="7"/>
      <c r="D296" s="7"/>
      <c r="E296" s="7"/>
      <c r="F296" s="7"/>
    </row>
    <row r="297" spans="1:6" hidden="1" x14ac:dyDescent="0.25">
      <c r="A297" s="7" t="s">
        <v>1552</v>
      </c>
      <c r="B297" s="7" t="s">
        <v>1553</v>
      </c>
      <c r="C297" s="7"/>
      <c r="D297" s="7"/>
      <c r="E297" s="7"/>
      <c r="F297" s="7"/>
    </row>
    <row r="298" spans="1:6" hidden="1" x14ac:dyDescent="0.25">
      <c r="A298" s="7" t="s">
        <v>1554</v>
      </c>
      <c r="B298" s="7" t="s">
        <v>1555</v>
      </c>
      <c r="C298" s="7"/>
      <c r="D298" s="7"/>
      <c r="E298" s="7"/>
      <c r="F298" s="7"/>
    </row>
    <row r="299" spans="1:6" hidden="1" x14ac:dyDescent="0.25">
      <c r="A299" s="7" t="s">
        <v>1556</v>
      </c>
      <c r="B299" s="7" t="s">
        <v>1557</v>
      </c>
      <c r="C299" s="7"/>
      <c r="D299" s="7"/>
      <c r="E299" s="7"/>
      <c r="F299" s="7"/>
    </row>
    <row r="300" spans="1:6" hidden="1" x14ac:dyDescent="0.25">
      <c r="A300" s="7" t="s">
        <v>1558</v>
      </c>
      <c r="B300" s="7" t="s">
        <v>1559</v>
      </c>
      <c r="C300" s="7"/>
      <c r="D300" s="7"/>
      <c r="E300" s="7"/>
      <c r="F300" s="7"/>
    </row>
    <row r="301" spans="1:6" hidden="1" x14ac:dyDescent="0.25">
      <c r="A301" s="7" t="s">
        <v>1560</v>
      </c>
      <c r="B301" s="7" t="s">
        <v>1561</v>
      </c>
      <c r="C301" s="7"/>
      <c r="D301" s="7"/>
      <c r="E301" s="7"/>
      <c r="F301" s="7"/>
    </row>
    <row r="302" spans="1:6" hidden="1" x14ac:dyDescent="0.25">
      <c r="A302" s="7" t="s">
        <v>1562</v>
      </c>
      <c r="B302" s="7" t="s">
        <v>1563</v>
      </c>
      <c r="C302" s="7"/>
      <c r="D302" s="7"/>
      <c r="E302" s="7"/>
      <c r="F302" s="7"/>
    </row>
    <row r="303" spans="1:6" hidden="1" x14ac:dyDescent="0.25">
      <c r="A303" s="7" t="s">
        <v>1564</v>
      </c>
      <c r="B303" s="7" t="s">
        <v>1565</v>
      </c>
      <c r="C303" s="7"/>
      <c r="D303" s="7"/>
      <c r="E303" s="7"/>
      <c r="F303" s="7"/>
    </row>
    <row r="304" spans="1:6" hidden="1" x14ac:dyDescent="0.25">
      <c r="A304" s="7" t="s">
        <v>1566</v>
      </c>
      <c r="B304" s="7" t="s">
        <v>1567</v>
      </c>
      <c r="C304" s="7"/>
      <c r="D304" s="7"/>
      <c r="E304" s="7"/>
      <c r="F304" s="7"/>
    </row>
    <row r="305" spans="1:6" hidden="1" x14ac:dyDescent="0.25">
      <c r="A305" s="7" t="s">
        <v>1568</v>
      </c>
      <c r="B305" s="7" t="s">
        <v>1569</v>
      </c>
      <c r="C305" s="7"/>
      <c r="D305" s="7"/>
      <c r="E305" s="7"/>
      <c r="F305" s="7"/>
    </row>
    <row r="306" spans="1:6" hidden="1" x14ac:dyDescent="0.25">
      <c r="A306" s="7" t="s">
        <v>1570</v>
      </c>
      <c r="B306" s="7" t="s">
        <v>1571</v>
      </c>
      <c r="C306" s="7"/>
      <c r="D306" s="7"/>
      <c r="E306" s="7"/>
      <c r="F306" s="7"/>
    </row>
    <row r="307" spans="1:6" hidden="1" x14ac:dyDescent="0.25">
      <c r="A307" s="7" t="s">
        <v>1572</v>
      </c>
      <c r="B307" s="7" t="s">
        <v>1573</v>
      </c>
      <c r="C307" s="7"/>
      <c r="D307" s="7"/>
      <c r="E307" s="7"/>
      <c r="F307" s="7"/>
    </row>
    <row r="308" spans="1:6" hidden="1" x14ac:dyDescent="0.25">
      <c r="A308" s="7" t="s">
        <v>1574</v>
      </c>
      <c r="B308" s="7" t="s">
        <v>1575</v>
      </c>
      <c r="C308" s="7"/>
      <c r="D308" s="7"/>
      <c r="E308" s="7"/>
      <c r="F308" s="7"/>
    </row>
    <row r="309" spans="1:6" hidden="1" x14ac:dyDescent="0.25">
      <c r="A309" s="7" t="s">
        <v>1576</v>
      </c>
      <c r="B309" s="7" t="s">
        <v>1577</v>
      </c>
      <c r="C309" s="7"/>
      <c r="D309" s="7"/>
      <c r="E309" s="7"/>
      <c r="F309" s="7"/>
    </row>
    <row r="310" spans="1:6" hidden="1" x14ac:dyDescent="0.25">
      <c r="A310" s="7" t="s">
        <v>1578</v>
      </c>
      <c r="B310" s="7" t="s">
        <v>1579</v>
      </c>
      <c r="C310" s="7"/>
      <c r="D310" s="7"/>
      <c r="E310" s="7"/>
      <c r="F310" s="7"/>
    </row>
    <row r="311" spans="1:6" hidden="1" x14ac:dyDescent="0.25">
      <c r="A311" s="7" t="s">
        <v>1580</v>
      </c>
      <c r="B311" s="7" t="s">
        <v>1581</v>
      </c>
      <c r="C311" s="7"/>
      <c r="D311" s="7"/>
      <c r="E311" s="7"/>
      <c r="F311" s="7"/>
    </row>
    <row r="312" spans="1:6" hidden="1" x14ac:dyDescent="0.25">
      <c r="A312" s="7" t="s">
        <v>1582</v>
      </c>
      <c r="B312" s="7" t="s">
        <v>1583</v>
      </c>
      <c r="C312" s="7"/>
      <c r="D312" s="7" t="s">
        <v>1584</v>
      </c>
      <c r="E312" s="7" t="s">
        <v>1585</v>
      </c>
      <c r="F312" s="7" t="s">
        <v>1586</v>
      </c>
    </row>
    <row r="313" spans="1:6" hidden="1" x14ac:dyDescent="0.25">
      <c r="A313" s="7" t="s">
        <v>1587</v>
      </c>
      <c r="B313" s="7" t="s">
        <v>1588</v>
      </c>
      <c r="C313" s="7"/>
      <c r="D313" s="7" t="s">
        <v>1589</v>
      </c>
      <c r="E313" s="7" t="s">
        <v>1585</v>
      </c>
      <c r="F313" s="7" t="s">
        <v>1586</v>
      </c>
    </row>
    <row r="314" spans="1:6" hidden="1" x14ac:dyDescent="0.25">
      <c r="A314" s="7" t="s">
        <v>1590</v>
      </c>
      <c r="B314" s="7" t="s">
        <v>1591</v>
      </c>
      <c r="C314" s="7"/>
      <c r="D314" s="7" t="s">
        <v>1592</v>
      </c>
      <c r="E314" s="7" t="s">
        <v>1593</v>
      </c>
      <c r="F314" s="7" t="s">
        <v>1594</v>
      </c>
    </row>
    <row r="315" spans="1:6" hidden="1" x14ac:dyDescent="0.25">
      <c r="A315" s="7" t="s">
        <v>1595</v>
      </c>
      <c r="B315" s="7" t="s">
        <v>1596</v>
      </c>
      <c r="C315" s="7"/>
      <c r="D315" s="7" t="s">
        <v>1584</v>
      </c>
      <c r="E315" s="7" t="s">
        <v>1585</v>
      </c>
      <c r="F315" s="7" t="s">
        <v>1597</v>
      </c>
    </row>
    <row r="316" spans="1:6" hidden="1" x14ac:dyDescent="0.25">
      <c r="A316" s="7" t="s">
        <v>1598</v>
      </c>
      <c r="B316" s="7" t="s">
        <v>1599</v>
      </c>
      <c r="C316" s="7"/>
      <c r="D316" s="7" t="s">
        <v>1584</v>
      </c>
      <c r="E316" s="7" t="s">
        <v>1585</v>
      </c>
      <c r="F316" s="7" t="s">
        <v>1586</v>
      </c>
    </row>
    <row r="317" spans="1:6" ht="22.5" hidden="1" x14ac:dyDescent="0.25">
      <c r="A317" s="7" t="s">
        <v>1600</v>
      </c>
      <c r="B317" s="7" t="s">
        <v>1601</v>
      </c>
      <c r="C317" s="7"/>
      <c r="D317" s="7" t="s">
        <v>1584</v>
      </c>
      <c r="E317" s="7" t="s">
        <v>1585</v>
      </c>
      <c r="F317" s="7" t="s">
        <v>1597</v>
      </c>
    </row>
    <row r="318" spans="1:6" ht="22.5" hidden="1" x14ac:dyDescent="0.25">
      <c r="A318" s="7" t="s">
        <v>1602</v>
      </c>
      <c r="B318" s="7" t="s">
        <v>1603</v>
      </c>
      <c r="C318" s="7"/>
      <c r="D318" s="7" t="s">
        <v>1584</v>
      </c>
      <c r="E318" s="7" t="s">
        <v>1585</v>
      </c>
      <c r="F318" s="7" t="s">
        <v>1586</v>
      </c>
    </row>
    <row r="319" spans="1:6" hidden="1" x14ac:dyDescent="0.25">
      <c r="A319" s="7" t="s">
        <v>1604</v>
      </c>
      <c r="B319" s="7" t="s">
        <v>1605</v>
      </c>
      <c r="C319" s="7"/>
      <c r="D319" s="7" t="s">
        <v>1584</v>
      </c>
      <c r="E319" s="7" t="s">
        <v>1585</v>
      </c>
      <c r="F319" s="7" t="s">
        <v>1586</v>
      </c>
    </row>
    <row r="320" spans="1:6" ht="22.5" hidden="1" x14ac:dyDescent="0.25">
      <c r="A320" s="7" t="s">
        <v>1606</v>
      </c>
      <c r="B320" s="7" t="s">
        <v>1607</v>
      </c>
      <c r="C320" s="7"/>
      <c r="D320" s="7" t="s">
        <v>1608</v>
      </c>
      <c r="E320" s="7" t="s">
        <v>1609</v>
      </c>
      <c r="F320" s="7" t="s">
        <v>1610</v>
      </c>
    </row>
    <row r="321" spans="1:6" hidden="1" x14ac:dyDescent="0.25">
      <c r="A321" s="7" t="s">
        <v>1611</v>
      </c>
      <c r="B321" s="7" t="s">
        <v>1612</v>
      </c>
      <c r="C321" s="7"/>
      <c r="D321" s="7" t="s">
        <v>1613</v>
      </c>
      <c r="E321" s="7" t="s">
        <v>1614</v>
      </c>
      <c r="F321" s="7" t="s">
        <v>1615</v>
      </c>
    </row>
    <row r="322" spans="1:6" hidden="1" x14ac:dyDescent="0.25">
      <c r="A322" s="7" t="s">
        <v>1616</v>
      </c>
      <c r="B322" s="7" t="s">
        <v>1617</v>
      </c>
      <c r="C322" s="7"/>
      <c r="D322" s="7" t="s">
        <v>1613</v>
      </c>
      <c r="E322" s="7" t="s">
        <v>1614</v>
      </c>
      <c r="F322" s="7" t="s">
        <v>1615</v>
      </c>
    </row>
    <row r="323" spans="1:6" hidden="1" x14ac:dyDescent="0.25">
      <c r="A323" s="7" t="s">
        <v>1618</v>
      </c>
      <c r="B323" s="7" t="s">
        <v>1619</v>
      </c>
      <c r="C323" s="7"/>
      <c r="D323" s="7" t="s">
        <v>1613</v>
      </c>
      <c r="E323" s="7" t="s">
        <v>1614</v>
      </c>
      <c r="F323" s="7" t="s">
        <v>1615</v>
      </c>
    </row>
    <row r="324" spans="1:6" hidden="1" x14ac:dyDescent="0.25">
      <c r="A324" s="7" t="s">
        <v>1620</v>
      </c>
      <c r="B324" s="7" t="s">
        <v>1621</v>
      </c>
      <c r="C324" s="7"/>
      <c r="D324" s="7" t="s">
        <v>1613</v>
      </c>
      <c r="E324" s="7" t="s">
        <v>1614</v>
      </c>
      <c r="F324" s="7" t="s">
        <v>1615</v>
      </c>
    </row>
    <row r="325" spans="1:6" ht="22.5" hidden="1" x14ac:dyDescent="0.25">
      <c r="A325" s="7" t="s">
        <v>1622</v>
      </c>
      <c r="B325" s="7" t="s">
        <v>1623</v>
      </c>
      <c r="C325" s="7"/>
      <c r="D325" s="7" t="s">
        <v>1608</v>
      </c>
      <c r="E325" s="7" t="s">
        <v>1609</v>
      </c>
      <c r="F325" s="7" t="s">
        <v>1610</v>
      </c>
    </row>
    <row r="326" spans="1:6" ht="22.5" hidden="1" x14ac:dyDescent="0.25">
      <c r="A326" s="7" t="s">
        <v>1624</v>
      </c>
      <c r="B326" s="7" t="s">
        <v>1625</v>
      </c>
      <c r="C326" s="7"/>
      <c r="D326" s="7" t="s">
        <v>1608</v>
      </c>
      <c r="E326" s="7" t="s">
        <v>1609</v>
      </c>
      <c r="F326" s="7" t="s">
        <v>1610</v>
      </c>
    </row>
    <row r="327" spans="1:6" hidden="1" x14ac:dyDescent="0.25">
      <c r="A327" s="7" t="s">
        <v>1626</v>
      </c>
      <c r="B327" s="7" t="s">
        <v>1627</v>
      </c>
      <c r="C327" s="7"/>
      <c r="D327" s="7" t="s">
        <v>1628</v>
      </c>
      <c r="E327" s="7" t="s">
        <v>1609</v>
      </c>
      <c r="F327" s="7" t="s">
        <v>1610</v>
      </c>
    </row>
    <row r="328" spans="1:6" ht="22.5" hidden="1" x14ac:dyDescent="0.25">
      <c r="A328" s="7" t="s">
        <v>1629</v>
      </c>
      <c r="B328" s="7" t="s">
        <v>1630</v>
      </c>
      <c r="C328" s="7"/>
      <c r="D328" s="7" t="s">
        <v>1628</v>
      </c>
      <c r="E328" s="7" t="s">
        <v>1609</v>
      </c>
      <c r="F328" s="7" t="s">
        <v>1610</v>
      </c>
    </row>
    <row r="329" spans="1:6" hidden="1" x14ac:dyDescent="0.25">
      <c r="A329" s="7" t="s">
        <v>1631</v>
      </c>
      <c r="B329" s="7" t="s">
        <v>1632</v>
      </c>
      <c r="C329" s="7"/>
      <c r="D329" s="7" t="s">
        <v>1633</v>
      </c>
      <c r="E329" s="7" t="s">
        <v>1634</v>
      </c>
      <c r="F329" s="7" t="s">
        <v>1635</v>
      </c>
    </row>
    <row r="330" spans="1:6" hidden="1" x14ac:dyDescent="0.25">
      <c r="A330" s="7" t="s">
        <v>1636</v>
      </c>
      <c r="B330" s="7" t="s">
        <v>1637</v>
      </c>
      <c r="C330" s="7"/>
      <c r="D330" s="7"/>
      <c r="E330" s="7"/>
      <c r="F330" s="7"/>
    </row>
    <row r="331" spans="1:6" hidden="1" x14ac:dyDescent="0.25">
      <c r="A331" s="7" t="s">
        <v>1638</v>
      </c>
      <c r="B331" s="7" t="s">
        <v>1639</v>
      </c>
      <c r="C331" s="7"/>
      <c r="D331" s="7"/>
      <c r="E331" s="7"/>
      <c r="F331" s="7"/>
    </row>
    <row r="332" spans="1:6" hidden="1" x14ac:dyDescent="0.25">
      <c r="A332" s="7" t="s">
        <v>1640</v>
      </c>
      <c r="B332" s="7" t="s">
        <v>1641</v>
      </c>
      <c r="C332" s="7"/>
      <c r="D332" s="7" t="s">
        <v>1642</v>
      </c>
      <c r="E332" s="7" t="s">
        <v>1585</v>
      </c>
      <c r="F332" s="7" t="s">
        <v>1586</v>
      </c>
    </row>
    <row r="333" spans="1:6" hidden="1" x14ac:dyDescent="0.25">
      <c r="A333" s="7" t="s">
        <v>1643</v>
      </c>
      <c r="B333" s="7" t="s">
        <v>1644</v>
      </c>
      <c r="C333" s="7"/>
      <c r="D333" s="7" t="s">
        <v>1645</v>
      </c>
      <c r="E333" s="7" t="s">
        <v>1646</v>
      </c>
      <c r="F333" s="7" t="s">
        <v>1647</v>
      </c>
    </row>
    <row r="334" spans="1:6" hidden="1" x14ac:dyDescent="0.25">
      <c r="A334" s="7" t="s">
        <v>1648</v>
      </c>
      <c r="B334" s="7" t="s">
        <v>1649</v>
      </c>
      <c r="C334" s="7"/>
      <c r="D334" s="7"/>
      <c r="E334" s="7"/>
      <c r="F334" s="7"/>
    </row>
    <row r="335" spans="1:6" hidden="1" x14ac:dyDescent="0.25">
      <c r="A335" s="7" t="s">
        <v>1650</v>
      </c>
      <c r="B335" s="7" t="s">
        <v>1651</v>
      </c>
      <c r="C335" s="7"/>
      <c r="D335" s="7"/>
      <c r="E335" s="7"/>
      <c r="F335" s="7"/>
    </row>
    <row r="336" spans="1:6" hidden="1" x14ac:dyDescent="0.25">
      <c r="A336" s="7" t="s">
        <v>1652</v>
      </c>
      <c r="B336" s="7" t="s">
        <v>1653</v>
      </c>
      <c r="C336" s="7"/>
      <c r="D336" s="7"/>
      <c r="E336" s="7"/>
      <c r="F336" s="7"/>
    </row>
    <row r="337" spans="1:6" hidden="1" x14ac:dyDescent="0.25">
      <c r="A337" s="7" t="s">
        <v>1654</v>
      </c>
      <c r="B337" s="7" t="s">
        <v>1655</v>
      </c>
      <c r="C337" s="7"/>
      <c r="D337" s="7"/>
      <c r="E337" s="7"/>
      <c r="F337" s="7"/>
    </row>
    <row r="338" spans="1:6" hidden="1" x14ac:dyDescent="0.25">
      <c r="A338" s="7" t="s">
        <v>1656</v>
      </c>
      <c r="B338" s="7" t="s">
        <v>1657</v>
      </c>
      <c r="C338" s="7"/>
      <c r="D338" s="7" t="s">
        <v>1658</v>
      </c>
      <c r="E338" s="7" t="s">
        <v>1659</v>
      </c>
      <c r="F338" s="7" t="s">
        <v>1660</v>
      </c>
    </row>
    <row r="339" spans="1:6" ht="22.5" hidden="1" x14ac:dyDescent="0.25">
      <c r="A339" s="7" t="s">
        <v>1661</v>
      </c>
      <c r="B339" s="7" t="s">
        <v>1662</v>
      </c>
      <c r="C339" s="7"/>
      <c r="D339" s="7"/>
      <c r="E339" s="7"/>
      <c r="F339" s="7"/>
    </row>
    <row r="340" spans="1:6" ht="22.5" hidden="1" x14ac:dyDescent="0.25">
      <c r="A340" s="7" t="s">
        <v>1663</v>
      </c>
      <c r="B340" s="7" t="s">
        <v>1664</v>
      </c>
      <c r="C340" s="7"/>
      <c r="D340" s="7"/>
      <c r="E340" s="7"/>
      <c r="F340" s="7"/>
    </row>
    <row r="341" spans="1:6" hidden="1" x14ac:dyDescent="0.25">
      <c r="A341" s="7" t="s">
        <v>1665</v>
      </c>
      <c r="B341" s="7" t="s">
        <v>1666</v>
      </c>
      <c r="C341" s="7"/>
      <c r="D341" s="7"/>
      <c r="E341" s="7"/>
      <c r="F341" s="7"/>
    </row>
    <row r="342" spans="1:6" hidden="1" x14ac:dyDescent="0.25">
      <c r="A342" s="7" t="s">
        <v>1667</v>
      </c>
      <c r="B342" s="7" t="s">
        <v>1668</v>
      </c>
      <c r="C342" s="7"/>
      <c r="D342" s="7" t="s">
        <v>1669</v>
      </c>
      <c r="E342" s="7" t="s">
        <v>1585</v>
      </c>
      <c r="F342" s="7" t="s">
        <v>1597</v>
      </c>
    </row>
    <row r="343" spans="1:6" hidden="1" x14ac:dyDescent="0.25">
      <c r="A343" s="7" t="s">
        <v>1670</v>
      </c>
      <c r="B343" s="7" t="s">
        <v>1671</v>
      </c>
      <c r="C343" s="7"/>
      <c r="D343" s="7" t="s">
        <v>1669</v>
      </c>
      <c r="E343" s="7" t="s">
        <v>1585</v>
      </c>
      <c r="F343" s="7" t="s">
        <v>1597</v>
      </c>
    </row>
    <row r="344" spans="1:6" hidden="1" x14ac:dyDescent="0.25">
      <c r="A344" s="7" t="s">
        <v>1672</v>
      </c>
      <c r="B344" s="7" t="s">
        <v>1673</v>
      </c>
      <c r="C344" s="7"/>
      <c r="D344" s="7" t="s">
        <v>1669</v>
      </c>
      <c r="E344" s="7" t="s">
        <v>1585</v>
      </c>
      <c r="F344" s="7" t="s">
        <v>1597</v>
      </c>
    </row>
    <row r="345" spans="1:6" ht="22.5" hidden="1" x14ac:dyDescent="0.25">
      <c r="A345" s="7" t="s">
        <v>1674</v>
      </c>
      <c r="B345" s="7" t="s">
        <v>1675</v>
      </c>
      <c r="C345" s="7"/>
      <c r="D345" s="7" t="s">
        <v>1676</v>
      </c>
      <c r="E345" s="7" t="s">
        <v>1646</v>
      </c>
      <c r="F345" s="7" t="s">
        <v>1647</v>
      </c>
    </row>
    <row r="346" spans="1:6" hidden="1" x14ac:dyDescent="0.25">
      <c r="A346" s="7" t="s">
        <v>1677</v>
      </c>
      <c r="B346" s="7" t="s">
        <v>1678</v>
      </c>
      <c r="C346" s="7"/>
      <c r="D346" s="7"/>
      <c r="E346" s="7"/>
      <c r="F346" s="7"/>
    </row>
    <row r="347" spans="1:6" ht="22.5" hidden="1" x14ac:dyDescent="0.25">
      <c r="A347" s="7" t="s">
        <v>1679</v>
      </c>
      <c r="B347" s="7" t="s">
        <v>1680</v>
      </c>
      <c r="C347" s="7"/>
      <c r="D347" s="7"/>
      <c r="E347" s="7"/>
      <c r="F347" s="7"/>
    </row>
    <row r="348" spans="1:6" ht="22.5" hidden="1" x14ac:dyDescent="0.25">
      <c r="A348" s="7" t="s">
        <v>1681</v>
      </c>
      <c r="B348" s="7" t="s">
        <v>1682</v>
      </c>
      <c r="C348" s="7"/>
      <c r="D348" s="7"/>
      <c r="E348" s="7"/>
      <c r="F348" s="7"/>
    </row>
    <row r="349" spans="1:6" ht="22.5" hidden="1" x14ac:dyDescent="0.25">
      <c r="A349" s="7" t="s">
        <v>1683</v>
      </c>
      <c r="B349" s="7" t="s">
        <v>1684</v>
      </c>
      <c r="C349" s="7"/>
      <c r="D349" s="7" t="s">
        <v>1584</v>
      </c>
      <c r="E349" s="7" t="s">
        <v>1585</v>
      </c>
      <c r="F349" s="7" t="s">
        <v>1586</v>
      </c>
    </row>
    <row r="350" spans="1:6" hidden="1" x14ac:dyDescent="0.25">
      <c r="A350" s="7" t="s">
        <v>1685</v>
      </c>
      <c r="B350" s="7" t="s">
        <v>1686</v>
      </c>
      <c r="C350" s="7"/>
      <c r="D350" s="7" t="s">
        <v>1584</v>
      </c>
      <c r="E350" s="7" t="s">
        <v>1585</v>
      </c>
      <c r="F350" s="7" t="s">
        <v>1586</v>
      </c>
    </row>
    <row r="351" spans="1:6" hidden="1" x14ac:dyDescent="0.25">
      <c r="A351" s="7" t="s">
        <v>1687</v>
      </c>
      <c r="B351" s="7" t="s">
        <v>1688</v>
      </c>
      <c r="C351" s="7"/>
      <c r="D351" s="7" t="s">
        <v>1584</v>
      </c>
      <c r="E351" s="7" t="s">
        <v>1585</v>
      </c>
      <c r="F351" s="7" t="s">
        <v>1586</v>
      </c>
    </row>
    <row r="352" spans="1:6" hidden="1" x14ac:dyDescent="0.25">
      <c r="A352" s="7" t="s">
        <v>1689</v>
      </c>
      <c r="B352" s="7" t="s">
        <v>1690</v>
      </c>
      <c r="C352" s="7"/>
      <c r="D352" s="7" t="s">
        <v>1584</v>
      </c>
      <c r="E352" s="7" t="s">
        <v>1585</v>
      </c>
      <c r="F352" s="7" t="s">
        <v>1586</v>
      </c>
    </row>
    <row r="353" spans="1:6" ht="22.5" hidden="1" x14ac:dyDescent="0.25">
      <c r="A353" s="7" t="s">
        <v>1691</v>
      </c>
      <c r="B353" s="7" t="s">
        <v>1692</v>
      </c>
      <c r="C353" s="7"/>
      <c r="D353" s="7" t="s">
        <v>1584</v>
      </c>
      <c r="E353" s="7" t="s">
        <v>1585</v>
      </c>
      <c r="F353" s="7" t="s">
        <v>1586</v>
      </c>
    </row>
    <row r="354" spans="1:6" ht="22.5" hidden="1" x14ac:dyDescent="0.25">
      <c r="A354" s="7" t="s">
        <v>1693</v>
      </c>
      <c r="B354" s="7" t="s">
        <v>1694</v>
      </c>
      <c r="C354" s="7"/>
      <c r="D354" s="7"/>
      <c r="E354" s="7"/>
      <c r="F354" s="7"/>
    </row>
    <row r="355" spans="1:6" ht="22.5" hidden="1" x14ac:dyDescent="0.25">
      <c r="A355" s="7" t="s">
        <v>1695</v>
      </c>
      <c r="B355" s="7" t="s">
        <v>1696</v>
      </c>
      <c r="C355" s="7"/>
      <c r="D355" s="7"/>
      <c r="E355" s="7"/>
      <c r="F355" s="7"/>
    </row>
    <row r="356" spans="1:6" ht="22.5" hidden="1" x14ac:dyDescent="0.25">
      <c r="A356" s="7" t="s">
        <v>1697</v>
      </c>
      <c r="B356" s="7" t="s">
        <v>1698</v>
      </c>
      <c r="C356" s="7"/>
      <c r="D356" s="7" t="s">
        <v>1584</v>
      </c>
      <c r="E356" s="7" t="s">
        <v>1585</v>
      </c>
      <c r="F356" s="7" t="s">
        <v>1586</v>
      </c>
    </row>
    <row r="357" spans="1:6" hidden="1" x14ac:dyDescent="0.25">
      <c r="A357" s="7" t="s">
        <v>1699</v>
      </c>
      <c r="B357" s="7" t="s">
        <v>1700</v>
      </c>
      <c r="C357" s="7"/>
      <c r="D357" s="7"/>
      <c r="E357" s="7"/>
      <c r="F357" s="7"/>
    </row>
    <row r="358" spans="1:6" hidden="1" x14ac:dyDescent="0.25">
      <c r="A358" s="7" t="s">
        <v>1701</v>
      </c>
      <c r="B358" s="7" t="s">
        <v>1702</v>
      </c>
      <c r="C358" s="7"/>
      <c r="D358" s="7"/>
      <c r="E358" s="7"/>
      <c r="F358" s="7"/>
    </row>
    <row r="359" spans="1:6" hidden="1" x14ac:dyDescent="0.25">
      <c r="A359" s="7" t="s">
        <v>1703</v>
      </c>
      <c r="B359" s="7" t="s">
        <v>1704</v>
      </c>
      <c r="C359" s="7"/>
      <c r="D359" s="7"/>
      <c r="E359" s="7"/>
      <c r="F359" s="7"/>
    </row>
    <row r="360" spans="1:6" hidden="1" x14ac:dyDescent="0.25">
      <c r="A360" s="7" t="s">
        <v>1705</v>
      </c>
      <c r="B360" s="7" t="s">
        <v>1706</v>
      </c>
      <c r="C360" s="7"/>
      <c r="D360" s="7"/>
      <c r="E360" s="7"/>
      <c r="F360" s="7"/>
    </row>
    <row r="361" spans="1:6" hidden="1" x14ac:dyDescent="0.25">
      <c r="A361" s="7" t="s">
        <v>1707</v>
      </c>
      <c r="B361" s="7" t="s">
        <v>1708</v>
      </c>
      <c r="C361" s="7"/>
      <c r="D361" s="7"/>
      <c r="E361" s="7"/>
      <c r="F361" s="7"/>
    </row>
    <row r="362" spans="1:6" hidden="1" x14ac:dyDescent="0.25">
      <c r="A362" s="7" t="s">
        <v>1709</v>
      </c>
      <c r="B362" s="7" t="s">
        <v>1710</v>
      </c>
      <c r="C362" s="7"/>
      <c r="D362" s="7" t="s">
        <v>1633</v>
      </c>
      <c r="E362" s="7" t="s">
        <v>1634</v>
      </c>
      <c r="F362" s="7" t="s">
        <v>1711</v>
      </c>
    </row>
    <row r="363" spans="1:6" x14ac:dyDescent="0.25">
      <c r="A363" s="7" t="s">
        <v>1712</v>
      </c>
      <c r="B363" s="7" t="s">
        <v>1713</v>
      </c>
      <c r="C363" s="7" t="s">
        <v>1714</v>
      </c>
      <c r="D363" s="7" t="s">
        <v>1715</v>
      </c>
      <c r="E363" s="7" t="s">
        <v>1593</v>
      </c>
      <c r="F363" s="7" t="s">
        <v>1594</v>
      </c>
    </row>
    <row r="364" spans="1:6" x14ac:dyDescent="0.25">
      <c r="A364" s="7" t="s">
        <v>1716</v>
      </c>
      <c r="B364" s="7" t="s">
        <v>1717</v>
      </c>
      <c r="C364" s="7" t="s">
        <v>1714</v>
      </c>
      <c r="D364" s="7" t="s">
        <v>1715</v>
      </c>
      <c r="E364" s="7" t="s">
        <v>1593</v>
      </c>
      <c r="F364" s="7" t="s">
        <v>1594</v>
      </c>
    </row>
    <row r="365" spans="1:6" x14ac:dyDescent="0.25">
      <c r="A365" s="7" t="s">
        <v>1718</v>
      </c>
      <c r="B365" s="7" t="s">
        <v>1719</v>
      </c>
      <c r="C365" s="7" t="s">
        <v>1714</v>
      </c>
      <c r="D365" s="7" t="s">
        <v>1715</v>
      </c>
      <c r="E365" s="7" t="s">
        <v>1593</v>
      </c>
      <c r="F365" s="7" t="s">
        <v>1594</v>
      </c>
    </row>
    <row r="366" spans="1:6" x14ac:dyDescent="0.25">
      <c r="A366" s="7" t="s">
        <v>1720</v>
      </c>
      <c r="B366" s="7" t="s">
        <v>1721</v>
      </c>
      <c r="C366" s="7" t="s">
        <v>1722</v>
      </c>
      <c r="D366" s="7" t="s">
        <v>1715</v>
      </c>
      <c r="E366" s="7" t="s">
        <v>1593</v>
      </c>
      <c r="F366" s="7" t="s">
        <v>1594</v>
      </c>
    </row>
    <row r="367" spans="1:6" x14ac:dyDescent="0.25">
      <c r="A367" s="7" t="s">
        <v>1723</v>
      </c>
      <c r="B367" s="7" t="s">
        <v>1724</v>
      </c>
      <c r="C367" s="7" t="s">
        <v>1722</v>
      </c>
      <c r="D367" s="7" t="s">
        <v>1715</v>
      </c>
      <c r="E367" s="7" t="s">
        <v>1593</v>
      </c>
      <c r="F367" s="7" t="s">
        <v>1594</v>
      </c>
    </row>
    <row r="368" spans="1:6" x14ac:dyDescent="0.25">
      <c r="A368" s="7" t="s">
        <v>258</v>
      </c>
      <c r="B368" s="7" t="s">
        <v>1725</v>
      </c>
      <c r="C368" s="7" t="s">
        <v>1726</v>
      </c>
      <c r="D368" s="7" t="s">
        <v>1715</v>
      </c>
      <c r="E368" s="7" t="s">
        <v>1727</v>
      </c>
      <c r="F368" s="7" t="s">
        <v>1728</v>
      </c>
    </row>
    <row r="369" spans="1:6" x14ac:dyDescent="0.25">
      <c r="A369" s="7" t="s">
        <v>1729</v>
      </c>
      <c r="B369" s="7" t="s">
        <v>1730</v>
      </c>
      <c r="C369" s="7" t="s">
        <v>1731</v>
      </c>
      <c r="D369" s="7" t="s">
        <v>1732</v>
      </c>
      <c r="E369" s="7" t="s">
        <v>1593</v>
      </c>
      <c r="F369" s="7" t="s">
        <v>1594</v>
      </c>
    </row>
    <row r="370" spans="1:6" x14ac:dyDescent="0.25">
      <c r="A370" s="7" t="s">
        <v>1733</v>
      </c>
      <c r="B370" s="7" t="s">
        <v>1734</v>
      </c>
      <c r="C370" s="7" t="s">
        <v>1735</v>
      </c>
      <c r="D370" s="7" t="s">
        <v>1732</v>
      </c>
      <c r="E370" s="7" t="s">
        <v>1593</v>
      </c>
      <c r="F370" s="7" t="s">
        <v>1594</v>
      </c>
    </row>
    <row r="371" spans="1:6" x14ac:dyDescent="0.25">
      <c r="A371" s="7" t="s">
        <v>1736</v>
      </c>
      <c r="B371" s="7" t="s">
        <v>1737</v>
      </c>
      <c r="C371" s="7" t="s">
        <v>1738</v>
      </c>
      <c r="D371" s="7" t="s">
        <v>1732</v>
      </c>
      <c r="E371" s="7" t="s">
        <v>1593</v>
      </c>
      <c r="F371" s="7" t="s">
        <v>1594</v>
      </c>
    </row>
    <row r="372" spans="1:6" x14ac:dyDescent="0.25">
      <c r="A372" s="7" t="s">
        <v>1739</v>
      </c>
      <c r="B372" s="7" t="s">
        <v>1740</v>
      </c>
      <c r="C372" s="7" t="s">
        <v>1741</v>
      </c>
      <c r="D372" s="7" t="s">
        <v>1732</v>
      </c>
      <c r="E372" s="7" t="s">
        <v>1593</v>
      </c>
      <c r="F372" s="7" t="s">
        <v>1594</v>
      </c>
    </row>
    <row r="373" spans="1:6" x14ac:dyDescent="0.25">
      <c r="A373" s="7" t="s">
        <v>516</v>
      </c>
      <c r="B373" s="7" t="s">
        <v>1742</v>
      </c>
      <c r="C373" s="7" t="s">
        <v>1743</v>
      </c>
      <c r="D373" s="7" t="s">
        <v>1744</v>
      </c>
      <c r="E373" s="7" t="s">
        <v>1585</v>
      </c>
      <c r="F373" s="7" t="s">
        <v>1586</v>
      </c>
    </row>
    <row r="374" spans="1:6" x14ac:dyDescent="0.25">
      <c r="A374" s="7" t="s">
        <v>504</v>
      </c>
      <c r="B374" s="7" t="s">
        <v>1745</v>
      </c>
      <c r="C374" s="7" t="s">
        <v>1746</v>
      </c>
      <c r="D374" s="7" t="s">
        <v>1744</v>
      </c>
      <c r="E374" s="7" t="s">
        <v>1585</v>
      </c>
      <c r="F374" s="7" t="s">
        <v>1586</v>
      </c>
    </row>
    <row r="375" spans="1:6" x14ac:dyDescent="0.25">
      <c r="A375" s="7" t="s">
        <v>1747</v>
      </c>
      <c r="B375" s="7" t="s">
        <v>1748</v>
      </c>
      <c r="C375" s="7" t="s">
        <v>1749</v>
      </c>
      <c r="D375" s="7" t="s">
        <v>1750</v>
      </c>
      <c r="E375" s="7" t="s">
        <v>1585</v>
      </c>
      <c r="F375" s="7" t="s">
        <v>1597</v>
      </c>
    </row>
    <row r="376" spans="1:6" x14ac:dyDescent="0.25">
      <c r="A376" s="7" t="s">
        <v>1751</v>
      </c>
      <c r="B376" s="7" t="s">
        <v>1752</v>
      </c>
      <c r="C376" s="7" t="s">
        <v>1749</v>
      </c>
      <c r="D376" s="7" t="s">
        <v>1750</v>
      </c>
      <c r="E376" s="7" t="s">
        <v>1585</v>
      </c>
      <c r="F376" s="7" t="s">
        <v>1597</v>
      </c>
    </row>
    <row r="377" spans="1:6" x14ac:dyDescent="0.25">
      <c r="A377" s="7" t="s">
        <v>1753</v>
      </c>
      <c r="B377" s="7" t="s">
        <v>1754</v>
      </c>
      <c r="C377" s="7" t="s">
        <v>1755</v>
      </c>
      <c r="D377" s="7" t="s">
        <v>1669</v>
      </c>
      <c r="E377" s="7" t="s">
        <v>1585</v>
      </c>
      <c r="F377" s="7" t="s">
        <v>1597</v>
      </c>
    </row>
    <row r="378" spans="1:6" x14ac:dyDescent="0.25">
      <c r="A378" s="7" t="s">
        <v>1756</v>
      </c>
      <c r="B378" s="7" t="s">
        <v>1757</v>
      </c>
      <c r="C378" s="7" t="s">
        <v>1755</v>
      </c>
      <c r="D378" s="7" t="s">
        <v>1669</v>
      </c>
      <c r="E378" s="7" t="s">
        <v>1585</v>
      </c>
      <c r="F378" s="7" t="s">
        <v>1597</v>
      </c>
    </row>
    <row r="379" spans="1:6" x14ac:dyDescent="0.25">
      <c r="A379" s="7" t="s">
        <v>1758</v>
      </c>
      <c r="B379" s="7" t="s">
        <v>1759</v>
      </c>
      <c r="C379" s="7" t="s">
        <v>1760</v>
      </c>
      <c r="D379" s="7" t="s">
        <v>1669</v>
      </c>
      <c r="E379" s="7" t="s">
        <v>1585</v>
      </c>
      <c r="F379" s="7" t="s">
        <v>1586</v>
      </c>
    </row>
    <row r="380" spans="1:6" x14ac:dyDescent="0.25">
      <c r="A380" s="7" t="s">
        <v>1761</v>
      </c>
      <c r="B380" s="7" t="s">
        <v>1762</v>
      </c>
      <c r="C380" s="7" t="s">
        <v>1763</v>
      </c>
      <c r="D380" s="7" t="s">
        <v>1669</v>
      </c>
      <c r="E380" s="7" t="s">
        <v>1585</v>
      </c>
      <c r="F380" s="7" t="s">
        <v>1586</v>
      </c>
    </row>
    <row r="381" spans="1:6" x14ac:dyDescent="0.25">
      <c r="A381" s="7" t="s">
        <v>1764</v>
      </c>
      <c r="B381" s="7" t="s">
        <v>1765</v>
      </c>
      <c r="C381" s="7" t="s">
        <v>1766</v>
      </c>
      <c r="D381" s="7" t="s">
        <v>1592</v>
      </c>
      <c r="E381" s="7" t="s">
        <v>1593</v>
      </c>
      <c r="F381" s="7" t="s">
        <v>1594</v>
      </c>
    </row>
    <row r="382" spans="1:6" ht="22.5" x14ac:dyDescent="0.25">
      <c r="A382" s="7" t="s">
        <v>1767</v>
      </c>
      <c r="B382" s="7" t="s">
        <v>1768</v>
      </c>
      <c r="C382" s="7" t="s">
        <v>1769</v>
      </c>
      <c r="D382" s="7"/>
      <c r="E382" s="7"/>
      <c r="F382" s="7"/>
    </row>
    <row r="383" spans="1:6" x14ac:dyDescent="0.25">
      <c r="A383" s="7" t="s">
        <v>1770</v>
      </c>
      <c r="B383" s="7" t="s">
        <v>1771</v>
      </c>
      <c r="C383" s="7" t="s">
        <v>1772</v>
      </c>
      <c r="D383" s="7" t="s">
        <v>1592</v>
      </c>
      <c r="E383" s="7" t="s">
        <v>1593</v>
      </c>
      <c r="F383" s="7" t="s">
        <v>1594</v>
      </c>
    </row>
    <row r="384" spans="1:6" x14ac:dyDescent="0.25">
      <c r="A384" s="7" t="s">
        <v>1773</v>
      </c>
      <c r="B384" s="7" t="s">
        <v>1774</v>
      </c>
      <c r="C384" s="7" t="s">
        <v>1775</v>
      </c>
      <c r="D384" s="7" t="s">
        <v>1592</v>
      </c>
      <c r="E384" s="7" t="s">
        <v>1593</v>
      </c>
      <c r="F384" s="7" t="s">
        <v>1594</v>
      </c>
    </row>
    <row r="385" spans="1:6" x14ac:dyDescent="0.25">
      <c r="A385" s="7" t="s">
        <v>1776</v>
      </c>
      <c r="B385" s="7" t="s">
        <v>1777</v>
      </c>
      <c r="C385" s="7" t="s">
        <v>1778</v>
      </c>
      <c r="D385" s="7" t="s">
        <v>1592</v>
      </c>
      <c r="E385" s="7" t="s">
        <v>1593</v>
      </c>
      <c r="F385" s="7" t="s">
        <v>1594</v>
      </c>
    </row>
    <row r="386" spans="1:6" ht="22.5" x14ac:dyDescent="0.25">
      <c r="A386" s="7" t="s">
        <v>1779</v>
      </c>
      <c r="B386" s="7" t="s">
        <v>1780</v>
      </c>
      <c r="C386" s="7" t="s">
        <v>1781</v>
      </c>
      <c r="D386" s="7"/>
      <c r="E386" s="7"/>
      <c r="F386" s="7"/>
    </row>
    <row r="387" spans="1:6" x14ac:dyDescent="0.25">
      <c r="A387" s="7" t="s">
        <v>1782</v>
      </c>
      <c r="B387" s="7" t="s">
        <v>1783</v>
      </c>
      <c r="C387" s="7" t="s">
        <v>1784</v>
      </c>
      <c r="D387" s="7" t="s">
        <v>1785</v>
      </c>
      <c r="E387" s="7" t="s">
        <v>1614</v>
      </c>
      <c r="F387" s="7" t="s">
        <v>1786</v>
      </c>
    </row>
    <row r="388" spans="1:6" x14ac:dyDescent="0.25">
      <c r="A388" s="7" t="s">
        <v>1787</v>
      </c>
      <c r="B388" s="7" t="s">
        <v>1788</v>
      </c>
      <c r="C388" s="7" t="s">
        <v>1789</v>
      </c>
      <c r="D388" s="7" t="s">
        <v>1790</v>
      </c>
      <c r="E388" s="7" t="s">
        <v>1585</v>
      </c>
      <c r="F388" s="7" t="s">
        <v>1586</v>
      </c>
    </row>
    <row r="389" spans="1:6" x14ac:dyDescent="0.25">
      <c r="A389" s="7" t="s">
        <v>1791</v>
      </c>
      <c r="B389" s="7" t="s">
        <v>1792</v>
      </c>
      <c r="C389" s="7" t="s">
        <v>1789</v>
      </c>
      <c r="D389" s="7" t="s">
        <v>1790</v>
      </c>
      <c r="E389" s="7" t="s">
        <v>1585</v>
      </c>
      <c r="F389" s="7" t="s">
        <v>1586</v>
      </c>
    </row>
    <row r="390" spans="1:6" x14ac:dyDescent="0.25">
      <c r="A390" s="7" t="s">
        <v>1793</v>
      </c>
      <c r="B390" s="7" t="s">
        <v>1794</v>
      </c>
      <c r="C390" s="7" t="s">
        <v>1795</v>
      </c>
      <c r="D390" s="7" t="s">
        <v>1790</v>
      </c>
      <c r="E390" s="7" t="s">
        <v>1585</v>
      </c>
      <c r="F390" s="7" t="s">
        <v>1586</v>
      </c>
    </row>
    <row r="391" spans="1:6" x14ac:dyDescent="0.25">
      <c r="A391" s="7" t="s">
        <v>1796</v>
      </c>
      <c r="B391" s="7" t="s">
        <v>1797</v>
      </c>
      <c r="C391" s="7" t="s">
        <v>1795</v>
      </c>
      <c r="D391" s="7" t="s">
        <v>1790</v>
      </c>
      <c r="E391" s="7" t="s">
        <v>1585</v>
      </c>
      <c r="F391" s="7" t="s">
        <v>1586</v>
      </c>
    </row>
    <row r="392" spans="1:6" x14ac:dyDescent="0.25">
      <c r="A392" s="7" t="s">
        <v>1798</v>
      </c>
      <c r="B392" s="7" t="s">
        <v>1799</v>
      </c>
      <c r="C392" s="7" t="s">
        <v>1800</v>
      </c>
      <c r="D392" s="7" t="s">
        <v>1790</v>
      </c>
      <c r="E392" s="7" t="s">
        <v>1585</v>
      </c>
      <c r="F392" s="7" t="s">
        <v>1586</v>
      </c>
    </row>
    <row r="393" spans="1:6" x14ac:dyDescent="0.25">
      <c r="A393" s="7" t="s">
        <v>1801</v>
      </c>
      <c r="B393" s="7" t="s">
        <v>1802</v>
      </c>
      <c r="C393" s="7" t="s">
        <v>1803</v>
      </c>
      <c r="D393" s="7" t="s">
        <v>1790</v>
      </c>
      <c r="E393" s="7" t="s">
        <v>1585</v>
      </c>
      <c r="F393" s="7" t="s">
        <v>1586</v>
      </c>
    </row>
    <row r="394" spans="1:6" x14ac:dyDescent="0.25">
      <c r="A394" s="7" t="s">
        <v>672</v>
      </c>
      <c r="B394" s="7" t="s">
        <v>1804</v>
      </c>
      <c r="C394" s="7" t="s">
        <v>1803</v>
      </c>
      <c r="D394" s="7" t="s">
        <v>1790</v>
      </c>
      <c r="E394" s="7" t="s">
        <v>1585</v>
      </c>
      <c r="F394" s="7" t="s">
        <v>1586</v>
      </c>
    </row>
    <row r="395" spans="1:6" x14ac:dyDescent="0.25">
      <c r="A395" s="7" t="s">
        <v>795</v>
      </c>
      <c r="B395" s="7" t="s">
        <v>1805</v>
      </c>
      <c r="C395" s="7" t="s">
        <v>1806</v>
      </c>
      <c r="D395" s="7" t="s">
        <v>1592</v>
      </c>
      <c r="E395" s="7" t="s">
        <v>1585</v>
      </c>
      <c r="F395" s="7" t="s">
        <v>1597</v>
      </c>
    </row>
    <row r="396" spans="1:6" x14ac:dyDescent="0.25">
      <c r="A396" s="7" t="s">
        <v>792</v>
      </c>
      <c r="B396" s="7" t="s">
        <v>1807</v>
      </c>
      <c r="C396" s="7" t="s">
        <v>1808</v>
      </c>
      <c r="D396" s="7" t="s">
        <v>1592</v>
      </c>
      <c r="E396" s="7" t="s">
        <v>1585</v>
      </c>
      <c r="F396" s="7" t="s">
        <v>1597</v>
      </c>
    </row>
    <row r="397" spans="1:6" x14ac:dyDescent="0.25">
      <c r="A397" s="7" t="s">
        <v>798</v>
      </c>
      <c r="B397" s="7" t="s">
        <v>1809</v>
      </c>
      <c r="C397" s="7" t="s">
        <v>1810</v>
      </c>
      <c r="D397" s="7" t="s">
        <v>1592</v>
      </c>
      <c r="E397" s="7" t="s">
        <v>1585</v>
      </c>
      <c r="F397" s="7" t="s">
        <v>1597</v>
      </c>
    </row>
    <row r="398" spans="1:6" x14ac:dyDescent="0.25">
      <c r="A398" s="7" t="s">
        <v>848</v>
      </c>
      <c r="B398" s="7" t="s">
        <v>1811</v>
      </c>
      <c r="C398" s="7" t="s">
        <v>1812</v>
      </c>
      <c r="D398" s="7" t="s">
        <v>1790</v>
      </c>
      <c r="E398" s="7" t="s">
        <v>1585</v>
      </c>
      <c r="F398" s="7" t="s">
        <v>1597</v>
      </c>
    </row>
    <row r="399" spans="1:6" ht="22.5" x14ac:dyDescent="0.25">
      <c r="A399" s="7" t="s">
        <v>845</v>
      </c>
      <c r="B399" s="7" t="s">
        <v>1813</v>
      </c>
      <c r="C399" s="7" t="s">
        <v>1814</v>
      </c>
      <c r="D399" s="7" t="s">
        <v>1790</v>
      </c>
      <c r="E399" s="7" t="s">
        <v>1585</v>
      </c>
      <c r="F399" s="7" t="s">
        <v>1597</v>
      </c>
    </row>
    <row r="400" spans="1:6" x14ac:dyDescent="0.25">
      <c r="A400" s="7" t="s">
        <v>842</v>
      </c>
      <c r="B400" s="7" t="s">
        <v>1815</v>
      </c>
      <c r="C400" s="7" t="s">
        <v>1816</v>
      </c>
      <c r="D400" s="7" t="s">
        <v>1790</v>
      </c>
      <c r="E400" s="7" t="s">
        <v>1585</v>
      </c>
      <c r="F400" s="7" t="s">
        <v>1597</v>
      </c>
    </row>
    <row r="401" spans="1:6" x14ac:dyDescent="0.25">
      <c r="A401" s="7" t="s">
        <v>1817</v>
      </c>
      <c r="B401" s="7" t="s">
        <v>1818</v>
      </c>
      <c r="C401" s="7" t="s">
        <v>1816</v>
      </c>
      <c r="D401" s="7" t="s">
        <v>1790</v>
      </c>
      <c r="E401" s="7" t="s">
        <v>1585</v>
      </c>
      <c r="F401" s="7" t="s">
        <v>1597</v>
      </c>
    </row>
    <row r="402" spans="1:6" x14ac:dyDescent="0.25">
      <c r="A402" s="7" t="s">
        <v>1819</v>
      </c>
      <c r="B402" s="7" t="s">
        <v>1820</v>
      </c>
      <c r="C402" s="7" t="s">
        <v>1821</v>
      </c>
      <c r="D402" s="7" t="s">
        <v>1790</v>
      </c>
      <c r="E402" s="7" t="s">
        <v>1585</v>
      </c>
      <c r="F402" s="7" t="s">
        <v>1597</v>
      </c>
    </row>
    <row r="403" spans="1:6" x14ac:dyDescent="0.25">
      <c r="A403" s="7" t="s">
        <v>839</v>
      </c>
      <c r="B403" s="7" t="s">
        <v>1822</v>
      </c>
      <c r="C403" s="7" t="s">
        <v>1821</v>
      </c>
      <c r="D403" s="7" t="s">
        <v>1790</v>
      </c>
      <c r="E403" s="7" t="s">
        <v>1585</v>
      </c>
      <c r="F403" s="7" t="s">
        <v>1597</v>
      </c>
    </row>
    <row r="404" spans="1:6" x14ac:dyDescent="0.25">
      <c r="A404" s="7" t="s">
        <v>1823</v>
      </c>
      <c r="B404" s="7" t="s">
        <v>1824</v>
      </c>
      <c r="C404" s="7" t="s">
        <v>1825</v>
      </c>
      <c r="D404" s="7" t="s">
        <v>1592</v>
      </c>
      <c r="E404" s="7" t="s">
        <v>1593</v>
      </c>
      <c r="F404" s="7" t="s">
        <v>1826</v>
      </c>
    </row>
    <row r="405" spans="1:6" x14ac:dyDescent="0.25">
      <c r="A405" s="7" t="s">
        <v>1827</v>
      </c>
      <c r="B405" s="7" t="s">
        <v>1828</v>
      </c>
      <c r="C405" s="7" t="s">
        <v>1829</v>
      </c>
      <c r="D405" s="7" t="s">
        <v>1790</v>
      </c>
      <c r="E405" s="7" t="s">
        <v>1593</v>
      </c>
      <c r="F405" s="7" t="s">
        <v>1826</v>
      </c>
    </row>
    <row r="406" spans="1:6" x14ac:dyDescent="0.25">
      <c r="A406" s="7" t="s">
        <v>1830</v>
      </c>
      <c r="B406" s="7" t="s">
        <v>1831</v>
      </c>
      <c r="C406" s="7" t="s">
        <v>1832</v>
      </c>
      <c r="D406" s="7"/>
      <c r="E406" s="7"/>
      <c r="F406" s="7"/>
    </row>
    <row r="407" spans="1:6" x14ac:dyDescent="0.25">
      <c r="A407" s="7" t="s">
        <v>1833</v>
      </c>
      <c r="B407" s="7" t="s">
        <v>1834</v>
      </c>
      <c r="C407" s="7" t="s">
        <v>1835</v>
      </c>
      <c r="D407" s="7" t="s">
        <v>1836</v>
      </c>
      <c r="E407" s="7" t="s">
        <v>1837</v>
      </c>
      <c r="F407" s="7" t="s">
        <v>1838</v>
      </c>
    </row>
    <row r="408" spans="1:6" x14ac:dyDescent="0.25">
      <c r="A408" s="7" t="s">
        <v>1839</v>
      </c>
      <c r="B408" s="7" t="s">
        <v>1840</v>
      </c>
      <c r="C408" s="7" t="s">
        <v>1835</v>
      </c>
      <c r="D408" s="7" t="s">
        <v>1836</v>
      </c>
      <c r="E408" s="7" t="s">
        <v>1837</v>
      </c>
      <c r="F408" s="7" t="s">
        <v>1838</v>
      </c>
    </row>
    <row r="409" spans="1:6" x14ac:dyDescent="0.25">
      <c r="A409" s="7" t="s">
        <v>1841</v>
      </c>
      <c r="B409" s="7" t="s">
        <v>1842</v>
      </c>
      <c r="C409" s="7" t="s">
        <v>1835</v>
      </c>
      <c r="D409" s="7" t="s">
        <v>1836</v>
      </c>
      <c r="E409" s="7" t="s">
        <v>1837</v>
      </c>
      <c r="F409" s="7" t="s">
        <v>1838</v>
      </c>
    </row>
    <row r="410" spans="1:6" x14ac:dyDescent="0.25">
      <c r="A410" s="7" t="s">
        <v>1843</v>
      </c>
      <c r="B410" s="7" t="s">
        <v>1844</v>
      </c>
      <c r="C410" s="7" t="s">
        <v>1845</v>
      </c>
      <c r="D410" s="7" t="s">
        <v>1846</v>
      </c>
      <c r="E410" s="7" t="s">
        <v>1727</v>
      </c>
      <c r="F410" s="7" t="s">
        <v>1847</v>
      </c>
    </row>
    <row r="411" spans="1:6" x14ac:dyDescent="0.25">
      <c r="A411" s="7" t="s">
        <v>1848</v>
      </c>
      <c r="B411" s="7" t="s">
        <v>1849</v>
      </c>
      <c r="C411" s="7" t="s">
        <v>1850</v>
      </c>
      <c r="D411" s="7" t="s">
        <v>1846</v>
      </c>
      <c r="E411" s="7" t="s">
        <v>1727</v>
      </c>
      <c r="F411" s="7" t="s">
        <v>1847</v>
      </c>
    </row>
    <row r="412" spans="1:6" ht="22.5" x14ac:dyDescent="0.25">
      <c r="A412" s="7" t="s">
        <v>1851</v>
      </c>
      <c r="B412" s="7" t="s">
        <v>1852</v>
      </c>
      <c r="C412" s="7" t="s">
        <v>1853</v>
      </c>
      <c r="D412" s="7" t="s">
        <v>1854</v>
      </c>
      <c r="E412" s="7" t="s">
        <v>1727</v>
      </c>
      <c r="F412" s="7" t="s">
        <v>1728</v>
      </c>
    </row>
    <row r="413" spans="1:6" ht="22.5" x14ac:dyDescent="0.25">
      <c r="A413" s="7" t="s">
        <v>1855</v>
      </c>
      <c r="B413" s="7" t="s">
        <v>1856</v>
      </c>
      <c r="C413" s="7" t="s">
        <v>1857</v>
      </c>
      <c r="D413" s="7" t="s">
        <v>1854</v>
      </c>
      <c r="E413" s="7" t="s">
        <v>1727</v>
      </c>
      <c r="F413" s="7" t="s">
        <v>1728</v>
      </c>
    </row>
    <row r="414" spans="1:6" x14ac:dyDescent="0.25">
      <c r="A414" s="7" t="s">
        <v>1858</v>
      </c>
      <c r="B414" s="7" t="s">
        <v>1859</v>
      </c>
      <c r="C414" s="7" t="s">
        <v>1860</v>
      </c>
      <c r="D414" s="7" t="s">
        <v>1861</v>
      </c>
      <c r="E414" s="7" t="s">
        <v>1593</v>
      </c>
      <c r="F414" s="7" t="s">
        <v>1594</v>
      </c>
    </row>
    <row r="415" spans="1:6" x14ac:dyDescent="0.25">
      <c r="A415" s="7" t="s">
        <v>1862</v>
      </c>
      <c r="B415" s="7" t="s">
        <v>1863</v>
      </c>
      <c r="C415" s="7" t="s">
        <v>1864</v>
      </c>
      <c r="D415" s="7" t="s">
        <v>1861</v>
      </c>
      <c r="E415" s="7" t="s">
        <v>1593</v>
      </c>
      <c r="F415" s="7" t="s">
        <v>1594</v>
      </c>
    </row>
    <row r="416" spans="1:6" x14ac:dyDescent="0.25">
      <c r="A416" s="7" t="s">
        <v>1865</v>
      </c>
      <c r="B416" s="7" t="s">
        <v>1866</v>
      </c>
      <c r="C416" s="7" t="s">
        <v>1867</v>
      </c>
      <c r="D416" s="7" t="s">
        <v>1861</v>
      </c>
      <c r="E416" s="7" t="s">
        <v>1593</v>
      </c>
      <c r="F416" s="7" t="s">
        <v>1594</v>
      </c>
    </row>
    <row r="417" spans="1:6" x14ac:dyDescent="0.25">
      <c r="A417" s="7" t="s">
        <v>240</v>
      </c>
      <c r="B417" s="7" t="s">
        <v>1868</v>
      </c>
      <c r="C417" s="7" t="s">
        <v>1869</v>
      </c>
      <c r="D417" s="7" t="s">
        <v>1861</v>
      </c>
      <c r="E417" s="7" t="s">
        <v>1593</v>
      </c>
      <c r="F417" s="7" t="s">
        <v>1826</v>
      </c>
    </row>
    <row r="418" spans="1:6" x14ac:dyDescent="0.25">
      <c r="A418" s="7" t="s">
        <v>1870</v>
      </c>
      <c r="B418" s="7" t="s">
        <v>1871</v>
      </c>
      <c r="C418" s="7" t="s">
        <v>1869</v>
      </c>
      <c r="D418" s="7" t="s">
        <v>1872</v>
      </c>
      <c r="E418" s="7" t="s">
        <v>1593</v>
      </c>
      <c r="F418" s="7" t="s">
        <v>1826</v>
      </c>
    </row>
    <row r="419" spans="1:6" x14ac:dyDescent="0.25">
      <c r="A419" s="7" t="s">
        <v>243</v>
      </c>
      <c r="B419" s="7" t="s">
        <v>1873</v>
      </c>
      <c r="C419" s="7" t="s">
        <v>1874</v>
      </c>
      <c r="D419" s="7" t="s">
        <v>1861</v>
      </c>
      <c r="E419" s="7" t="s">
        <v>1593</v>
      </c>
      <c r="F419" s="7" t="s">
        <v>1826</v>
      </c>
    </row>
    <row r="420" spans="1:6" x14ac:dyDescent="0.25">
      <c r="A420" s="7" t="s">
        <v>1875</v>
      </c>
      <c r="B420" s="7" t="s">
        <v>1876</v>
      </c>
      <c r="C420" s="7" t="s">
        <v>1877</v>
      </c>
      <c r="D420" s="7" t="s">
        <v>1878</v>
      </c>
      <c r="E420" s="7" t="s">
        <v>1593</v>
      </c>
      <c r="F420" s="7" t="s">
        <v>1594</v>
      </c>
    </row>
    <row r="421" spans="1:6" x14ac:dyDescent="0.25">
      <c r="A421" s="7" t="s">
        <v>1879</v>
      </c>
      <c r="B421" s="7" t="s">
        <v>1880</v>
      </c>
      <c r="C421" s="7" t="s">
        <v>1881</v>
      </c>
      <c r="D421" s="7" t="s">
        <v>1878</v>
      </c>
      <c r="E421" s="7" t="s">
        <v>1593</v>
      </c>
      <c r="F421" s="7" t="s">
        <v>1594</v>
      </c>
    </row>
    <row r="422" spans="1:6" x14ac:dyDescent="0.25">
      <c r="A422" s="7" t="s">
        <v>1882</v>
      </c>
      <c r="B422" s="7" t="s">
        <v>1883</v>
      </c>
      <c r="C422" s="7" t="s">
        <v>1884</v>
      </c>
      <c r="D422" s="7" t="s">
        <v>1878</v>
      </c>
      <c r="E422" s="7" t="s">
        <v>1593</v>
      </c>
      <c r="F422" s="7" t="s">
        <v>1594</v>
      </c>
    </row>
    <row r="423" spans="1:6" x14ac:dyDescent="0.25">
      <c r="A423" s="7" t="s">
        <v>1885</v>
      </c>
      <c r="B423" s="7" t="s">
        <v>1886</v>
      </c>
      <c r="C423" s="7" t="s">
        <v>1887</v>
      </c>
      <c r="D423" s="7" t="s">
        <v>1878</v>
      </c>
      <c r="E423" s="7" t="s">
        <v>1593</v>
      </c>
      <c r="F423" s="7" t="s">
        <v>1594</v>
      </c>
    </row>
    <row r="424" spans="1:6" x14ac:dyDescent="0.25">
      <c r="A424" s="7" t="s">
        <v>1888</v>
      </c>
      <c r="B424" s="7" t="s">
        <v>1889</v>
      </c>
      <c r="C424" s="7" t="s">
        <v>1890</v>
      </c>
      <c r="D424" s="7" t="s">
        <v>1878</v>
      </c>
      <c r="E424" s="7" t="s">
        <v>1593</v>
      </c>
      <c r="F424" s="7" t="s">
        <v>1594</v>
      </c>
    </row>
    <row r="425" spans="1:6" x14ac:dyDescent="0.25">
      <c r="A425" s="7" t="s">
        <v>1891</v>
      </c>
      <c r="B425" s="7" t="s">
        <v>1892</v>
      </c>
      <c r="C425" s="7" t="s">
        <v>1893</v>
      </c>
      <c r="D425" s="7" t="s">
        <v>1878</v>
      </c>
      <c r="E425" s="7" t="s">
        <v>1593</v>
      </c>
      <c r="F425" s="7" t="s">
        <v>1594</v>
      </c>
    </row>
    <row r="426" spans="1:6" x14ac:dyDescent="0.25">
      <c r="A426" s="7" t="s">
        <v>1894</v>
      </c>
      <c r="B426" s="7" t="s">
        <v>1895</v>
      </c>
      <c r="C426" s="7" t="s">
        <v>1896</v>
      </c>
      <c r="D426" s="7" t="s">
        <v>1878</v>
      </c>
      <c r="E426" s="7" t="s">
        <v>1593</v>
      </c>
      <c r="F426" s="7" t="s">
        <v>1594</v>
      </c>
    </row>
    <row r="427" spans="1:6" x14ac:dyDescent="0.25">
      <c r="A427" s="7" t="s">
        <v>1897</v>
      </c>
      <c r="B427" s="7" t="s">
        <v>1898</v>
      </c>
      <c r="C427" s="7" t="s">
        <v>1899</v>
      </c>
      <c r="D427" s="7" t="s">
        <v>1878</v>
      </c>
      <c r="E427" s="7" t="s">
        <v>1593</v>
      </c>
      <c r="F427" s="7" t="s">
        <v>1594</v>
      </c>
    </row>
    <row r="428" spans="1:6" x14ac:dyDescent="0.25">
      <c r="A428" s="7" t="s">
        <v>1900</v>
      </c>
      <c r="B428" s="7" t="s">
        <v>1901</v>
      </c>
      <c r="C428" s="7" t="s">
        <v>1902</v>
      </c>
      <c r="D428" s="7" t="s">
        <v>1878</v>
      </c>
      <c r="E428" s="7" t="s">
        <v>1593</v>
      </c>
      <c r="F428" s="7" t="s">
        <v>1594</v>
      </c>
    </row>
    <row r="429" spans="1:6" x14ac:dyDescent="0.25">
      <c r="A429" s="7" t="s">
        <v>1903</v>
      </c>
      <c r="B429" s="7" t="s">
        <v>1904</v>
      </c>
      <c r="C429" s="7" t="s">
        <v>1905</v>
      </c>
      <c r="D429" s="7" t="s">
        <v>1878</v>
      </c>
      <c r="E429" s="7" t="s">
        <v>1614</v>
      </c>
      <c r="F429" s="7" t="s">
        <v>1786</v>
      </c>
    </row>
    <row r="430" spans="1:6" x14ac:dyDescent="0.25">
      <c r="A430" s="7" t="s">
        <v>1906</v>
      </c>
      <c r="B430" s="7" t="s">
        <v>1907</v>
      </c>
      <c r="C430" s="7" t="s">
        <v>1908</v>
      </c>
      <c r="D430" s="7" t="s">
        <v>1878</v>
      </c>
      <c r="E430" s="7" t="s">
        <v>1614</v>
      </c>
      <c r="F430" s="7" t="s">
        <v>1786</v>
      </c>
    </row>
    <row r="431" spans="1:6" x14ac:dyDescent="0.25">
      <c r="A431" s="7" t="s">
        <v>1909</v>
      </c>
      <c r="B431" s="7" t="s">
        <v>1910</v>
      </c>
      <c r="C431" s="7" t="s">
        <v>1911</v>
      </c>
      <c r="D431" s="7" t="s">
        <v>1613</v>
      </c>
      <c r="E431" s="7" t="s">
        <v>1614</v>
      </c>
      <c r="F431" s="7" t="s">
        <v>1786</v>
      </c>
    </row>
    <row r="432" spans="1:6" x14ac:dyDescent="0.25">
      <c r="A432" s="7" t="s">
        <v>1912</v>
      </c>
      <c r="B432" s="7" t="s">
        <v>1913</v>
      </c>
      <c r="C432" s="7" t="s">
        <v>1914</v>
      </c>
      <c r="D432" s="7" t="s">
        <v>1613</v>
      </c>
      <c r="E432" s="7" t="s">
        <v>1614</v>
      </c>
      <c r="F432" s="7" t="s">
        <v>1786</v>
      </c>
    </row>
    <row r="433" spans="1:6" x14ac:dyDescent="0.25">
      <c r="A433" s="7" t="s">
        <v>1915</v>
      </c>
      <c r="B433" s="7" t="s">
        <v>1916</v>
      </c>
      <c r="C433" s="7" t="s">
        <v>1917</v>
      </c>
      <c r="D433" s="7" t="s">
        <v>1613</v>
      </c>
      <c r="E433" s="7" t="s">
        <v>1614</v>
      </c>
      <c r="F433" s="7" t="s">
        <v>1918</v>
      </c>
    </row>
    <row r="434" spans="1:6" x14ac:dyDescent="0.25">
      <c r="A434" s="7" t="s">
        <v>1919</v>
      </c>
      <c r="B434" s="7" t="s">
        <v>1920</v>
      </c>
      <c r="C434" s="7" t="s">
        <v>1921</v>
      </c>
      <c r="D434" s="7" t="s">
        <v>1613</v>
      </c>
      <c r="E434" s="7" t="s">
        <v>1614</v>
      </c>
      <c r="F434" s="7" t="s">
        <v>1918</v>
      </c>
    </row>
    <row r="435" spans="1:6" x14ac:dyDescent="0.25">
      <c r="A435" s="7" t="s">
        <v>234</v>
      </c>
      <c r="B435" s="7" t="s">
        <v>1922</v>
      </c>
      <c r="C435" s="7" t="s">
        <v>1923</v>
      </c>
      <c r="D435" s="7" t="s">
        <v>1924</v>
      </c>
      <c r="E435" s="7" t="s">
        <v>1614</v>
      </c>
      <c r="F435" s="7" t="s">
        <v>1786</v>
      </c>
    </row>
    <row r="436" spans="1:6" x14ac:dyDescent="0.25">
      <c r="A436" s="7" t="s">
        <v>231</v>
      </c>
      <c r="B436" s="7" t="s">
        <v>1925</v>
      </c>
      <c r="C436" s="7" t="s">
        <v>1926</v>
      </c>
      <c r="D436" s="7" t="s">
        <v>1924</v>
      </c>
      <c r="E436" s="7" t="s">
        <v>1614</v>
      </c>
      <c r="F436" s="7" t="s">
        <v>1786</v>
      </c>
    </row>
    <row r="437" spans="1:6" ht="22.5" x14ac:dyDescent="0.25">
      <c r="A437" s="7" t="s">
        <v>1927</v>
      </c>
      <c r="B437" s="7" t="s">
        <v>1928</v>
      </c>
      <c r="C437" s="7" t="s">
        <v>1929</v>
      </c>
      <c r="D437" s="7" t="s">
        <v>1924</v>
      </c>
      <c r="E437" s="7" t="s">
        <v>1614</v>
      </c>
      <c r="F437" s="7" t="s">
        <v>1786</v>
      </c>
    </row>
    <row r="438" spans="1:6" ht="22.5" x14ac:dyDescent="0.25">
      <c r="A438" s="7" t="s">
        <v>1930</v>
      </c>
      <c r="B438" s="7" t="s">
        <v>1931</v>
      </c>
      <c r="C438" s="7" t="s">
        <v>1932</v>
      </c>
      <c r="D438" s="7" t="s">
        <v>1924</v>
      </c>
      <c r="E438" s="7" t="s">
        <v>1614</v>
      </c>
      <c r="F438" s="7" t="s">
        <v>1786</v>
      </c>
    </row>
    <row r="439" spans="1:6" ht="22.5" x14ac:dyDescent="0.25">
      <c r="A439" s="7" t="s">
        <v>1933</v>
      </c>
      <c r="B439" s="7" t="s">
        <v>1934</v>
      </c>
      <c r="C439" s="7" t="s">
        <v>1935</v>
      </c>
      <c r="D439" s="7" t="s">
        <v>1924</v>
      </c>
      <c r="E439" s="7" t="s">
        <v>1614</v>
      </c>
      <c r="F439" s="7" t="s">
        <v>1786</v>
      </c>
    </row>
    <row r="440" spans="1:6" x14ac:dyDescent="0.25">
      <c r="A440" s="7" t="s">
        <v>786</v>
      </c>
      <c r="B440" s="7" t="s">
        <v>1936</v>
      </c>
      <c r="C440" s="7" t="s">
        <v>1937</v>
      </c>
      <c r="D440" s="7" t="s">
        <v>1938</v>
      </c>
      <c r="E440" s="7" t="s">
        <v>1585</v>
      </c>
      <c r="F440" s="7" t="s">
        <v>1597</v>
      </c>
    </row>
    <row r="441" spans="1:6" x14ac:dyDescent="0.25">
      <c r="A441" s="7" t="s">
        <v>789</v>
      </c>
      <c r="B441" s="7" t="s">
        <v>1939</v>
      </c>
      <c r="C441" s="7" t="s">
        <v>1940</v>
      </c>
      <c r="D441" s="7" t="s">
        <v>1938</v>
      </c>
      <c r="E441" s="7" t="s">
        <v>1585</v>
      </c>
      <c r="F441" s="7" t="s">
        <v>1597</v>
      </c>
    </row>
    <row r="442" spans="1:6" x14ac:dyDescent="0.25">
      <c r="A442" s="7" t="s">
        <v>783</v>
      </c>
      <c r="B442" s="7" t="s">
        <v>1941</v>
      </c>
      <c r="C442" s="7" t="s">
        <v>1942</v>
      </c>
      <c r="D442" s="7" t="s">
        <v>1938</v>
      </c>
      <c r="E442" s="7" t="s">
        <v>1585</v>
      </c>
      <c r="F442" s="7" t="s">
        <v>1597</v>
      </c>
    </row>
    <row r="443" spans="1:6" x14ac:dyDescent="0.25">
      <c r="A443" s="7" t="s">
        <v>1943</v>
      </c>
      <c r="B443" s="7" t="s">
        <v>1944</v>
      </c>
      <c r="C443" s="7" t="s">
        <v>1945</v>
      </c>
      <c r="D443" s="7" t="s">
        <v>1589</v>
      </c>
      <c r="E443" s="7" t="s">
        <v>1585</v>
      </c>
      <c r="F443" s="7" t="s">
        <v>1586</v>
      </c>
    </row>
    <row r="444" spans="1:6" x14ac:dyDescent="0.25">
      <c r="A444" s="7" t="s">
        <v>1946</v>
      </c>
      <c r="B444" s="7" t="s">
        <v>1947</v>
      </c>
      <c r="C444" s="7" t="s">
        <v>1948</v>
      </c>
      <c r="D444" s="7" t="s">
        <v>1589</v>
      </c>
      <c r="E444" s="7" t="s">
        <v>1585</v>
      </c>
      <c r="F444" s="7" t="s">
        <v>1586</v>
      </c>
    </row>
    <row r="445" spans="1:6" x14ac:dyDescent="0.25">
      <c r="A445" s="7" t="s">
        <v>1949</v>
      </c>
      <c r="B445" s="7" t="s">
        <v>1950</v>
      </c>
      <c r="C445" s="7" t="s">
        <v>1951</v>
      </c>
      <c r="D445" s="7" t="s">
        <v>1589</v>
      </c>
      <c r="E445" s="7" t="s">
        <v>1585</v>
      </c>
      <c r="F445" s="7" t="s">
        <v>1586</v>
      </c>
    </row>
    <row r="446" spans="1:6" ht="22.5" x14ac:dyDescent="0.25">
      <c r="A446" s="7" t="s">
        <v>1952</v>
      </c>
      <c r="B446" s="7" t="s">
        <v>1953</v>
      </c>
      <c r="C446" s="7" t="s">
        <v>1954</v>
      </c>
      <c r="D446" s="7"/>
      <c r="E446" s="7"/>
      <c r="F446" s="7"/>
    </row>
    <row r="447" spans="1:6" ht="22.5" x14ac:dyDescent="0.25">
      <c r="A447" s="7" t="s">
        <v>1955</v>
      </c>
      <c r="B447" s="7" t="s">
        <v>1956</v>
      </c>
      <c r="C447" s="7" t="s">
        <v>1957</v>
      </c>
      <c r="D447" s="7"/>
      <c r="E447" s="7"/>
      <c r="F447" s="7"/>
    </row>
    <row r="448" spans="1:6" ht="22.5" x14ac:dyDescent="0.25">
      <c r="A448" s="7" t="s">
        <v>1958</v>
      </c>
      <c r="B448" s="7" t="s">
        <v>1959</v>
      </c>
      <c r="C448" s="7" t="s">
        <v>1960</v>
      </c>
      <c r="D448" s="7"/>
      <c r="E448" s="7"/>
      <c r="F448" s="7"/>
    </row>
    <row r="449" spans="1:6" ht="22.5" x14ac:dyDescent="0.25">
      <c r="A449" s="7" t="s">
        <v>1961</v>
      </c>
      <c r="B449" s="7" t="s">
        <v>1962</v>
      </c>
      <c r="C449" s="7" t="s">
        <v>1963</v>
      </c>
      <c r="D449" s="7"/>
      <c r="E449" s="7"/>
      <c r="F449" s="7"/>
    </row>
    <row r="450" spans="1:6" x14ac:dyDescent="0.25">
      <c r="A450" s="7" t="s">
        <v>1964</v>
      </c>
      <c r="B450" s="7" t="s">
        <v>1965</v>
      </c>
      <c r="C450" s="7" t="s">
        <v>1966</v>
      </c>
      <c r="D450" s="7" t="s">
        <v>1589</v>
      </c>
      <c r="E450" s="7" t="s">
        <v>1585</v>
      </c>
      <c r="F450" s="7" t="s">
        <v>1586</v>
      </c>
    </row>
    <row r="451" spans="1:6" x14ac:dyDescent="0.25">
      <c r="A451" s="7" t="s">
        <v>1967</v>
      </c>
      <c r="B451" s="7" t="s">
        <v>1968</v>
      </c>
      <c r="C451" s="7" t="s">
        <v>1969</v>
      </c>
      <c r="D451" s="7" t="s">
        <v>1589</v>
      </c>
      <c r="E451" s="7" t="s">
        <v>1585</v>
      </c>
      <c r="F451" s="7" t="s">
        <v>1586</v>
      </c>
    </row>
    <row r="452" spans="1:6" x14ac:dyDescent="0.25">
      <c r="A452" s="7" t="s">
        <v>1970</v>
      </c>
      <c r="B452" s="7" t="s">
        <v>1971</v>
      </c>
      <c r="C452" s="7" t="s">
        <v>1972</v>
      </c>
      <c r="D452" s="7" t="s">
        <v>1589</v>
      </c>
      <c r="E452" s="7" t="s">
        <v>1585</v>
      </c>
      <c r="F452" s="7" t="s">
        <v>1586</v>
      </c>
    </row>
    <row r="453" spans="1:6" x14ac:dyDescent="0.25">
      <c r="A453" s="7" t="s">
        <v>1973</v>
      </c>
      <c r="B453" s="7" t="s">
        <v>1974</v>
      </c>
      <c r="C453" s="7" t="s">
        <v>1975</v>
      </c>
      <c r="D453" s="7" t="s">
        <v>1589</v>
      </c>
      <c r="E453" s="7" t="s">
        <v>1585</v>
      </c>
      <c r="F453" s="7" t="s">
        <v>1586</v>
      </c>
    </row>
    <row r="454" spans="1:6" x14ac:dyDescent="0.25">
      <c r="A454" s="7" t="s">
        <v>1976</v>
      </c>
      <c r="B454" s="7" t="s">
        <v>1977</v>
      </c>
      <c r="C454" s="7" t="s">
        <v>1978</v>
      </c>
      <c r="D454" s="7" t="s">
        <v>1589</v>
      </c>
      <c r="E454" s="7" t="s">
        <v>1585</v>
      </c>
      <c r="F454" s="7" t="s">
        <v>1586</v>
      </c>
    </row>
    <row r="455" spans="1:6" x14ac:dyDescent="0.25">
      <c r="A455" s="7" t="s">
        <v>1979</v>
      </c>
      <c r="B455" s="7" t="s">
        <v>1980</v>
      </c>
      <c r="C455" s="7" t="s">
        <v>1981</v>
      </c>
      <c r="D455" s="7" t="s">
        <v>1589</v>
      </c>
      <c r="E455" s="7" t="s">
        <v>1585</v>
      </c>
      <c r="F455" s="7" t="s">
        <v>1586</v>
      </c>
    </row>
    <row r="456" spans="1:6" ht="22.5" x14ac:dyDescent="0.25">
      <c r="A456" s="7" t="s">
        <v>1982</v>
      </c>
      <c r="B456" s="7" t="s">
        <v>1983</v>
      </c>
      <c r="C456" s="7" t="s">
        <v>1984</v>
      </c>
      <c r="D456" s="7" t="s">
        <v>1589</v>
      </c>
      <c r="E456" s="7" t="s">
        <v>1585</v>
      </c>
      <c r="F456" s="7" t="s">
        <v>1586</v>
      </c>
    </row>
    <row r="457" spans="1:6" x14ac:dyDescent="0.25">
      <c r="A457" s="7" t="s">
        <v>1985</v>
      </c>
      <c r="B457" s="7" t="s">
        <v>1986</v>
      </c>
      <c r="C457" s="7" t="s">
        <v>1987</v>
      </c>
      <c r="D457" s="7" t="s">
        <v>1589</v>
      </c>
      <c r="E457" s="7" t="s">
        <v>1585</v>
      </c>
      <c r="F457" s="7" t="s">
        <v>1586</v>
      </c>
    </row>
    <row r="458" spans="1:6" x14ac:dyDescent="0.25">
      <c r="A458" s="7" t="s">
        <v>1988</v>
      </c>
      <c r="B458" s="7" t="s">
        <v>1989</v>
      </c>
      <c r="C458" s="7" t="s">
        <v>1990</v>
      </c>
      <c r="D458" s="7" t="s">
        <v>1589</v>
      </c>
      <c r="E458" s="7" t="s">
        <v>1585</v>
      </c>
      <c r="F458" s="7" t="s">
        <v>1586</v>
      </c>
    </row>
    <row r="459" spans="1:6" x14ac:dyDescent="0.25">
      <c r="A459" s="7" t="s">
        <v>1991</v>
      </c>
      <c r="B459" s="7" t="s">
        <v>1992</v>
      </c>
      <c r="C459" s="7" t="s">
        <v>1993</v>
      </c>
      <c r="D459" s="7" t="s">
        <v>1589</v>
      </c>
      <c r="E459" s="7" t="s">
        <v>1585</v>
      </c>
      <c r="F459" s="7" t="s">
        <v>1586</v>
      </c>
    </row>
    <row r="460" spans="1:6" x14ac:dyDescent="0.25">
      <c r="A460" s="7" t="s">
        <v>1994</v>
      </c>
      <c r="B460" s="7" t="s">
        <v>1995</v>
      </c>
      <c r="C460" s="7" t="s">
        <v>1996</v>
      </c>
      <c r="D460" s="7" t="s">
        <v>1589</v>
      </c>
      <c r="E460" s="7" t="s">
        <v>1585</v>
      </c>
      <c r="F460" s="7" t="s">
        <v>1586</v>
      </c>
    </row>
    <row r="461" spans="1:6" x14ac:dyDescent="0.25">
      <c r="A461" s="7" t="s">
        <v>1997</v>
      </c>
      <c r="B461" s="7" t="s">
        <v>1998</v>
      </c>
      <c r="C461" s="7" t="s">
        <v>1999</v>
      </c>
      <c r="D461" s="7" t="s">
        <v>1589</v>
      </c>
      <c r="E461" s="7" t="s">
        <v>1585</v>
      </c>
      <c r="F461" s="7" t="s">
        <v>1586</v>
      </c>
    </row>
    <row r="462" spans="1:6" x14ac:dyDescent="0.25">
      <c r="A462" s="7" t="s">
        <v>2000</v>
      </c>
      <c r="B462" s="7" t="s">
        <v>2001</v>
      </c>
      <c r="C462" s="7" t="s">
        <v>2002</v>
      </c>
      <c r="D462" s="7" t="s">
        <v>1589</v>
      </c>
      <c r="E462" s="7" t="s">
        <v>1585</v>
      </c>
      <c r="F462" s="7" t="s">
        <v>1586</v>
      </c>
    </row>
    <row r="463" spans="1:6" x14ac:dyDescent="0.25">
      <c r="A463" s="7" t="s">
        <v>2003</v>
      </c>
      <c r="B463" s="7" t="s">
        <v>2004</v>
      </c>
      <c r="C463" s="7" t="s">
        <v>2005</v>
      </c>
      <c r="D463" s="7" t="s">
        <v>1589</v>
      </c>
      <c r="E463" s="7" t="s">
        <v>1585</v>
      </c>
      <c r="F463" s="7" t="s">
        <v>1586</v>
      </c>
    </row>
    <row r="464" spans="1:6" x14ac:dyDescent="0.25">
      <c r="A464" s="7" t="s">
        <v>2006</v>
      </c>
      <c r="B464" s="7" t="s">
        <v>2007</v>
      </c>
      <c r="C464" s="7" t="s">
        <v>2008</v>
      </c>
      <c r="D464" s="7" t="s">
        <v>1589</v>
      </c>
      <c r="E464" s="7" t="s">
        <v>1585</v>
      </c>
      <c r="F464" s="7" t="s">
        <v>1586</v>
      </c>
    </row>
    <row r="465" spans="1:6" x14ac:dyDescent="0.25">
      <c r="A465" s="7" t="s">
        <v>2009</v>
      </c>
      <c r="B465" s="7" t="s">
        <v>2010</v>
      </c>
      <c r="C465" s="7" t="s">
        <v>2011</v>
      </c>
      <c r="D465" s="7" t="s">
        <v>1589</v>
      </c>
      <c r="E465" s="7" t="s">
        <v>1585</v>
      </c>
      <c r="F465" s="7" t="s">
        <v>1586</v>
      </c>
    </row>
    <row r="466" spans="1:6" x14ac:dyDescent="0.25">
      <c r="A466" s="7" t="s">
        <v>2012</v>
      </c>
      <c r="B466" s="7" t="s">
        <v>2013</v>
      </c>
      <c r="C466" s="7" t="s">
        <v>2014</v>
      </c>
      <c r="D466" s="7" t="s">
        <v>1589</v>
      </c>
      <c r="E466" s="7" t="s">
        <v>1585</v>
      </c>
      <c r="F466" s="7" t="s">
        <v>1586</v>
      </c>
    </row>
    <row r="467" spans="1:6" x14ac:dyDescent="0.25">
      <c r="A467" s="7" t="s">
        <v>2015</v>
      </c>
      <c r="B467" s="7" t="s">
        <v>2016</v>
      </c>
      <c r="C467" s="7" t="s">
        <v>2017</v>
      </c>
      <c r="D467" s="7" t="s">
        <v>1589</v>
      </c>
      <c r="E467" s="7" t="s">
        <v>1585</v>
      </c>
      <c r="F467" s="7" t="s">
        <v>1586</v>
      </c>
    </row>
    <row r="468" spans="1:6" x14ac:dyDescent="0.25">
      <c r="A468" s="7" t="s">
        <v>2018</v>
      </c>
      <c r="B468" s="7" t="s">
        <v>2019</v>
      </c>
      <c r="C468" s="7" t="s">
        <v>2020</v>
      </c>
      <c r="D468" s="7" t="s">
        <v>1589</v>
      </c>
      <c r="E468" s="7" t="s">
        <v>1585</v>
      </c>
      <c r="F468" s="7" t="s">
        <v>1586</v>
      </c>
    </row>
    <row r="469" spans="1:6" x14ac:dyDescent="0.25">
      <c r="A469" s="7" t="s">
        <v>2021</v>
      </c>
      <c r="B469" s="7" t="s">
        <v>2022</v>
      </c>
      <c r="C469" s="7" t="s">
        <v>2023</v>
      </c>
      <c r="D469" s="7" t="s">
        <v>1589</v>
      </c>
      <c r="E469" s="7" t="s">
        <v>1585</v>
      </c>
      <c r="F469" s="7" t="s">
        <v>1586</v>
      </c>
    </row>
    <row r="470" spans="1:6" x14ac:dyDescent="0.25">
      <c r="A470" s="7" t="s">
        <v>161</v>
      </c>
      <c r="B470" s="7" t="s">
        <v>2024</v>
      </c>
      <c r="C470" s="7" t="s">
        <v>2025</v>
      </c>
      <c r="D470" s="7" t="s">
        <v>1589</v>
      </c>
      <c r="E470" s="7" t="s">
        <v>1585</v>
      </c>
      <c r="F470" s="7" t="s">
        <v>1586</v>
      </c>
    </row>
    <row r="471" spans="1:6" x14ac:dyDescent="0.25">
      <c r="A471" s="7" t="s">
        <v>455</v>
      </c>
      <c r="B471" s="7" t="s">
        <v>2026</v>
      </c>
      <c r="C471" s="7" t="s">
        <v>2027</v>
      </c>
      <c r="D471" s="7" t="s">
        <v>1589</v>
      </c>
      <c r="E471" s="7" t="s">
        <v>1585</v>
      </c>
      <c r="F471" s="7" t="s">
        <v>1586</v>
      </c>
    </row>
    <row r="472" spans="1:6" x14ac:dyDescent="0.25">
      <c r="A472" s="7" t="s">
        <v>451</v>
      </c>
      <c r="B472" s="7" t="s">
        <v>2028</v>
      </c>
      <c r="C472" s="7" t="s">
        <v>2029</v>
      </c>
      <c r="D472" s="7" t="s">
        <v>1589</v>
      </c>
      <c r="E472" s="7" t="s">
        <v>1585</v>
      </c>
      <c r="F472" s="7" t="s">
        <v>1586</v>
      </c>
    </row>
    <row r="473" spans="1:6" x14ac:dyDescent="0.25">
      <c r="A473" s="7" t="s">
        <v>2030</v>
      </c>
      <c r="B473" s="7" t="s">
        <v>2031</v>
      </c>
      <c r="C473" s="7" t="s">
        <v>2032</v>
      </c>
      <c r="D473" s="7" t="s">
        <v>1589</v>
      </c>
      <c r="E473" s="7" t="s">
        <v>1585</v>
      </c>
      <c r="F473" s="7" t="s">
        <v>1586</v>
      </c>
    </row>
    <row r="474" spans="1:6" ht="22.5" x14ac:dyDescent="0.25">
      <c r="A474" s="7" t="s">
        <v>2033</v>
      </c>
      <c r="B474" s="7" t="s">
        <v>2034</v>
      </c>
      <c r="C474" s="7" t="s">
        <v>2035</v>
      </c>
      <c r="D474" s="7" t="s">
        <v>1938</v>
      </c>
      <c r="E474" s="7" t="s">
        <v>1585</v>
      </c>
      <c r="F474" s="7" t="s">
        <v>1586</v>
      </c>
    </row>
    <row r="475" spans="1:6" x14ac:dyDescent="0.25">
      <c r="A475" s="7" t="s">
        <v>2036</v>
      </c>
      <c r="B475" s="7" t="s">
        <v>2037</v>
      </c>
      <c r="C475" s="7" t="s">
        <v>2038</v>
      </c>
      <c r="D475" s="7" t="s">
        <v>1938</v>
      </c>
      <c r="E475" s="7" t="s">
        <v>1585</v>
      </c>
      <c r="F475" s="7" t="s">
        <v>1586</v>
      </c>
    </row>
    <row r="476" spans="1:6" ht="22.5" x14ac:dyDescent="0.25">
      <c r="A476" s="7" t="s">
        <v>2039</v>
      </c>
      <c r="B476" s="7" t="s">
        <v>2040</v>
      </c>
      <c r="C476" s="7" t="s">
        <v>2041</v>
      </c>
      <c r="D476" s="7" t="s">
        <v>1938</v>
      </c>
      <c r="E476" s="7" t="s">
        <v>1585</v>
      </c>
      <c r="F476" s="7" t="s">
        <v>1586</v>
      </c>
    </row>
    <row r="477" spans="1:6" ht="22.5" x14ac:dyDescent="0.25">
      <c r="A477" s="7" t="s">
        <v>2042</v>
      </c>
      <c r="B477" s="7" t="s">
        <v>2043</v>
      </c>
      <c r="C477" s="7" t="s">
        <v>2044</v>
      </c>
      <c r="D477" s="7" t="s">
        <v>1938</v>
      </c>
      <c r="E477" s="7" t="s">
        <v>1585</v>
      </c>
      <c r="F477" s="7" t="s">
        <v>1586</v>
      </c>
    </row>
    <row r="478" spans="1:6" x14ac:dyDescent="0.25">
      <c r="A478" s="7" t="s">
        <v>2045</v>
      </c>
      <c r="B478" s="7" t="s">
        <v>2046</v>
      </c>
      <c r="C478" s="7" t="s">
        <v>2047</v>
      </c>
      <c r="D478" s="7" t="s">
        <v>1938</v>
      </c>
      <c r="E478" s="7" t="s">
        <v>1585</v>
      </c>
      <c r="F478" s="7" t="s">
        <v>1586</v>
      </c>
    </row>
    <row r="479" spans="1:6" x14ac:dyDescent="0.25">
      <c r="A479" s="7" t="s">
        <v>2048</v>
      </c>
      <c r="B479" s="7" t="s">
        <v>2049</v>
      </c>
      <c r="C479" s="7" t="s">
        <v>2050</v>
      </c>
      <c r="D479" s="7" t="s">
        <v>1938</v>
      </c>
      <c r="E479" s="7" t="s">
        <v>1585</v>
      </c>
      <c r="F479" s="7" t="s">
        <v>1586</v>
      </c>
    </row>
    <row r="480" spans="1:6" x14ac:dyDescent="0.25">
      <c r="A480" s="7" t="s">
        <v>2051</v>
      </c>
      <c r="B480" s="7" t="s">
        <v>2052</v>
      </c>
      <c r="C480" s="7" t="s">
        <v>2053</v>
      </c>
      <c r="D480" s="7" t="s">
        <v>1938</v>
      </c>
      <c r="E480" s="7" t="s">
        <v>1585</v>
      </c>
      <c r="F480" s="7" t="s">
        <v>1586</v>
      </c>
    </row>
    <row r="481" spans="1:6" x14ac:dyDescent="0.25">
      <c r="A481" s="7" t="s">
        <v>2054</v>
      </c>
      <c r="B481" s="7" t="s">
        <v>2055</v>
      </c>
      <c r="C481" s="7" t="s">
        <v>2056</v>
      </c>
      <c r="D481" s="7" t="s">
        <v>1938</v>
      </c>
      <c r="E481" s="7" t="s">
        <v>1585</v>
      </c>
      <c r="F481" s="7" t="s">
        <v>1586</v>
      </c>
    </row>
    <row r="482" spans="1:6" x14ac:dyDescent="0.25">
      <c r="A482" s="7" t="s">
        <v>2057</v>
      </c>
      <c r="B482" s="7" t="s">
        <v>2058</v>
      </c>
      <c r="C482" s="7" t="s">
        <v>2059</v>
      </c>
      <c r="D482" s="7" t="s">
        <v>1938</v>
      </c>
      <c r="E482" s="7" t="s">
        <v>1585</v>
      </c>
      <c r="F482" s="7" t="s">
        <v>1586</v>
      </c>
    </row>
    <row r="483" spans="1:6" x14ac:dyDescent="0.25">
      <c r="A483" s="7" t="s">
        <v>2060</v>
      </c>
      <c r="B483" s="7" t="s">
        <v>2061</v>
      </c>
      <c r="C483" s="7" t="s">
        <v>2062</v>
      </c>
      <c r="D483" s="7" t="s">
        <v>1938</v>
      </c>
      <c r="E483" s="7" t="s">
        <v>1585</v>
      </c>
      <c r="F483" s="7" t="s">
        <v>1586</v>
      </c>
    </row>
    <row r="484" spans="1:6" x14ac:dyDescent="0.25">
      <c r="A484" s="7" t="s">
        <v>2063</v>
      </c>
      <c r="B484" s="7" t="s">
        <v>2064</v>
      </c>
      <c r="C484" s="7" t="s">
        <v>2065</v>
      </c>
      <c r="D484" s="7" t="s">
        <v>1938</v>
      </c>
      <c r="E484" s="7" t="s">
        <v>1585</v>
      </c>
      <c r="F484" s="7" t="s">
        <v>1586</v>
      </c>
    </row>
    <row r="485" spans="1:6" x14ac:dyDescent="0.25">
      <c r="A485" s="7" t="s">
        <v>2066</v>
      </c>
      <c r="B485" s="7" t="s">
        <v>2067</v>
      </c>
      <c r="C485" s="7" t="s">
        <v>2068</v>
      </c>
      <c r="D485" s="7" t="s">
        <v>1938</v>
      </c>
      <c r="E485" s="7" t="s">
        <v>1585</v>
      </c>
      <c r="F485" s="7" t="s">
        <v>1586</v>
      </c>
    </row>
    <row r="486" spans="1:6" x14ac:dyDescent="0.25">
      <c r="A486" s="7" t="s">
        <v>2069</v>
      </c>
      <c r="B486" s="7" t="s">
        <v>2070</v>
      </c>
      <c r="C486" s="7" t="s">
        <v>2071</v>
      </c>
      <c r="D486" s="7" t="s">
        <v>1938</v>
      </c>
      <c r="E486" s="7" t="s">
        <v>1585</v>
      </c>
      <c r="F486" s="7" t="s">
        <v>1597</v>
      </c>
    </row>
    <row r="487" spans="1:6" x14ac:dyDescent="0.25">
      <c r="A487" s="7" t="s">
        <v>2072</v>
      </c>
      <c r="B487" s="7" t="s">
        <v>2073</v>
      </c>
      <c r="C487" s="7" t="s">
        <v>2074</v>
      </c>
      <c r="D487" s="7" t="s">
        <v>1938</v>
      </c>
      <c r="E487" s="7" t="s">
        <v>1585</v>
      </c>
      <c r="F487" s="7" t="s">
        <v>1597</v>
      </c>
    </row>
    <row r="488" spans="1:6" x14ac:dyDescent="0.25">
      <c r="A488" s="7" t="s">
        <v>2075</v>
      </c>
      <c r="B488" s="7" t="s">
        <v>2076</v>
      </c>
      <c r="C488" s="7" t="s">
        <v>2077</v>
      </c>
      <c r="D488" s="7" t="s">
        <v>1633</v>
      </c>
      <c r="E488" s="7" t="s">
        <v>1634</v>
      </c>
      <c r="F488" s="7" t="s">
        <v>2078</v>
      </c>
    </row>
    <row r="489" spans="1:6" ht="22.5" x14ac:dyDescent="0.25">
      <c r="A489" s="7" t="s">
        <v>2079</v>
      </c>
      <c r="B489" s="7" t="s">
        <v>2080</v>
      </c>
      <c r="C489" s="7" t="s">
        <v>2081</v>
      </c>
      <c r="D489" s="7" t="s">
        <v>1633</v>
      </c>
      <c r="E489" s="7" t="s">
        <v>1634</v>
      </c>
      <c r="F489" s="7" t="s">
        <v>2078</v>
      </c>
    </row>
    <row r="490" spans="1:6" x14ac:dyDescent="0.25">
      <c r="A490" s="7" t="s">
        <v>2082</v>
      </c>
      <c r="B490" s="7" t="s">
        <v>2083</v>
      </c>
      <c r="C490" s="7" t="s">
        <v>2084</v>
      </c>
      <c r="D490" s="7" t="s">
        <v>1633</v>
      </c>
      <c r="E490" s="7" t="s">
        <v>1634</v>
      </c>
      <c r="F490" s="7" t="s">
        <v>2078</v>
      </c>
    </row>
    <row r="491" spans="1:6" x14ac:dyDescent="0.25">
      <c r="A491" s="7" t="s">
        <v>2085</v>
      </c>
      <c r="B491" s="7" t="s">
        <v>2086</v>
      </c>
      <c r="C491" s="7" t="s">
        <v>2087</v>
      </c>
      <c r="D491" s="7" t="s">
        <v>1633</v>
      </c>
      <c r="E491" s="7" t="s">
        <v>1634</v>
      </c>
      <c r="F491" s="7" t="s">
        <v>2078</v>
      </c>
    </row>
    <row r="492" spans="1:6" x14ac:dyDescent="0.25">
      <c r="A492" s="7" t="s">
        <v>2088</v>
      </c>
      <c r="B492" s="7" t="s">
        <v>2089</v>
      </c>
      <c r="C492" s="7" t="s">
        <v>2090</v>
      </c>
      <c r="D492" s="7" t="s">
        <v>1633</v>
      </c>
      <c r="E492" s="7" t="s">
        <v>1634</v>
      </c>
      <c r="F492" s="7" t="s">
        <v>2078</v>
      </c>
    </row>
    <row r="493" spans="1:6" x14ac:dyDescent="0.25">
      <c r="A493" s="7" t="s">
        <v>2091</v>
      </c>
      <c r="B493" s="7" t="s">
        <v>2092</v>
      </c>
      <c r="C493" s="7" t="s">
        <v>2093</v>
      </c>
      <c r="D493" s="7" t="s">
        <v>1633</v>
      </c>
      <c r="E493" s="7" t="s">
        <v>1634</v>
      </c>
      <c r="F493" s="7" t="s">
        <v>2078</v>
      </c>
    </row>
    <row r="494" spans="1:6" x14ac:dyDescent="0.25">
      <c r="A494" s="7" t="s">
        <v>2094</v>
      </c>
      <c r="B494" s="7" t="s">
        <v>2095</v>
      </c>
      <c r="C494" s="7" t="s">
        <v>2096</v>
      </c>
      <c r="D494" s="7" t="s">
        <v>1633</v>
      </c>
      <c r="E494" s="7" t="s">
        <v>1634</v>
      </c>
      <c r="F494" s="7" t="s">
        <v>2078</v>
      </c>
    </row>
    <row r="495" spans="1:6" x14ac:dyDescent="0.25">
      <c r="A495" s="7" t="s">
        <v>2097</v>
      </c>
      <c r="B495" s="7" t="s">
        <v>2098</v>
      </c>
      <c r="C495" s="7" t="s">
        <v>2099</v>
      </c>
      <c r="D495" s="7" t="s">
        <v>1633</v>
      </c>
      <c r="E495" s="7" t="s">
        <v>1634</v>
      </c>
      <c r="F495" s="7" t="s">
        <v>2078</v>
      </c>
    </row>
    <row r="496" spans="1:6" x14ac:dyDescent="0.25">
      <c r="A496" s="7" t="s">
        <v>2100</v>
      </c>
      <c r="B496" s="7" t="s">
        <v>2101</v>
      </c>
      <c r="C496" s="7" t="s">
        <v>2102</v>
      </c>
      <c r="D496" s="7" t="s">
        <v>1633</v>
      </c>
      <c r="E496" s="7" t="s">
        <v>1634</v>
      </c>
      <c r="F496" s="7" t="s">
        <v>1711</v>
      </c>
    </row>
    <row r="497" spans="1:6" x14ac:dyDescent="0.25">
      <c r="A497" s="7" t="s">
        <v>2103</v>
      </c>
      <c r="B497" s="7" t="s">
        <v>2104</v>
      </c>
      <c r="C497" s="7" t="s">
        <v>2102</v>
      </c>
      <c r="D497" s="7" t="s">
        <v>1633</v>
      </c>
      <c r="E497" s="7" t="s">
        <v>1634</v>
      </c>
      <c r="F497" s="7" t="s">
        <v>1711</v>
      </c>
    </row>
    <row r="498" spans="1:6" x14ac:dyDescent="0.25">
      <c r="A498" s="7" t="s">
        <v>2105</v>
      </c>
      <c r="B498" s="7" t="s">
        <v>2106</v>
      </c>
      <c r="C498" s="7" t="s">
        <v>2107</v>
      </c>
      <c r="D498" s="7" t="s">
        <v>1633</v>
      </c>
      <c r="E498" s="7" t="s">
        <v>1634</v>
      </c>
      <c r="F498" s="7" t="s">
        <v>2108</v>
      </c>
    </row>
    <row r="499" spans="1:6" x14ac:dyDescent="0.25">
      <c r="A499" s="7" t="s">
        <v>2109</v>
      </c>
      <c r="B499" s="7" t="s">
        <v>2110</v>
      </c>
      <c r="C499" s="7" t="s">
        <v>2107</v>
      </c>
      <c r="D499" s="7" t="s">
        <v>1633</v>
      </c>
      <c r="E499" s="7" t="s">
        <v>1634</v>
      </c>
      <c r="F499" s="7" t="s">
        <v>2108</v>
      </c>
    </row>
    <row r="500" spans="1:6" ht="22.5" x14ac:dyDescent="0.25">
      <c r="A500" s="7" t="s">
        <v>2111</v>
      </c>
      <c r="B500" s="7" t="s">
        <v>2112</v>
      </c>
      <c r="C500" s="7" t="s">
        <v>2113</v>
      </c>
      <c r="D500" s="7" t="s">
        <v>1633</v>
      </c>
      <c r="E500" s="7" t="s">
        <v>1634</v>
      </c>
      <c r="F500" s="7" t="s">
        <v>2114</v>
      </c>
    </row>
    <row r="501" spans="1:6" ht="22.5" x14ac:dyDescent="0.25">
      <c r="A501" s="7" t="s">
        <v>2115</v>
      </c>
      <c r="B501" s="7" t="s">
        <v>2116</v>
      </c>
      <c r="C501" s="7" t="s">
        <v>2113</v>
      </c>
      <c r="D501" s="7" t="s">
        <v>1633</v>
      </c>
      <c r="E501" s="7" t="s">
        <v>1634</v>
      </c>
      <c r="F501" s="7" t="s">
        <v>2114</v>
      </c>
    </row>
    <row r="502" spans="1:6" x14ac:dyDescent="0.25">
      <c r="A502" s="7" t="s">
        <v>2117</v>
      </c>
      <c r="B502" s="7" t="s">
        <v>2118</v>
      </c>
      <c r="C502" s="7" t="s">
        <v>2119</v>
      </c>
      <c r="D502" s="7" t="s">
        <v>1633</v>
      </c>
      <c r="E502" s="7" t="s">
        <v>1634</v>
      </c>
      <c r="F502" s="7" t="s">
        <v>2120</v>
      </c>
    </row>
    <row r="503" spans="1:6" x14ac:dyDescent="0.25">
      <c r="A503" s="7" t="s">
        <v>2121</v>
      </c>
      <c r="B503" s="7" t="s">
        <v>2122</v>
      </c>
      <c r="C503" s="7" t="s">
        <v>2123</v>
      </c>
      <c r="D503" s="7" t="s">
        <v>1633</v>
      </c>
      <c r="E503" s="7" t="s">
        <v>1634</v>
      </c>
      <c r="F503" s="7" t="s">
        <v>2120</v>
      </c>
    </row>
    <row r="504" spans="1:6" x14ac:dyDescent="0.25">
      <c r="A504" s="7" t="s">
        <v>2124</v>
      </c>
      <c r="B504" s="7" t="s">
        <v>2125</v>
      </c>
      <c r="C504" s="7" t="s">
        <v>2126</v>
      </c>
      <c r="D504" s="7" t="s">
        <v>1633</v>
      </c>
      <c r="E504" s="7" t="s">
        <v>1634</v>
      </c>
      <c r="F504" s="7" t="s">
        <v>2120</v>
      </c>
    </row>
    <row r="505" spans="1:6" x14ac:dyDescent="0.25">
      <c r="A505" s="7" t="s">
        <v>2127</v>
      </c>
      <c r="B505" s="7" t="s">
        <v>2128</v>
      </c>
      <c r="C505" s="7" t="s">
        <v>2129</v>
      </c>
      <c r="D505" s="7" t="s">
        <v>1633</v>
      </c>
      <c r="E505" s="7" t="s">
        <v>1634</v>
      </c>
      <c r="F505" s="7" t="s">
        <v>2120</v>
      </c>
    </row>
    <row r="506" spans="1:6" ht="22.5" x14ac:dyDescent="0.25">
      <c r="A506" s="7" t="s">
        <v>2130</v>
      </c>
      <c r="B506" s="7" t="s">
        <v>2131</v>
      </c>
      <c r="C506" s="7" t="s">
        <v>2132</v>
      </c>
      <c r="D506" s="7" t="s">
        <v>1633</v>
      </c>
      <c r="E506" s="7" t="s">
        <v>1634</v>
      </c>
      <c r="F506" s="7" t="s">
        <v>2120</v>
      </c>
    </row>
    <row r="507" spans="1:6" ht="22.5" x14ac:dyDescent="0.25">
      <c r="A507" s="7" t="s">
        <v>2133</v>
      </c>
      <c r="B507" s="7" t="s">
        <v>2134</v>
      </c>
      <c r="C507" s="7" t="s">
        <v>2135</v>
      </c>
      <c r="D507" s="7" t="s">
        <v>1633</v>
      </c>
      <c r="E507" s="7" t="s">
        <v>1634</v>
      </c>
      <c r="F507" s="7" t="s">
        <v>2120</v>
      </c>
    </row>
    <row r="508" spans="1:6" ht="22.5" x14ac:dyDescent="0.25">
      <c r="A508" s="7" t="s">
        <v>2136</v>
      </c>
      <c r="B508" s="7" t="s">
        <v>2137</v>
      </c>
      <c r="C508" s="7" t="s">
        <v>2138</v>
      </c>
      <c r="D508" s="7" t="s">
        <v>1633</v>
      </c>
      <c r="E508" s="7" t="s">
        <v>1634</v>
      </c>
      <c r="F508" s="7" t="s">
        <v>2120</v>
      </c>
    </row>
    <row r="509" spans="1:6" ht="22.5" x14ac:dyDescent="0.25">
      <c r="A509" s="7" t="s">
        <v>2139</v>
      </c>
      <c r="B509" s="7" t="s">
        <v>2140</v>
      </c>
      <c r="C509" s="7" t="s">
        <v>2141</v>
      </c>
      <c r="D509" s="7" t="s">
        <v>1633</v>
      </c>
      <c r="E509" s="7" t="s">
        <v>1634</v>
      </c>
      <c r="F509" s="7" t="s">
        <v>2120</v>
      </c>
    </row>
    <row r="510" spans="1:6" x14ac:dyDescent="0.25">
      <c r="A510" s="7" t="s">
        <v>2142</v>
      </c>
      <c r="B510" s="7" t="s">
        <v>2143</v>
      </c>
      <c r="C510" s="7" t="s">
        <v>2144</v>
      </c>
      <c r="D510" s="7" t="s">
        <v>1633</v>
      </c>
      <c r="E510" s="7" t="s">
        <v>1634</v>
      </c>
      <c r="F510" s="7" t="s">
        <v>2145</v>
      </c>
    </row>
    <row r="511" spans="1:6" x14ac:dyDescent="0.25">
      <c r="A511" s="7" t="s">
        <v>2146</v>
      </c>
      <c r="B511" s="7" t="s">
        <v>2147</v>
      </c>
      <c r="C511" s="7" t="s">
        <v>2148</v>
      </c>
      <c r="D511" s="7" t="s">
        <v>1633</v>
      </c>
      <c r="E511" s="7" t="s">
        <v>1634</v>
      </c>
      <c r="F511" s="7" t="s">
        <v>1635</v>
      </c>
    </row>
    <row r="512" spans="1:6" x14ac:dyDescent="0.25">
      <c r="A512" s="7" t="s">
        <v>487</v>
      </c>
      <c r="B512" s="7" t="s">
        <v>2149</v>
      </c>
      <c r="C512" s="7" t="s">
        <v>2150</v>
      </c>
      <c r="D512" s="7" t="s">
        <v>1633</v>
      </c>
      <c r="E512" s="7" t="s">
        <v>1634</v>
      </c>
      <c r="F512" s="7" t="s">
        <v>1635</v>
      </c>
    </row>
    <row r="513" spans="1:6" x14ac:dyDescent="0.25">
      <c r="A513" s="7" t="s">
        <v>2151</v>
      </c>
      <c r="B513" s="7" t="s">
        <v>2152</v>
      </c>
      <c r="C513" s="7" t="s">
        <v>2153</v>
      </c>
      <c r="D513" s="7" t="s">
        <v>1633</v>
      </c>
      <c r="E513" s="7" t="s">
        <v>1634</v>
      </c>
      <c r="F513" s="7" t="s">
        <v>2154</v>
      </c>
    </row>
    <row r="514" spans="1:6" ht="22.5" x14ac:dyDescent="0.25">
      <c r="A514" s="7" t="s">
        <v>2155</v>
      </c>
      <c r="B514" s="7" t="s">
        <v>2156</v>
      </c>
      <c r="C514" s="7" t="s">
        <v>2157</v>
      </c>
      <c r="D514" s="7" t="s">
        <v>2158</v>
      </c>
      <c r="E514" s="7" t="s">
        <v>1646</v>
      </c>
      <c r="F514" s="7" t="s">
        <v>2159</v>
      </c>
    </row>
    <row r="515" spans="1:6" ht="22.5" x14ac:dyDescent="0.25">
      <c r="A515" s="7" t="s">
        <v>2160</v>
      </c>
      <c r="B515" s="7" t="s">
        <v>2161</v>
      </c>
      <c r="C515" s="7" t="s">
        <v>2162</v>
      </c>
      <c r="D515" s="7" t="s">
        <v>1633</v>
      </c>
      <c r="E515" s="7" t="s">
        <v>1727</v>
      </c>
      <c r="F515" s="7" t="s">
        <v>2163</v>
      </c>
    </row>
    <row r="516" spans="1:6" x14ac:dyDescent="0.25">
      <c r="A516" s="7" t="s">
        <v>2164</v>
      </c>
      <c r="B516" s="7" t="s">
        <v>2165</v>
      </c>
      <c r="C516" s="7" t="s">
        <v>2166</v>
      </c>
      <c r="D516" s="7" t="s">
        <v>1658</v>
      </c>
      <c r="E516" s="7" t="s">
        <v>1659</v>
      </c>
      <c r="F516" s="7" t="s">
        <v>1660</v>
      </c>
    </row>
    <row r="517" spans="1:6" x14ac:dyDescent="0.25">
      <c r="A517" s="7" t="s">
        <v>2167</v>
      </c>
      <c r="B517" s="7" t="s">
        <v>2168</v>
      </c>
      <c r="C517" s="7" t="s">
        <v>2169</v>
      </c>
      <c r="D517" s="7" t="s">
        <v>2158</v>
      </c>
      <c r="E517" s="7" t="s">
        <v>1646</v>
      </c>
      <c r="F517" s="7" t="s">
        <v>2170</v>
      </c>
    </row>
    <row r="518" spans="1:6" x14ac:dyDescent="0.25">
      <c r="A518" s="7" t="s">
        <v>2171</v>
      </c>
      <c r="B518" s="7" t="s">
        <v>2172</v>
      </c>
      <c r="C518" s="7" t="s">
        <v>2173</v>
      </c>
      <c r="D518" s="7" t="s">
        <v>2158</v>
      </c>
      <c r="E518" s="7" t="s">
        <v>1646</v>
      </c>
      <c r="F518" s="7" t="s">
        <v>1647</v>
      </c>
    </row>
    <row r="519" spans="1:6" x14ac:dyDescent="0.25">
      <c r="A519" s="7" t="s">
        <v>2174</v>
      </c>
      <c r="B519" s="7" t="s">
        <v>2175</v>
      </c>
      <c r="C519" s="7" t="s">
        <v>2176</v>
      </c>
      <c r="D519" s="7" t="s">
        <v>2177</v>
      </c>
      <c r="E519" s="7" t="s">
        <v>1593</v>
      </c>
      <c r="F519" s="7" t="s">
        <v>1594</v>
      </c>
    </row>
    <row r="520" spans="1:6" x14ac:dyDescent="0.25">
      <c r="A520" s="7" t="s">
        <v>2178</v>
      </c>
      <c r="B520" s="7" t="s">
        <v>2179</v>
      </c>
      <c r="C520" s="7" t="s">
        <v>2180</v>
      </c>
      <c r="D520" s="7" t="s">
        <v>2177</v>
      </c>
      <c r="E520" s="7" t="s">
        <v>1593</v>
      </c>
      <c r="F520" s="7" t="s">
        <v>1594</v>
      </c>
    </row>
    <row r="521" spans="1:6" x14ac:dyDescent="0.25">
      <c r="A521" s="7" t="s">
        <v>2181</v>
      </c>
      <c r="B521" s="7" t="s">
        <v>2182</v>
      </c>
      <c r="C521" s="7" t="s">
        <v>2183</v>
      </c>
      <c r="D521" s="7" t="s">
        <v>2177</v>
      </c>
      <c r="E521" s="7" t="s">
        <v>1593</v>
      </c>
      <c r="F521" s="7" t="s">
        <v>1594</v>
      </c>
    </row>
    <row r="522" spans="1:6" x14ac:dyDescent="0.25">
      <c r="A522" s="7" t="s">
        <v>2184</v>
      </c>
      <c r="B522" s="7" t="s">
        <v>2185</v>
      </c>
      <c r="C522" s="7" t="s">
        <v>2186</v>
      </c>
      <c r="D522" s="7" t="s">
        <v>1872</v>
      </c>
      <c r="E522" s="7" t="s">
        <v>1593</v>
      </c>
      <c r="F522" s="7" t="s">
        <v>1826</v>
      </c>
    </row>
    <row r="523" spans="1:6" x14ac:dyDescent="0.25">
      <c r="A523" s="7" t="s">
        <v>2187</v>
      </c>
      <c r="B523" s="7" t="s">
        <v>2188</v>
      </c>
      <c r="C523" s="7" t="s">
        <v>2189</v>
      </c>
      <c r="D523" s="7" t="s">
        <v>1872</v>
      </c>
      <c r="E523" s="7" t="s">
        <v>1593</v>
      </c>
      <c r="F523" s="7" t="s">
        <v>1826</v>
      </c>
    </row>
    <row r="524" spans="1:6" x14ac:dyDescent="0.25">
      <c r="A524" s="7" t="s">
        <v>2190</v>
      </c>
      <c r="B524" s="7" t="s">
        <v>2191</v>
      </c>
      <c r="C524" s="7" t="s">
        <v>2192</v>
      </c>
      <c r="D524" s="7" t="s">
        <v>1872</v>
      </c>
      <c r="E524" s="7" t="s">
        <v>1593</v>
      </c>
      <c r="F524" s="7" t="s">
        <v>1826</v>
      </c>
    </row>
    <row r="525" spans="1:6" x14ac:dyDescent="0.25">
      <c r="A525" s="7" t="s">
        <v>2193</v>
      </c>
      <c r="B525" s="7" t="s">
        <v>2194</v>
      </c>
      <c r="C525" s="7" t="s">
        <v>2192</v>
      </c>
      <c r="D525" s="7" t="s">
        <v>1872</v>
      </c>
      <c r="E525" s="7" t="s">
        <v>1593</v>
      </c>
      <c r="F525" s="7" t="s">
        <v>1826</v>
      </c>
    </row>
    <row r="526" spans="1:6" x14ac:dyDescent="0.25">
      <c r="A526" s="7" t="s">
        <v>2195</v>
      </c>
      <c r="B526" s="7" t="s">
        <v>2196</v>
      </c>
      <c r="C526" s="7" t="s">
        <v>2197</v>
      </c>
      <c r="D526" s="7" t="s">
        <v>1872</v>
      </c>
      <c r="E526" s="7" t="s">
        <v>1593</v>
      </c>
      <c r="F526" s="7" t="s">
        <v>1826</v>
      </c>
    </row>
    <row r="527" spans="1:6" ht="22.5" x14ac:dyDescent="0.25">
      <c r="A527" s="7" t="s">
        <v>2198</v>
      </c>
      <c r="B527" s="7" t="s">
        <v>2199</v>
      </c>
      <c r="C527" s="7" t="s">
        <v>2200</v>
      </c>
      <c r="D527" s="7"/>
      <c r="E527" s="7"/>
      <c r="F527" s="7"/>
    </row>
    <row r="528" spans="1:6" ht="22.5" x14ac:dyDescent="0.25">
      <c r="A528" s="7" t="s">
        <v>2201</v>
      </c>
      <c r="B528" s="7" t="s">
        <v>2202</v>
      </c>
      <c r="C528" s="7" t="s">
        <v>2203</v>
      </c>
      <c r="D528" s="7"/>
      <c r="E528" s="7"/>
      <c r="F528" s="7"/>
    </row>
    <row r="529" spans="1:6" x14ac:dyDescent="0.25">
      <c r="A529" s="7" t="s">
        <v>2204</v>
      </c>
      <c r="B529" s="7" t="s">
        <v>2205</v>
      </c>
      <c r="C529" s="7" t="s">
        <v>2206</v>
      </c>
      <c r="D529" s="7" t="s">
        <v>2207</v>
      </c>
      <c r="E529" s="7" t="s">
        <v>1585</v>
      </c>
      <c r="F529" s="7" t="s">
        <v>1586</v>
      </c>
    </row>
    <row r="530" spans="1:6" ht="22.5" x14ac:dyDescent="0.25">
      <c r="A530" s="7" t="s">
        <v>2208</v>
      </c>
      <c r="B530" s="7" t="s">
        <v>2209</v>
      </c>
      <c r="C530" s="7" t="s">
        <v>2210</v>
      </c>
      <c r="D530" s="7"/>
      <c r="E530" s="7"/>
      <c r="F530" s="7"/>
    </row>
    <row r="531" spans="1:6" x14ac:dyDescent="0.25">
      <c r="A531" s="7" t="s">
        <v>2211</v>
      </c>
      <c r="B531" s="7" t="s">
        <v>2212</v>
      </c>
      <c r="C531" s="7" t="s">
        <v>2213</v>
      </c>
      <c r="D531" s="7"/>
      <c r="E531" s="7"/>
      <c r="F531" s="7"/>
    </row>
    <row r="532" spans="1:6" ht="22.5" x14ac:dyDescent="0.25">
      <c r="A532" s="7" t="s">
        <v>2214</v>
      </c>
      <c r="B532" s="7" t="s">
        <v>2215</v>
      </c>
      <c r="C532" s="7" t="s">
        <v>2216</v>
      </c>
      <c r="D532" s="7"/>
      <c r="E532" s="7"/>
      <c r="F532" s="7"/>
    </row>
    <row r="533" spans="1:6" x14ac:dyDescent="0.25">
      <c r="A533" s="7" t="s">
        <v>2217</v>
      </c>
      <c r="B533" s="7" t="s">
        <v>2218</v>
      </c>
      <c r="C533" s="7" t="s">
        <v>2219</v>
      </c>
      <c r="D533" s="7" t="s">
        <v>2207</v>
      </c>
      <c r="E533" s="7" t="s">
        <v>1585</v>
      </c>
      <c r="F533" s="7" t="s">
        <v>1586</v>
      </c>
    </row>
    <row r="534" spans="1:6" x14ac:dyDescent="0.25">
      <c r="A534" s="7" t="s">
        <v>2220</v>
      </c>
      <c r="B534" s="7" t="s">
        <v>2221</v>
      </c>
      <c r="C534" s="7" t="s">
        <v>2222</v>
      </c>
      <c r="D534" s="7" t="s">
        <v>2207</v>
      </c>
      <c r="E534" s="7" t="s">
        <v>1585</v>
      </c>
      <c r="F534" s="7" t="s">
        <v>1586</v>
      </c>
    </row>
    <row r="535" spans="1:6" x14ac:dyDescent="0.25">
      <c r="A535" s="7" t="s">
        <v>2223</v>
      </c>
      <c r="B535" s="7" t="s">
        <v>2224</v>
      </c>
      <c r="C535" s="7" t="s">
        <v>2225</v>
      </c>
      <c r="D535" s="7"/>
      <c r="E535" s="7"/>
      <c r="F535" s="7"/>
    </row>
    <row r="536" spans="1:6" x14ac:dyDescent="0.25">
      <c r="A536" s="7" t="s">
        <v>2226</v>
      </c>
      <c r="B536" s="7" t="s">
        <v>2227</v>
      </c>
      <c r="C536" s="7" t="s">
        <v>2228</v>
      </c>
      <c r="D536" s="7" t="s">
        <v>2229</v>
      </c>
      <c r="E536" s="7" t="s">
        <v>1614</v>
      </c>
      <c r="F536" s="7" t="s">
        <v>1786</v>
      </c>
    </row>
    <row r="537" spans="1:6" x14ac:dyDescent="0.25">
      <c r="A537" s="7" t="s">
        <v>2230</v>
      </c>
      <c r="B537" s="7" t="s">
        <v>2231</v>
      </c>
      <c r="C537" s="7" t="s">
        <v>2232</v>
      </c>
      <c r="D537" s="7" t="s">
        <v>2229</v>
      </c>
      <c r="E537" s="7" t="s">
        <v>1614</v>
      </c>
      <c r="F537" s="7" t="s">
        <v>1786</v>
      </c>
    </row>
    <row r="538" spans="1:6" x14ac:dyDescent="0.25">
      <c r="A538" s="7" t="s">
        <v>2233</v>
      </c>
      <c r="B538" s="7" t="s">
        <v>2234</v>
      </c>
      <c r="C538" s="7" t="s">
        <v>2235</v>
      </c>
      <c r="D538" s="7" t="s">
        <v>2229</v>
      </c>
      <c r="E538" s="7" t="s">
        <v>1614</v>
      </c>
      <c r="F538" s="7" t="s">
        <v>1786</v>
      </c>
    </row>
    <row r="539" spans="1:6" x14ac:dyDescent="0.25">
      <c r="A539" s="7" t="s">
        <v>2236</v>
      </c>
      <c r="B539" s="7" t="s">
        <v>2237</v>
      </c>
      <c r="C539" s="7" t="s">
        <v>2238</v>
      </c>
      <c r="D539" s="7" t="s">
        <v>2229</v>
      </c>
      <c r="E539" s="7" t="s">
        <v>1585</v>
      </c>
      <c r="F539" s="7" t="s">
        <v>1586</v>
      </c>
    </row>
    <row r="540" spans="1:6" x14ac:dyDescent="0.25">
      <c r="A540" s="7" t="s">
        <v>2239</v>
      </c>
      <c r="B540" s="7" t="s">
        <v>2240</v>
      </c>
      <c r="C540" s="7" t="s">
        <v>2241</v>
      </c>
      <c r="D540" s="7" t="s">
        <v>2229</v>
      </c>
      <c r="E540" s="7" t="s">
        <v>1585</v>
      </c>
      <c r="F540" s="7" t="s">
        <v>1586</v>
      </c>
    </row>
    <row r="541" spans="1:6" ht="22.5" x14ac:dyDescent="0.25">
      <c r="A541" s="7" t="s">
        <v>2242</v>
      </c>
      <c r="B541" s="7" t="s">
        <v>2243</v>
      </c>
      <c r="C541" s="7" t="s">
        <v>2244</v>
      </c>
      <c r="D541" s="7" t="s">
        <v>2229</v>
      </c>
      <c r="E541" s="7" t="s">
        <v>1585</v>
      </c>
      <c r="F541" s="7" t="s">
        <v>1586</v>
      </c>
    </row>
    <row r="542" spans="1:6" x14ac:dyDescent="0.25">
      <c r="A542" s="7" t="s">
        <v>2245</v>
      </c>
      <c r="B542" s="7" t="s">
        <v>2246</v>
      </c>
      <c r="C542" s="7" t="s">
        <v>2247</v>
      </c>
      <c r="D542" s="7" t="s">
        <v>2229</v>
      </c>
      <c r="E542" s="7" t="s">
        <v>1585</v>
      </c>
      <c r="F542" s="7" t="s">
        <v>1586</v>
      </c>
    </row>
    <row r="543" spans="1:6" ht="22.5" x14ac:dyDescent="0.25">
      <c r="A543" s="7" t="s">
        <v>2248</v>
      </c>
      <c r="B543" s="7" t="s">
        <v>2249</v>
      </c>
      <c r="C543" s="7" t="s">
        <v>2250</v>
      </c>
      <c r="D543" s="7" t="s">
        <v>2229</v>
      </c>
      <c r="E543" s="7" t="s">
        <v>1585</v>
      </c>
      <c r="F543" s="7" t="s">
        <v>1586</v>
      </c>
    </row>
    <row r="544" spans="1:6" x14ac:dyDescent="0.25">
      <c r="A544" s="7" t="s">
        <v>2251</v>
      </c>
      <c r="B544" s="7" t="s">
        <v>2252</v>
      </c>
      <c r="C544" s="7" t="s">
        <v>2253</v>
      </c>
      <c r="D544" s="7" t="s">
        <v>2229</v>
      </c>
      <c r="E544" s="7" t="s">
        <v>1585</v>
      </c>
      <c r="F544" s="7" t="s">
        <v>1586</v>
      </c>
    </row>
    <row r="545" spans="1:6" x14ac:dyDescent="0.25">
      <c r="A545" s="7" t="s">
        <v>2254</v>
      </c>
      <c r="B545" s="7" t="s">
        <v>2255</v>
      </c>
      <c r="C545" s="7" t="s">
        <v>2256</v>
      </c>
      <c r="D545" s="7" t="s">
        <v>2229</v>
      </c>
      <c r="E545" s="7" t="s">
        <v>1585</v>
      </c>
      <c r="F545" s="7" t="s">
        <v>1586</v>
      </c>
    </row>
    <row r="546" spans="1:6" ht="22.5" x14ac:dyDescent="0.25">
      <c r="A546" s="7" t="s">
        <v>2257</v>
      </c>
      <c r="B546" s="7" t="s">
        <v>2258</v>
      </c>
      <c r="C546" s="7" t="s">
        <v>2259</v>
      </c>
      <c r="D546" s="7" t="s">
        <v>2229</v>
      </c>
      <c r="E546" s="7" t="s">
        <v>1614</v>
      </c>
      <c r="F546" s="7" t="s">
        <v>2260</v>
      </c>
    </row>
    <row r="547" spans="1:6" x14ac:dyDescent="0.25">
      <c r="A547" s="7" t="s">
        <v>2261</v>
      </c>
      <c r="B547" s="7" t="s">
        <v>2262</v>
      </c>
      <c r="C547" s="7" t="s">
        <v>2263</v>
      </c>
      <c r="D547" s="7" t="s">
        <v>2264</v>
      </c>
      <c r="E547" s="7" t="s">
        <v>1837</v>
      </c>
      <c r="F547" s="7" t="s">
        <v>1838</v>
      </c>
    </row>
    <row r="548" spans="1:6" x14ac:dyDescent="0.25">
      <c r="A548" s="7" t="s">
        <v>2265</v>
      </c>
      <c r="B548" s="7" t="s">
        <v>2266</v>
      </c>
      <c r="C548" s="7" t="s">
        <v>2267</v>
      </c>
      <c r="D548" s="7" t="s">
        <v>2268</v>
      </c>
      <c r="E548" s="7" t="s">
        <v>1593</v>
      </c>
      <c r="F548" s="7" t="s">
        <v>1594</v>
      </c>
    </row>
    <row r="549" spans="1:6" x14ac:dyDescent="0.25">
      <c r="A549" s="7" t="s">
        <v>2269</v>
      </c>
      <c r="B549" s="7" t="s">
        <v>2270</v>
      </c>
      <c r="C549" s="7" t="s">
        <v>2271</v>
      </c>
      <c r="D549" s="7" t="s">
        <v>2268</v>
      </c>
      <c r="E549" s="7" t="s">
        <v>1593</v>
      </c>
      <c r="F549" s="7" t="s">
        <v>1594</v>
      </c>
    </row>
    <row r="550" spans="1:6" x14ac:dyDescent="0.25">
      <c r="A550" s="7" t="s">
        <v>2272</v>
      </c>
      <c r="B550" s="7" t="s">
        <v>2273</v>
      </c>
      <c r="C550" s="7" t="s">
        <v>2274</v>
      </c>
      <c r="D550" s="7" t="s">
        <v>2268</v>
      </c>
      <c r="E550" s="7" t="s">
        <v>1593</v>
      </c>
      <c r="F550" s="7" t="s">
        <v>1594</v>
      </c>
    </row>
    <row r="551" spans="1:6" x14ac:dyDescent="0.25">
      <c r="A551" s="7" t="s">
        <v>2275</v>
      </c>
      <c r="B551" s="7" t="s">
        <v>2276</v>
      </c>
      <c r="C551" s="7" t="s">
        <v>2277</v>
      </c>
      <c r="D551" s="7" t="s">
        <v>2268</v>
      </c>
      <c r="E551" s="7" t="s">
        <v>1593</v>
      </c>
      <c r="F551" s="7" t="s">
        <v>1594</v>
      </c>
    </row>
    <row r="552" spans="1:6" x14ac:dyDescent="0.25">
      <c r="A552" s="7" t="s">
        <v>2278</v>
      </c>
      <c r="B552" s="7" t="s">
        <v>2279</v>
      </c>
      <c r="C552" s="7" t="s">
        <v>2280</v>
      </c>
      <c r="D552" s="7" t="s">
        <v>2268</v>
      </c>
      <c r="E552" s="7" t="s">
        <v>1593</v>
      </c>
      <c r="F552" s="7" t="s">
        <v>1594</v>
      </c>
    </row>
    <row r="553" spans="1:6" x14ac:dyDescent="0.25">
      <c r="A553" s="7" t="s">
        <v>2281</v>
      </c>
      <c r="B553" s="7" t="s">
        <v>2282</v>
      </c>
      <c r="C553" s="7" t="s">
        <v>2283</v>
      </c>
      <c r="D553" s="7" t="s">
        <v>2268</v>
      </c>
      <c r="E553" s="7" t="s">
        <v>1593</v>
      </c>
      <c r="F553" s="7" t="s">
        <v>1594</v>
      </c>
    </row>
    <row r="554" spans="1:6" x14ac:dyDescent="0.25">
      <c r="A554" s="7" t="s">
        <v>2284</v>
      </c>
      <c r="B554" s="7" t="s">
        <v>2285</v>
      </c>
      <c r="C554" s="7" t="s">
        <v>2286</v>
      </c>
      <c r="D554" s="7" t="s">
        <v>2264</v>
      </c>
      <c r="E554" s="7" t="s">
        <v>1614</v>
      </c>
      <c r="F554" s="7" t="s">
        <v>1786</v>
      </c>
    </row>
    <row r="555" spans="1:6" x14ac:dyDescent="0.25">
      <c r="A555" s="7" t="s">
        <v>2287</v>
      </c>
      <c r="B555" s="7" t="s">
        <v>2288</v>
      </c>
      <c r="C555" s="7" t="s">
        <v>2289</v>
      </c>
      <c r="D555" s="7" t="s">
        <v>2264</v>
      </c>
      <c r="E555" s="7" t="s">
        <v>1614</v>
      </c>
      <c r="F555" s="7" t="s">
        <v>1786</v>
      </c>
    </row>
    <row r="556" spans="1:6" x14ac:dyDescent="0.25">
      <c r="A556" s="7" t="s">
        <v>2290</v>
      </c>
      <c r="B556" s="7" t="s">
        <v>2291</v>
      </c>
      <c r="C556" s="7" t="s">
        <v>2292</v>
      </c>
      <c r="D556" s="7" t="s">
        <v>2264</v>
      </c>
      <c r="E556" s="7" t="s">
        <v>1585</v>
      </c>
      <c r="F556" s="7" t="s">
        <v>1597</v>
      </c>
    </row>
    <row r="557" spans="1:6" x14ac:dyDescent="0.25">
      <c r="A557" s="7" t="s">
        <v>2293</v>
      </c>
      <c r="B557" s="7" t="s">
        <v>2294</v>
      </c>
      <c r="C557" s="7" t="s">
        <v>2295</v>
      </c>
      <c r="D557" s="7" t="s">
        <v>2264</v>
      </c>
      <c r="E557" s="7" t="s">
        <v>1585</v>
      </c>
      <c r="F557" s="7" t="s">
        <v>1597</v>
      </c>
    </row>
    <row r="558" spans="1:6" x14ac:dyDescent="0.25">
      <c r="A558" s="7" t="s">
        <v>2296</v>
      </c>
      <c r="B558" s="7" t="s">
        <v>2297</v>
      </c>
      <c r="C558" s="7" t="s">
        <v>2298</v>
      </c>
      <c r="D558" s="7" t="s">
        <v>2264</v>
      </c>
      <c r="E558" s="7" t="s">
        <v>1585</v>
      </c>
      <c r="F558" s="7" t="s">
        <v>1597</v>
      </c>
    </row>
    <row r="559" spans="1:6" x14ac:dyDescent="0.25">
      <c r="A559" s="7" t="s">
        <v>2299</v>
      </c>
      <c r="B559" s="7" t="s">
        <v>2300</v>
      </c>
      <c r="C559" s="7" t="s">
        <v>2301</v>
      </c>
      <c r="D559" s="7" t="s">
        <v>2264</v>
      </c>
      <c r="E559" s="7" t="s">
        <v>1585</v>
      </c>
      <c r="F559" s="7" t="s">
        <v>1597</v>
      </c>
    </row>
    <row r="560" spans="1:6" x14ac:dyDescent="0.25">
      <c r="A560" s="7" t="s">
        <v>2302</v>
      </c>
      <c r="B560" s="7" t="s">
        <v>2303</v>
      </c>
      <c r="C560" s="7" t="s">
        <v>2304</v>
      </c>
      <c r="D560" s="7" t="s">
        <v>2264</v>
      </c>
      <c r="E560" s="7" t="s">
        <v>1585</v>
      </c>
      <c r="F560" s="7" t="s">
        <v>1597</v>
      </c>
    </row>
    <row r="561" spans="1:6" x14ac:dyDescent="0.25">
      <c r="A561" s="7" t="s">
        <v>2305</v>
      </c>
      <c r="B561" s="7" t="s">
        <v>2306</v>
      </c>
      <c r="C561" s="7" t="s">
        <v>2307</v>
      </c>
      <c r="D561" s="7" t="s">
        <v>2264</v>
      </c>
      <c r="E561" s="7" t="s">
        <v>1585</v>
      </c>
      <c r="F561" s="7" t="s">
        <v>1597</v>
      </c>
    </row>
    <row r="562" spans="1:6" x14ac:dyDescent="0.25">
      <c r="A562" s="7" t="s">
        <v>2308</v>
      </c>
      <c r="B562" s="7" t="s">
        <v>2309</v>
      </c>
      <c r="C562" s="7" t="s">
        <v>2310</v>
      </c>
      <c r="D562" s="7" t="s">
        <v>2264</v>
      </c>
      <c r="E562" s="7" t="s">
        <v>1585</v>
      </c>
      <c r="F562" s="7" t="s">
        <v>1597</v>
      </c>
    </row>
    <row r="563" spans="1:6" x14ac:dyDescent="0.25">
      <c r="A563" s="7" t="s">
        <v>2311</v>
      </c>
      <c r="B563" s="7" t="s">
        <v>2312</v>
      </c>
      <c r="C563" s="7" t="s">
        <v>2313</v>
      </c>
      <c r="D563" s="7" t="s">
        <v>2264</v>
      </c>
      <c r="E563" s="7" t="s">
        <v>1585</v>
      </c>
      <c r="F563" s="7" t="s">
        <v>1597</v>
      </c>
    </row>
    <row r="564" spans="1:6" x14ac:dyDescent="0.25">
      <c r="A564" s="7" t="s">
        <v>2314</v>
      </c>
      <c r="B564" s="7" t="s">
        <v>2315</v>
      </c>
      <c r="C564" s="7" t="s">
        <v>2316</v>
      </c>
      <c r="D564" s="7" t="s">
        <v>2264</v>
      </c>
      <c r="E564" s="7" t="s">
        <v>1585</v>
      </c>
      <c r="F564" s="7" t="s">
        <v>1597</v>
      </c>
    </row>
    <row r="565" spans="1:6" x14ac:dyDescent="0.25">
      <c r="A565" s="7" t="s">
        <v>2317</v>
      </c>
      <c r="B565" s="7" t="s">
        <v>2318</v>
      </c>
      <c r="C565" s="7" t="s">
        <v>2319</v>
      </c>
      <c r="D565" s="7" t="s">
        <v>2264</v>
      </c>
      <c r="E565" s="7" t="s">
        <v>1585</v>
      </c>
      <c r="F565" s="7" t="s">
        <v>1597</v>
      </c>
    </row>
    <row r="566" spans="1:6" x14ac:dyDescent="0.25">
      <c r="A566" s="7" t="s">
        <v>2320</v>
      </c>
      <c r="B566" s="7" t="s">
        <v>2321</v>
      </c>
      <c r="C566" s="7" t="s">
        <v>2322</v>
      </c>
      <c r="D566" s="7" t="s">
        <v>2264</v>
      </c>
      <c r="E566" s="7" t="s">
        <v>1585</v>
      </c>
      <c r="F566" s="7" t="s">
        <v>1586</v>
      </c>
    </row>
    <row r="567" spans="1:6" x14ac:dyDescent="0.25">
      <c r="A567" s="7" t="s">
        <v>2323</v>
      </c>
      <c r="B567" s="7" t="s">
        <v>2324</v>
      </c>
      <c r="C567" s="7" t="s">
        <v>2325</v>
      </c>
      <c r="D567" s="7" t="s">
        <v>2264</v>
      </c>
      <c r="E567" s="7" t="s">
        <v>1585</v>
      </c>
      <c r="F567" s="7" t="s">
        <v>1586</v>
      </c>
    </row>
    <row r="568" spans="1:6" x14ac:dyDescent="0.25">
      <c r="A568" s="7" t="s">
        <v>2326</v>
      </c>
      <c r="B568" s="7" t="s">
        <v>2327</v>
      </c>
      <c r="C568" s="7" t="s">
        <v>2328</v>
      </c>
      <c r="D568" s="7" t="s">
        <v>2264</v>
      </c>
      <c r="E568" s="7" t="s">
        <v>1593</v>
      </c>
      <c r="F568" s="7" t="s">
        <v>1826</v>
      </c>
    </row>
    <row r="569" spans="1:6" x14ac:dyDescent="0.25">
      <c r="A569" s="7" t="s">
        <v>2329</v>
      </c>
      <c r="B569" s="7" t="s">
        <v>2330</v>
      </c>
      <c r="C569" s="7" t="s">
        <v>2331</v>
      </c>
      <c r="D569" s="7" t="s">
        <v>2264</v>
      </c>
      <c r="E569" s="7" t="s">
        <v>1593</v>
      </c>
      <c r="F569" s="7" t="s">
        <v>1826</v>
      </c>
    </row>
    <row r="570" spans="1:6" x14ac:dyDescent="0.25">
      <c r="A570" s="7" t="s">
        <v>2332</v>
      </c>
      <c r="B570" s="7" t="s">
        <v>2333</v>
      </c>
      <c r="C570" s="7" t="s">
        <v>2334</v>
      </c>
      <c r="D570" s="7" t="s">
        <v>2335</v>
      </c>
      <c r="E570" s="7" t="s">
        <v>1593</v>
      </c>
      <c r="F570" s="7" t="s">
        <v>1594</v>
      </c>
    </row>
    <row r="571" spans="1:6" x14ac:dyDescent="0.25">
      <c r="A571" s="7" t="s">
        <v>2336</v>
      </c>
      <c r="B571" s="7" t="s">
        <v>2337</v>
      </c>
      <c r="C571" s="7" t="s">
        <v>2338</v>
      </c>
      <c r="D571" s="7" t="s">
        <v>2335</v>
      </c>
      <c r="E571" s="7" t="s">
        <v>1593</v>
      </c>
      <c r="F571" s="7" t="s">
        <v>1594</v>
      </c>
    </row>
    <row r="572" spans="1:6" x14ac:dyDescent="0.25">
      <c r="A572" s="7" t="s">
        <v>2339</v>
      </c>
      <c r="B572" s="7" t="s">
        <v>2340</v>
      </c>
      <c r="C572" s="7" t="s">
        <v>2341</v>
      </c>
      <c r="D572" s="7" t="s">
        <v>2335</v>
      </c>
      <c r="E572" s="7" t="s">
        <v>1593</v>
      </c>
      <c r="F572" s="7" t="s">
        <v>1594</v>
      </c>
    </row>
    <row r="573" spans="1:6" x14ac:dyDescent="0.25">
      <c r="A573" s="7" t="s">
        <v>2342</v>
      </c>
      <c r="B573" s="7" t="s">
        <v>2343</v>
      </c>
      <c r="C573" s="7" t="s">
        <v>2344</v>
      </c>
      <c r="D573" s="7" t="s">
        <v>2335</v>
      </c>
      <c r="E573" s="7" t="s">
        <v>1593</v>
      </c>
      <c r="F573" s="7" t="s">
        <v>1594</v>
      </c>
    </row>
    <row r="574" spans="1:6" x14ac:dyDescent="0.25">
      <c r="A574" s="7" t="s">
        <v>2345</v>
      </c>
      <c r="B574" s="7" t="s">
        <v>2346</v>
      </c>
      <c r="C574" s="7" t="s">
        <v>2347</v>
      </c>
      <c r="D574" s="7" t="s">
        <v>2335</v>
      </c>
      <c r="E574" s="7" t="s">
        <v>1593</v>
      </c>
      <c r="F574" s="7" t="s">
        <v>1594</v>
      </c>
    </row>
    <row r="575" spans="1:6" x14ac:dyDescent="0.25">
      <c r="A575" s="7" t="s">
        <v>2348</v>
      </c>
      <c r="B575" s="7" t="s">
        <v>2349</v>
      </c>
      <c r="C575" s="7" t="s">
        <v>2350</v>
      </c>
      <c r="D575" s="7" t="s">
        <v>2335</v>
      </c>
      <c r="E575" s="7" t="s">
        <v>1585</v>
      </c>
      <c r="F575" s="7" t="s">
        <v>1597</v>
      </c>
    </row>
    <row r="576" spans="1:6" x14ac:dyDescent="0.25">
      <c r="A576" s="7" t="s">
        <v>2351</v>
      </c>
      <c r="B576" s="7" t="s">
        <v>2352</v>
      </c>
      <c r="C576" s="7" t="s">
        <v>2353</v>
      </c>
      <c r="D576" s="7" t="s">
        <v>2335</v>
      </c>
      <c r="E576" s="7" t="s">
        <v>1585</v>
      </c>
      <c r="F576" s="7" t="s">
        <v>1597</v>
      </c>
    </row>
    <row r="577" spans="1:6" x14ac:dyDescent="0.25">
      <c r="A577" s="7" t="s">
        <v>2354</v>
      </c>
      <c r="B577" s="7" t="s">
        <v>2355</v>
      </c>
      <c r="C577" s="7" t="s">
        <v>2356</v>
      </c>
      <c r="D577" s="7" t="s">
        <v>2335</v>
      </c>
      <c r="E577" s="7" t="s">
        <v>1585</v>
      </c>
      <c r="F577" s="7" t="s">
        <v>1597</v>
      </c>
    </row>
    <row r="578" spans="1:6" x14ac:dyDescent="0.25">
      <c r="A578" s="7" t="s">
        <v>2357</v>
      </c>
      <c r="B578" s="7" t="s">
        <v>2358</v>
      </c>
      <c r="C578" s="7" t="s">
        <v>2359</v>
      </c>
      <c r="D578" s="7" t="s">
        <v>2360</v>
      </c>
      <c r="E578" s="7" t="s">
        <v>1593</v>
      </c>
      <c r="F578" s="7" t="s">
        <v>1594</v>
      </c>
    </row>
    <row r="579" spans="1:6" x14ac:dyDescent="0.25">
      <c r="A579" s="7" t="s">
        <v>2361</v>
      </c>
      <c r="B579" s="7" t="s">
        <v>2362</v>
      </c>
      <c r="C579" s="7" t="s">
        <v>2363</v>
      </c>
      <c r="D579" s="7" t="s">
        <v>2360</v>
      </c>
      <c r="E579" s="7" t="s">
        <v>1593</v>
      </c>
      <c r="F579" s="7" t="s">
        <v>1594</v>
      </c>
    </row>
    <row r="580" spans="1:6" x14ac:dyDescent="0.25">
      <c r="A580" s="7" t="s">
        <v>2364</v>
      </c>
      <c r="B580" s="7" t="s">
        <v>2365</v>
      </c>
      <c r="C580" s="7" t="s">
        <v>2366</v>
      </c>
      <c r="D580" s="7" t="s">
        <v>2367</v>
      </c>
      <c r="E580" s="7" t="s">
        <v>1593</v>
      </c>
      <c r="F580" s="7" t="s">
        <v>1594</v>
      </c>
    </row>
    <row r="581" spans="1:6" x14ac:dyDescent="0.25">
      <c r="A581" s="7" t="s">
        <v>2368</v>
      </c>
      <c r="B581" s="7" t="s">
        <v>2369</v>
      </c>
      <c r="C581" s="7" t="s">
        <v>2370</v>
      </c>
      <c r="D581" s="7" t="s">
        <v>2367</v>
      </c>
      <c r="E581" s="7" t="s">
        <v>1593</v>
      </c>
      <c r="F581" s="7" t="s">
        <v>1594</v>
      </c>
    </row>
    <row r="582" spans="1:6" x14ac:dyDescent="0.25">
      <c r="A582" s="7" t="s">
        <v>2371</v>
      </c>
      <c r="B582" s="7" t="s">
        <v>2372</v>
      </c>
      <c r="C582" s="7" t="s">
        <v>2373</v>
      </c>
      <c r="D582" s="7" t="s">
        <v>2367</v>
      </c>
      <c r="E582" s="7" t="s">
        <v>1593</v>
      </c>
      <c r="F582" s="7" t="s">
        <v>1594</v>
      </c>
    </row>
    <row r="583" spans="1:6" x14ac:dyDescent="0.25">
      <c r="A583" s="7" t="s">
        <v>2374</v>
      </c>
      <c r="B583" s="7" t="s">
        <v>2375</v>
      </c>
      <c r="C583" s="7" t="s">
        <v>2376</v>
      </c>
      <c r="D583" s="7" t="s">
        <v>2367</v>
      </c>
      <c r="E583" s="7" t="s">
        <v>1593</v>
      </c>
      <c r="F583" s="7" t="s">
        <v>1594</v>
      </c>
    </row>
    <row r="584" spans="1:6" x14ac:dyDescent="0.25">
      <c r="A584" s="7" t="s">
        <v>2377</v>
      </c>
      <c r="B584" s="7" t="s">
        <v>2378</v>
      </c>
      <c r="C584" s="7" t="s">
        <v>2379</v>
      </c>
      <c r="D584" s="7" t="s">
        <v>2367</v>
      </c>
      <c r="E584" s="7" t="s">
        <v>1593</v>
      </c>
      <c r="F584" s="7" t="s">
        <v>1594</v>
      </c>
    </row>
    <row r="585" spans="1:6" x14ac:dyDescent="0.25">
      <c r="A585" s="7" t="s">
        <v>2380</v>
      </c>
      <c r="B585" s="7" t="s">
        <v>2381</v>
      </c>
      <c r="C585" s="7" t="s">
        <v>2382</v>
      </c>
      <c r="D585" s="7" t="s">
        <v>2383</v>
      </c>
      <c r="E585" s="7" t="s">
        <v>1593</v>
      </c>
      <c r="F585" s="7" t="s">
        <v>1594</v>
      </c>
    </row>
    <row r="586" spans="1:6" x14ac:dyDescent="0.25">
      <c r="A586" s="7" t="s">
        <v>2384</v>
      </c>
      <c r="B586" s="7" t="s">
        <v>2385</v>
      </c>
      <c r="C586" s="7" t="s">
        <v>2386</v>
      </c>
      <c r="D586" s="7" t="s">
        <v>2383</v>
      </c>
      <c r="E586" s="7" t="s">
        <v>1593</v>
      </c>
      <c r="F586" s="7" t="s">
        <v>1594</v>
      </c>
    </row>
    <row r="587" spans="1:6" x14ac:dyDescent="0.25">
      <c r="A587" s="7" t="s">
        <v>2387</v>
      </c>
      <c r="B587" s="7" t="s">
        <v>2388</v>
      </c>
      <c r="C587" s="7" t="s">
        <v>2389</v>
      </c>
      <c r="D587" s="7" t="s">
        <v>2390</v>
      </c>
      <c r="E587" s="7" t="s">
        <v>1593</v>
      </c>
      <c r="F587" s="7" t="s">
        <v>1594</v>
      </c>
    </row>
    <row r="588" spans="1:6" x14ac:dyDescent="0.25">
      <c r="A588" s="7" t="s">
        <v>2391</v>
      </c>
      <c r="B588" s="7" t="s">
        <v>2392</v>
      </c>
      <c r="C588" s="7" t="s">
        <v>2393</v>
      </c>
      <c r="D588" s="7" t="s">
        <v>2390</v>
      </c>
      <c r="E588" s="7" t="s">
        <v>1593</v>
      </c>
      <c r="F588" s="7" t="s">
        <v>1826</v>
      </c>
    </row>
    <row r="589" spans="1:6" x14ac:dyDescent="0.25">
      <c r="A589" s="7" t="s">
        <v>2394</v>
      </c>
      <c r="B589" s="7" t="s">
        <v>2395</v>
      </c>
      <c r="C589" s="7" t="s">
        <v>2396</v>
      </c>
      <c r="D589" s="7" t="s">
        <v>2390</v>
      </c>
      <c r="E589" s="7" t="s">
        <v>1593</v>
      </c>
      <c r="F589" s="7" t="s">
        <v>1826</v>
      </c>
    </row>
    <row r="590" spans="1:6" x14ac:dyDescent="0.25">
      <c r="A590" s="7" t="s">
        <v>2397</v>
      </c>
      <c r="B590" s="7" t="s">
        <v>2398</v>
      </c>
      <c r="C590" s="7" t="s">
        <v>2399</v>
      </c>
      <c r="D590" s="7" t="s">
        <v>2367</v>
      </c>
      <c r="E590" s="7" t="s">
        <v>1593</v>
      </c>
      <c r="F590" s="7" t="s">
        <v>1594</v>
      </c>
    </row>
    <row r="591" spans="1:6" x14ac:dyDescent="0.25">
      <c r="A591" s="7" t="s">
        <v>2400</v>
      </c>
      <c r="B591" s="7" t="s">
        <v>2401</v>
      </c>
      <c r="C591" s="7" t="s">
        <v>2402</v>
      </c>
      <c r="D591" s="7" t="s">
        <v>2367</v>
      </c>
      <c r="E591" s="7" t="s">
        <v>1593</v>
      </c>
      <c r="F591" s="7" t="s">
        <v>1594</v>
      </c>
    </row>
    <row r="592" spans="1:6" x14ac:dyDescent="0.25">
      <c r="A592" s="7" t="s">
        <v>2403</v>
      </c>
      <c r="B592" s="7" t="s">
        <v>2404</v>
      </c>
      <c r="C592" s="7" t="s">
        <v>2405</v>
      </c>
      <c r="D592" s="7" t="s">
        <v>2367</v>
      </c>
      <c r="E592" s="7" t="s">
        <v>1593</v>
      </c>
      <c r="F592" s="7" t="s">
        <v>1594</v>
      </c>
    </row>
    <row r="593" spans="1:6" x14ac:dyDescent="0.25">
      <c r="A593" s="7" t="s">
        <v>2406</v>
      </c>
      <c r="B593" s="7" t="s">
        <v>2407</v>
      </c>
      <c r="C593" s="7" t="s">
        <v>2408</v>
      </c>
      <c r="D593" s="7" t="s">
        <v>2367</v>
      </c>
      <c r="E593" s="7" t="s">
        <v>1593</v>
      </c>
      <c r="F593" s="7" t="s">
        <v>1594</v>
      </c>
    </row>
    <row r="594" spans="1:6" x14ac:dyDescent="0.25">
      <c r="A594" s="7" t="s">
        <v>2409</v>
      </c>
      <c r="B594" s="7" t="s">
        <v>2410</v>
      </c>
      <c r="C594" s="7" t="s">
        <v>2411</v>
      </c>
      <c r="D594" s="7" t="s">
        <v>2367</v>
      </c>
      <c r="E594" s="7" t="s">
        <v>1593</v>
      </c>
      <c r="F594" s="7" t="s">
        <v>1594</v>
      </c>
    </row>
    <row r="595" spans="1:6" x14ac:dyDescent="0.25">
      <c r="A595" s="7" t="s">
        <v>2412</v>
      </c>
      <c r="B595" s="7" t="s">
        <v>2413</v>
      </c>
      <c r="C595" s="7" t="s">
        <v>2414</v>
      </c>
      <c r="D595" s="7" t="s">
        <v>2367</v>
      </c>
      <c r="E595" s="7" t="s">
        <v>1593</v>
      </c>
      <c r="F595" s="7" t="s">
        <v>1594</v>
      </c>
    </row>
    <row r="596" spans="1:6" x14ac:dyDescent="0.25">
      <c r="A596" s="7" t="s">
        <v>2415</v>
      </c>
      <c r="B596" s="7" t="s">
        <v>2416</v>
      </c>
      <c r="C596" s="7" t="s">
        <v>2417</v>
      </c>
      <c r="D596" s="7" t="s">
        <v>2367</v>
      </c>
      <c r="E596" s="7" t="s">
        <v>1593</v>
      </c>
      <c r="F596" s="7" t="s">
        <v>1594</v>
      </c>
    </row>
    <row r="597" spans="1:6" ht="22.5" x14ac:dyDescent="0.25">
      <c r="A597" s="7" t="s">
        <v>2418</v>
      </c>
      <c r="B597" s="7" t="s">
        <v>2419</v>
      </c>
      <c r="C597" s="7" t="s">
        <v>2420</v>
      </c>
      <c r="D597" s="7" t="s">
        <v>2367</v>
      </c>
      <c r="E597" s="7" t="s">
        <v>1593</v>
      </c>
      <c r="F597" s="7" t="s">
        <v>1594</v>
      </c>
    </row>
    <row r="598" spans="1:6" x14ac:dyDescent="0.25">
      <c r="A598" s="7" t="s">
        <v>2421</v>
      </c>
      <c r="B598" s="7" t="s">
        <v>2422</v>
      </c>
      <c r="C598" s="7" t="s">
        <v>2423</v>
      </c>
      <c r="D598" s="7" t="s">
        <v>2367</v>
      </c>
      <c r="E598" s="7" t="s">
        <v>1593</v>
      </c>
      <c r="F598" s="7" t="s">
        <v>1594</v>
      </c>
    </row>
    <row r="599" spans="1:6" x14ac:dyDescent="0.25">
      <c r="A599" s="7" t="s">
        <v>2424</v>
      </c>
      <c r="B599" s="7" t="s">
        <v>2425</v>
      </c>
      <c r="C599" s="7" t="s">
        <v>2426</v>
      </c>
      <c r="D599" s="7" t="s">
        <v>2367</v>
      </c>
      <c r="E599" s="7" t="s">
        <v>1593</v>
      </c>
      <c r="F599" s="7" t="s">
        <v>1594</v>
      </c>
    </row>
    <row r="600" spans="1:6" x14ac:dyDescent="0.25">
      <c r="A600" s="7" t="s">
        <v>2427</v>
      </c>
      <c r="B600" s="7" t="s">
        <v>2428</v>
      </c>
      <c r="C600" s="7" t="s">
        <v>2429</v>
      </c>
      <c r="D600" s="7" t="s">
        <v>2367</v>
      </c>
      <c r="E600" s="7" t="s">
        <v>1593</v>
      </c>
      <c r="F600" s="7" t="s">
        <v>1594</v>
      </c>
    </row>
    <row r="601" spans="1:6" x14ac:dyDescent="0.25">
      <c r="A601" s="7" t="s">
        <v>2430</v>
      </c>
      <c r="B601" s="7" t="s">
        <v>2431</v>
      </c>
      <c r="C601" s="7" t="s">
        <v>2432</v>
      </c>
      <c r="D601" s="7" t="s">
        <v>2367</v>
      </c>
      <c r="E601" s="7" t="s">
        <v>1593</v>
      </c>
      <c r="F601" s="7" t="s">
        <v>1594</v>
      </c>
    </row>
    <row r="602" spans="1:6" x14ac:dyDescent="0.25">
      <c r="A602" s="7" t="s">
        <v>2433</v>
      </c>
      <c r="B602" s="7" t="s">
        <v>2434</v>
      </c>
      <c r="C602" s="7" t="s">
        <v>2435</v>
      </c>
      <c r="D602" s="7" t="s">
        <v>2367</v>
      </c>
      <c r="E602" s="7" t="s">
        <v>1593</v>
      </c>
      <c r="F602" s="7" t="s">
        <v>1594</v>
      </c>
    </row>
    <row r="603" spans="1:6" x14ac:dyDescent="0.25">
      <c r="A603" s="7" t="s">
        <v>2436</v>
      </c>
      <c r="B603" s="7" t="s">
        <v>2437</v>
      </c>
      <c r="C603" s="7" t="s">
        <v>2438</v>
      </c>
      <c r="D603" s="7" t="s">
        <v>2367</v>
      </c>
      <c r="E603" s="7" t="s">
        <v>1593</v>
      </c>
      <c r="F603" s="7" t="s">
        <v>1594</v>
      </c>
    </row>
    <row r="604" spans="1:6" x14ac:dyDescent="0.25">
      <c r="A604" s="7" t="s">
        <v>2439</v>
      </c>
      <c r="B604" s="7" t="s">
        <v>2440</v>
      </c>
      <c r="C604" s="7" t="s">
        <v>2441</v>
      </c>
      <c r="D604" s="7" t="s">
        <v>2367</v>
      </c>
      <c r="E604" s="7" t="s">
        <v>1593</v>
      </c>
      <c r="F604" s="7" t="s">
        <v>1594</v>
      </c>
    </row>
    <row r="605" spans="1:6" x14ac:dyDescent="0.25">
      <c r="A605" s="7" t="s">
        <v>2442</v>
      </c>
      <c r="B605" s="7" t="s">
        <v>2443</v>
      </c>
      <c r="C605" s="7" t="s">
        <v>2444</v>
      </c>
      <c r="D605" s="7" t="s">
        <v>2367</v>
      </c>
      <c r="E605" s="7" t="s">
        <v>1593</v>
      </c>
      <c r="F605" s="7" t="s">
        <v>1594</v>
      </c>
    </row>
    <row r="606" spans="1:6" x14ac:dyDescent="0.25">
      <c r="A606" s="7" t="s">
        <v>2445</v>
      </c>
      <c r="B606" s="7" t="s">
        <v>2446</v>
      </c>
      <c r="C606" s="7" t="s">
        <v>2447</v>
      </c>
      <c r="D606" s="7" t="s">
        <v>2367</v>
      </c>
      <c r="E606" s="7" t="s">
        <v>1593</v>
      </c>
      <c r="F606" s="7" t="s">
        <v>1594</v>
      </c>
    </row>
    <row r="607" spans="1:6" x14ac:dyDescent="0.25">
      <c r="A607" s="7" t="s">
        <v>2448</v>
      </c>
      <c r="B607" s="7" t="s">
        <v>2449</v>
      </c>
      <c r="C607" s="7" t="s">
        <v>2450</v>
      </c>
      <c r="D607" s="7" t="s">
        <v>2367</v>
      </c>
      <c r="E607" s="7" t="s">
        <v>1593</v>
      </c>
      <c r="F607" s="7" t="s">
        <v>1594</v>
      </c>
    </row>
    <row r="608" spans="1:6" ht="22.5" x14ac:dyDescent="0.25">
      <c r="A608" s="7" t="s">
        <v>2451</v>
      </c>
      <c r="B608" s="7" t="s">
        <v>2452</v>
      </c>
      <c r="C608" s="7" t="s">
        <v>2453</v>
      </c>
      <c r="D608" s="7" t="s">
        <v>2367</v>
      </c>
      <c r="E608" s="7" t="s">
        <v>1593</v>
      </c>
      <c r="F608" s="7" t="s">
        <v>1594</v>
      </c>
    </row>
    <row r="609" spans="1:6" x14ac:dyDescent="0.25">
      <c r="A609" s="7" t="s">
        <v>2454</v>
      </c>
      <c r="B609" s="7" t="s">
        <v>2455</v>
      </c>
      <c r="C609" s="7" t="s">
        <v>2456</v>
      </c>
      <c r="D609" s="7" t="s">
        <v>2367</v>
      </c>
      <c r="E609" s="7" t="s">
        <v>1593</v>
      </c>
      <c r="F609" s="7" t="s">
        <v>1594</v>
      </c>
    </row>
    <row r="610" spans="1:6" x14ac:dyDescent="0.25">
      <c r="A610" s="7" t="s">
        <v>2457</v>
      </c>
      <c r="B610" s="7" t="s">
        <v>2458</v>
      </c>
      <c r="C610" s="7" t="s">
        <v>2459</v>
      </c>
      <c r="D610" s="7" t="s">
        <v>2367</v>
      </c>
      <c r="E610" s="7" t="s">
        <v>1593</v>
      </c>
      <c r="F610" s="7" t="s">
        <v>1594</v>
      </c>
    </row>
    <row r="611" spans="1:6" x14ac:dyDescent="0.25">
      <c r="A611" s="7" t="s">
        <v>2460</v>
      </c>
      <c r="B611" s="7" t="s">
        <v>2461</v>
      </c>
      <c r="C611" s="7" t="s">
        <v>2462</v>
      </c>
      <c r="D611" s="7" t="s">
        <v>2367</v>
      </c>
      <c r="E611" s="7" t="s">
        <v>1593</v>
      </c>
      <c r="F611" s="7" t="s">
        <v>1594</v>
      </c>
    </row>
    <row r="612" spans="1:6" x14ac:dyDescent="0.25">
      <c r="A612" s="7" t="s">
        <v>2463</v>
      </c>
      <c r="B612" s="7" t="s">
        <v>2464</v>
      </c>
      <c r="C612" s="7" t="s">
        <v>2465</v>
      </c>
      <c r="D612" s="7" t="s">
        <v>2466</v>
      </c>
      <c r="E612" s="7" t="s">
        <v>1614</v>
      </c>
      <c r="F612" s="7" t="s">
        <v>1786</v>
      </c>
    </row>
    <row r="613" spans="1:6" x14ac:dyDescent="0.25">
      <c r="A613" s="7" t="s">
        <v>2467</v>
      </c>
      <c r="B613" s="7" t="s">
        <v>2468</v>
      </c>
      <c r="C613" s="7" t="s">
        <v>2469</v>
      </c>
      <c r="D613" s="7" t="s">
        <v>2466</v>
      </c>
      <c r="E613" s="7" t="s">
        <v>1614</v>
      </c>
      <c r="F613" s="7" t="s">
        <v>1786</v>
      </c>
    </row>
    <row r="614" spans="1:6" x14ac:dyDescent="0.25">
      <c r="A614" s="7" t="s">
        <v>2470</v>
      </c>
      <c r="B614" s="7" t="s">
        <v>2471</v>
      </c>
      <c r="C614" s="7" t="s">
        <v>2472</v>
      </c>
      <c r="D614" s="7" t="s">
        <v>2466</v>
      </c>
      <c r="E614" s="7" t="s">
        <v>1614</v>
      </c>
      <c r="F614" s="7" t="s">
        <v>2473</v>
      </c>
    </row>
    <row r="615" spans="1:6" x14ac:dyDescent="0.25">
      <c r="A615" s="7" t="s">
        <v>2474</v>
      </c>
      <c r="B615" s="7" t="s">
        <v>2475</v>
      </c>
      <c r="C615" s="7" t="s">
        <v>2476</v>
      </c>
      <c r="D615" s="7" t="s">
        <v>2477</v>
      </c>
      <c r="E615" s="7" t="s">
        <v>1614</v>
      </c>
      <c r="F615" s="7" t="s">
        <v>1786</v>
      </c>
    </row>
    <row r="616" spans="1:6" ht="22.5" x14ac:dyDescent="0.25">
      <c r="A616" s="7" t="s">
        <v>2478</v>
      </c>
      <c r="B616" s="7" t="s">
        <v>2479</v>
      </c>
      <c r="C616" s="7" t="s">
        <v>2480</v>
      </c>
      <c r="D616" s="7" t="s">
        <v>2477</v>
      </c>
      <c r="E616" s="7" t="s">
        <v>1609</v>
      </c>
      <c r="F616" s="7" t="s">
        <v>1610</v>
      </c>
    </row>
    <row r="617" spans="1:6" ht="22.5" x14ac:dyDescent="0.25">
      <c r="A617" s="7" t="s">
        <v>2481</v>
      </c>
      <c r="B617" s="7" t="s">
        <v>2482</v>
      </c>
      <c r="C617" s="7" t="s">
        <v>2483</v>
      </c>
      <c r="D617" s="7" t="s">
        <v>2477</v>
      </c>
      <c r="E617" s="7" t="s">
        <v>1609</v>
      </c>
      <c r="F617" s="7" t="s">
        <v>1610</v>
      </c>
    </row>
    <row r="618" spans="1:6" ht="22.5" x14ac:dyDescent="0.25">
      <c r="A618" s="7" t="s">
        <v>2484</v>
      </c>
      <c r="B618" s="7" t="s">
        <v>2485</v>
      </c>
      <c r="C618" s="7" t="s">
        <v>2486</v>
      </c>
      <c r="D618" s="7" t="s">
        <v>2477</v>
      </c>
      <c r="E618" s="7" t="s">
        <v>1609</v>
      </c>
      <c r="F618" s="7" t="s">
        <v>1610</v>
      </c>
    </row>
    <row r="619" spans="1:6" ht="22.5" x14ac:dyDescent="0.25">
      <c r="A619" s="7" t="s">
        <v>2487</v>
      </c>
      <c r="B619" s="7" t="s">
        <v>2488</v>
      </c>
      <c r="C619" s="7" t="s">
        <v>2489</v>
      </c>
      <c r="D619" s="7" t="s">
        <v>2477</v>
      </c>
      <c r="E619" s="7" t="s">
        <v>1609</v>
      </c>
      <c r="F619" s="7" t="s">
        <v>1610</v>
      </c>
    </row>
    <row r="620" spans="1:6" x14ac:dyDescent="0.25">
      <c r="A620" s="7" t="s">
        <v>2490</v>
      </c>
      <c r="B620" s="7" t="s">
        <v>2491</v>
      </c>
      <c r="C620" s="7" t="s">
        <v>2492</v>
      </c>
      <c r="D620" s="7" t="s">
        <v>2493</v>
      </c>
      <c r="E620" s="7" t="s">
        <v>1609</v>
      </c>
      <c r="F620" s="7" t="s">
        <v>2494</v>
      </c>
    </row>
    <row r="621" spans="1:6" x14ac:dyDescent="0.25">
      <c r="A621" s="7" t="s">
        <v>2495</v>
      </c>
      <c r="B621" s="7" t="s">
        <v>2496</v>
      </c>
      <c r="C621" s="7" t="s">
        <v>2497</v>
      </c>
      <c r="D621" s="7" t="s">
        <v>2493</v>
      </c>
      <c r="E621" s="7" t="s">
        <v>1609</v>
      </c>
      <c r="F621" s="7" t="s">
        <v>2494</v>
      </c>
    </row>
    <row r="622" spans="1:6" x14ac:dyDescent="0.25">
      <c r="A622" s="7" t="s">
        <v>2498</v>
      </c>
      <c r="B622" s="7" t="s">
        <v>2499</v>
      </c>
      <c r="C622" s="7" t="s">
        <v>2500</v>
      </c>
      <c r="D622" s="7" t="s">
        <v>2493</v>
      </c>
      <c r="E622" s="7" t="s">
        <v>1609</v>
      </c>
      <c r="F622" s="7" t="s">
        <v>2494</v>
      </c>
    </row>
    <row r="623" spans="1:6" x14ac:dyDescent="0.25">
      <c r="A623" s="7" t="s">
        <v>2501</v>
      </c>
      <c r="B623" s="7" t="s">
        <v>2502</v>
      </c>
      <c r="C623" s="7" t="s">
        <v>2503</v>
      </c>
      <c r="D623" s="7" t="s">
        <v>2504</v>
      </c>
      <c r="E623" s="7" t="s">
        <v>1593</v>
      </c>
      <c r="F623" s="7" t="s">
        <v>1826</v>
      </c>
    </row>
    <row r="624" spans="1:6" x14ac:dyDescent="0.25">
      <c r="A624" s="7" t="s">
        <v>2505</v>
      </c>
      <c r="B624" s="7" t="s">
        <v>2506</v>
      </c>
      <c r="C624" s="7" t="s">
        <v>2507</v>
      </c>
      <c r="D624" s="7" t="s">
        <v>2504</v>
      </c>
      <c r="E624" s="7" t="s">
        <v>1593</v>
      </c>
      <c r="F624" s="7" t="s">
        <v>1826</v>
      </c>
    </row>
    <row r="625" spans="1:6" ht="22.5" x14ac:dyDescent="0.25">
      <c r="A625" s="7" t="s">
        <v>2508</v>
      </c>
      <c r="B625" s="7" t="s">
        <v>2509</v>
      </c>
      <c r="C625" s="7" t="s">
        <v>2510</v>
      </c>
      <c r="D625" s="7" t="s">
        <v>2511</v>
      </c>
      <c r="E625" s="7" t="s">
        <v>1614</v>
      </c>
      <c r="F625" s="7" t="s">
        <v>1786</v>
      </c>
    </row>
    <row r="626" spans="1:6" ht="22.5" x14ac:dyDescent="0.25">
      <c r="A626" s="7" t="s">
        <v>2512</v>
      </c>
      <c r="B626" s="7" t="s">
        <v>2513</v>
      </c>
      <c r="C626" s="7" t="s">
        <v>2514</v>
      </c>
      <c r="D626" s="7" t="s">
        <v>2515</v>
      </c>
      <c r="E626" s="7" t="s">
        <v>1585</v>
      </c>
      <c r="F626" s="7" t="s">
        <v>1597</v>
      </c>
    </row>
    <row r="627" spans="1:6" x14ac:dyDescent="0.25">
      <c r="A627" s="7" t="s">
        <v>2516</v>
      </c>
      <c r="B627" s="7" t="s">
        <v>2517</v>
      </c>
      <c r="C627" s="7" t="s">
        <v>2518</v>
      </c>
      <c r="D627" s="7" t="s">
        <v>2515</v>
      </c>
      <c r="E627" s="7" t="s">
        <v>1585</v>
      </c>
      <c r="F627" s="7" t="s">
        <v>1597</v>
      </c>
    </row>
    <row r="628" spans="1:6" x14ac:dyDescent="0.25">
      <c r="A628" s="7" t="s">
        <v>2519</v>
      </c>
      <c r="B628" s="7" t="s">
        <v>2520</v>
      </c>
      <c r="C628" s="7" t="s">
        <v>2521</v>
      </c>
      <c r="D628" s="7" t="s">
        <v>2515</v>
      </c>
      <c r="E628" s="7" t="s">
        <v>1585</v>
      </c>
      <c r="F628" s="7" t="s">
        <v>1597</v>
      </c>
    </row>
    <row r="629" spans="1:6" ht="22.5" x14ac:dyDescent="0.25">
      <c r="A629" s="7" t="s">
        <v>2522</v>
      </c>
      <c r="B629" s="7" t="s">
        <v>2523</v>
      </c>
      <c r="C629" s="7" t="s">
        <v>2524</v>
      </c>
      <c r="D629" s="7" t="s">
        <v>2515</v>
      </c>
      <c r="E629" s="7" t="s">
        <v>1585</v>
      </c>
      <c r="F629" s="7" t="s">
        <v>1597</v>
      </c>
    </row>
    <row r="630" spans="1:6" ht="22.5" x14ac:dyDescent="0.25">
      <c r="A630" s="7" t="s">
        <v>2525</v>
      </c>
      <c r="B630" s="7" t="s">
        <v>2526</v>
      </c>
      <c r="C630" s="7" t="s">
        <v>2527</v>
      </c>
      <c r="D630" s="7" t="s">
        <v>2515</v>
      </c>
      <c r="E630" s="7" t="s">
        <v>1585</v>
      </c>
      <c r="F630" s="7" t="s">
        <v>1597</v>
      </c>
    </row>
    <row r="631" spans="1:6" x14ac:dyDescent="0.25">
      <c r="A631" s="7" t="s">
        <v>2528</v>
      </c>
      <c r="B631" s="7" t="s">
        <v>2529</v>
      </c>
      <c r="C631" s="7" t="s">
        <v>2530</v>
      </c>
      <c r="D631" s="7" t="s">
        <v>2515</v>
      </c>
      <c r="E631" s="7" t="s">
        <v>1585</v>
      </c>
      <c r="F631" s="7" t="s">
        <v>1597</v>
      </c>
    </row>
    <row r="632" spans="1:6" x14ac:dyDescent="0.25">
      <c r="A632" s="7" t="s">
        <v>2531</v>
      </c>
      <c r="B632" s="7" t="s">
        <v>2532</v>
      </c>
      <c r="C632" s="7" t="s">
        <v>2533</v>
      </c>
      <c r="D632" s="7" t="s">
        <v>2515</v>
      </c>
      <c r="E632" s="7" t="s">
        <v>1585</v>
      </c>
      <c r="F632" s="7" t="s">
        <v>1597</v>
      </c>
    </row>
    <row r="633" spans="1:6" ht="22.5" x14ac:dyDescent="0.25">
      <c r="A633" s="7" t="s">
        <v>2534</v>
      </c>
      <c r="B633" s="7" t="s">
        <v>2535</v>
      </c>
      <c r="C633" s="7" t="s">
        <v>2536</v>
      </c>
      <c r="D633" s="7" t="s">
        <v>2515</v>
      </c>
      <c r="E633" s="7" t="s">
        <v>1585</v>
      </c>
      <c r="F633" s="7" t="s">
        <v>1597</v>
      </c>
    </row>
    <row r="634" spans="1:6" ht="22.5" x14ac:dyDescent="0.25">
      <c r="A634" s="7" t="s">
        <v>2537</v>
      </c>
      <c r="B634" s="7" t="s">
        <v>2538</v>
      </c>
      <c r="C634" s="7" t="s">
        <v>2539</v>
      </c>
      <c r="D634" s="7" t="s">
        <v>2515</v>
      </c>
      <c r="E634" s="7" t="s">
        <v>1585</v>
      </c>
      <c r="F634" s="7" t="s">
        <v>1597</v>
      </c>
    </row>
    <row r="635" spans="1:6" ht="22.5" x14ac:dyDescent="0.25">
      <c r="A635" s="7" t="s">
        <v>2540</v>
      </c>
      <c r="B635" s="7" t="s">
        <v>2541</v>
      </c>
      <c r="C635" s="7" t="s">
        <v>2542</v>
      </c>
      <c r="D635" s="7" t="s">
        <v>2515</v>
      </c>
      <c r="E635" s="7" t="s">
        <v>1585</v>
      </c>
      <c r="F635" s="7" t="s">
        <v>1597</v>
      </c>
    </row>
    <row r="636" spans="1:6" x14ac:dyDescent="0.25">
      <c r="A636" s="7" t="s">
        <v>2543</v>
      </c>
      <c r="B636" s="7" t="s">
        <v>2544</v>
      </c>
      <c r="C636" s="7" t="s">
        <v>2545</v>
      </c>
      <c r="D636" s="7" t="s">
        <v>2515</v>
      </c>
      <c r="E636" s="7" t="s">
        <v>1585</v>
      </c>
      <c r="F636" s="7" t="s">
        <v>1597</v>
      </c>
    </row>
    <row r="637" spans="1:6" x14ac:dyDescent="0.25">
      <c r="A637" s="7" t="s">
        <v>2546</v>
      </c>
      <c r="B637" s="7" t="s">
        <v>2547</v>
      </c>
      <c r="C637" s="7" t="s">
        <v>2547</v>
      </c>
      <c r="D637" s="7" t="s">
        <v>2515</v>
      </c>
      <c r="E637" s="7" t="s">
        <v>1585</v>
      </c>
      <c r="F637" s="7" t="s">
        <v>2548</v>
      </c>
    </row>
    <row r="638" spans="1:6" x14ac:dyDescent="0.25">
      <c r="A638" s="7" t="s">
        <v>2549</v>
      </c>
      <c r="B638" s="7" t="s">
        <v>2550</v>
      </c>
      <c r="C638" s="7" t="s">
        <v>2547</v>
      </c>
      <c r="D638" s="7" t="s">
        <v>2515</v>
      </c>
      <c r="E638" s="7" t="s">
        <v>1585</v>
      </c>
      <c r="F638" s="7" t="s">
        <v>2548</v>
      </c>
    </row>
    <row r="639" spans="1:6" x14ac:dyDescent="0.25">
      <c r="A639" s="7" t="s">
        <v>2551</v>
      </c>
      <c r="B639" s="7" t="s">
        <v>2552</v>
      </c>
      <c r="C639" s="7" t="s">
        <v>2553</v>
      </c>
      <c r="D639" s="7" t="s">
        <v>2515</v>
      </c>
      <c r="E639" s="7" t="s">
        <v>1585</v>
      </c>
      <c r="F639" s="7" t="s">
        <v>1597</v>
      </c>
    </row>
    <row r="640" spans="1:6" ht="22.5" x14ac:dyDescent="0.25">
      <c r="A640" s="7" t="s">
        <v>2554</v>
      </c>
      <c r="B640" s="7" t="s">
        <v>2555</v>
      </c>
      <c r="C640" s="7" t="s">
        <v>2556</v>
      </c>
      <c r="D640" s="7" t="s">
        <v>2515</v>
      </c>
      <c r="E640" s="7" t="s">
        <v>1585</v>
      </c>
      <c r="F640" s="7" t="s">
        <v>1597</v>
      </c>
    </row>
    <row r="641" spans="1:6" x14ac:dyDescent="0.25">
      <c r="A641" s="7" t="s">
        <v>2557</v>
      </c>
      <c r="B641" s="7" t="s">
        <v>2558</v>
      </c>
      <c r="C641" s="7" t="s">
        <v>2559</v>
      </c>
      <c r="D641" s="7" t="s">
        <v>2515</v>
      </c>
      <c r="E641" s="7" t="s">
        <v>1585</v>
      </c>
      <c r="F641" s="7" t="s">
        <v>1597</v>
      </c>
    </row>
    <row r="642" spans="1:6" ht="22.5" x14ac:dyDescent="0.25">
      <c r="A642" s="7" t="s">
        <v>36</v>
      </c>
      <c r="B642" s="7" t="s">
        <v>2560</v>
      </c>
      <c r="C642" s="7" t="s">
        <v>2561</v>
      </c>
      <c r="D642" s="7" t="s">
        <v>2515</v>
      </c>
      <c r="E642" s="7" t="s">
        <v>1585</v>
      </c>
      <c r="F642" s="7" t="s">
        <v>2548</v>
      </c>
    </row>
    <row r="643" spans="1:6" ht="22.5" x14ac:dyDescent="0.25">
      <c r="A643" s="7" t="s">
        <v>38</v>
      </c>
      <c r="B643" s="7" t="s">
        <v>2562</v>
      </c>
      <c r="C643" s="7" t="s">
        <v>2561</v>
      </c>
      <c r="D643" s="7" t="s">
        <v>2515</v>
      </c>
      <c r="E643" s="7" t="s">
        <v>1585</v>
      </c>
      <c r="F643" s="7" t="s">
        <v>2548</v>
      </c>
    </row>
    <row r="644" spans="1:6" ht="22.5" x14ac:dyDescent="0.25">
      <c r="A644" s="7" t="s">
        <v>2563</v>
      </c>
      <c r="B644" s="7" t="s">
        <v>2564</v>
      </c>
      <c r="C644" s="7" t="s">
        <v>2561</v>
      </c>
      <c r="D644" s="7" t="s">
        <v>2515</v>
      </c>
      <c r="E644" s="7" t="s">
        <v>1585</v>
      </c>
      <c r="F644" s="7" t="s">
        <v>2548</v>
      </c>
    </row>
    <row r="645" spans="1:6" ht="22.5" x14ac:dyDescent="0.25">
      <c r="A645" s="7" t="s">
        <v>2565</v>
      </c>
      <c r="B645" s="7" t="s">
        <v>2566</v>
      </c>
      <c r="C645" s="7" t="s">
        <v>2561</v>
      </c>
      <c r="D645" s="7" t="s">
        <v>2515</v>
      </c>
      <c r="E645" s="7" t="s">
        <v>1585</v>
      </c>
      <c r="F645" s="7" t="s">
        <v>2548</v>
      </c>
    </row>
    <row r="646" spans="1:6" ht="22.5" x14ac:dyDescent="0.25">
      <c r="A646" s="7" t="s">
        <v>2567</v>
      </c>
      <c r="B646" s="7" t="s">
        <v>2568</v>
      </c>
      <c r="C646" s="7" t="s">
        <v>2561</v>
      </c>
      <c r="D646" s="7" t="s">
        <v>2515</v>
      </c>
      <c r="E646" s="7" t="s">
        <v>1585</v>
      </c>
      <c r="F646" s="7" t="s">
        <v>2548</v>
      </c>
    </row>
    <row r="647" spans="1:6" ht="22.5" x14ac:dyDescent="0.25">
      <c r="A647" s="7" t="s">
        <v>2569</v>
      </c>
      <c r="B647" s="7" t="s">
        <v>2570</v>
      </c>
      <c r="C647" s="7" t="s">
        <v>2571</v>
      </c>
      <c r="D647" s="7" t="s">
        <v>2515</v>
      </c>
      <c r="E647" s="7" t="s">
        <v>1585</v>
      </c>
      <c r="F647" s="7" t="s">
        <v>2548</v>
      </c>
    </row>
    <row r="648" spans="1:6" ht="22.5" x14ac:dyDescent="0.25">
      <c r="A648" s="7" t="s">
        <v>41</v>
      </c>
      <c r="B648" s="7" t="s">
        <v>2572</v>
      </c>
      <c r="C648" s="7" t="s">
        <v>2571</v>
      </c>
      <c r="D648" s="7" t="s">
        <v>2515</v>
      </c>
      <c r="E648" s="7" t="s">
        <v>1585</v>
      </c>
      <c r="F648" s="7" t="s">
        <v>2548</v>
      </c>
    </row>
    <row r="649" spans="1:6" x14ac:dyDescent="0.25">
      <c r="A649" s="7" t="s">
        <v>106</v>
      </c>
      <c r="B649" s="7" t="s">
        <v>2573</v>
      </c>
      <c r="C649" s="7" t="s">
        <v>2574</v>
      </c>
      <c r="D649" s="7" t="s">
        <v>2515</v>
      </c>
      <c r="E649" s="7" t="s">
        <v>1585</v>
      </c>
      <c r="F649" s="7" t="s">
        <v>2548</v>
      </c>
    </row>
    <row r="650" spans="1:6" x14ac:dyDescent="0.25">
      <c r="A650" s="7" t="s">
        <v>2575</v>
      </c>
      <c r="B650" s="7" t="s">
        <v>2576</v>
      </c>
      <c r="C650" s="7" t="s">
        <v>2574</v>
      </c>
      <c r="D650" s="7" t="s">
        <v>2515</v>
      </c>
      <c r="E650" s="7" t="s">
        <v>1585</v>
      </c>
      <c r="F650" s="7" t="s">
        <v>2548</v>
      </c>
    </row>
    <row r="651" spans="1:6" ht="22.5" x14ac:dyDescent="0.25">
      <c r="A651" s="7" t="s">
        <v>2577</v>
      </c>
      <c r="B651" s="7" t="s">
        <v>2578</v>
      </c>
      <c r="C651" s="7" t="s">
        <v>2579</v>
      </c>
      <c r="D651" s="7" t="s">
        <v>2515</v>
      </c>
      <c r="E651" s="7" t="s">
        <v>1585</v>
      </c>
      <c r="F651" s="7" t="s">
        <v>2548</v>
      </c>
    </row>
    <row r="652" spans="1:6" ht="22.5" x14ac:dyDescent="0.25">
      <c r="A652" s="7" t="s">
        <v>26</v>
      </c>
      <c r="B652" s="7" t="s">
        <v>2580</v>
      </c>
      <c r="C652" s="7" t="s">
        <v>2579</v>
      </c>
      <c r="D652" s="7" t="s">
        <v>2515</v>
      </c>
      <c r="E652" s="7" t="s">
        <v>1585</v>
      </c>
      <c r="F652" s="7" t="s">
        <v>2548</v>
      </c>
    </row>
    <row r="653" spans="1:6" ht="22.5" x14ac:dyDescent="0.25">
      <c r="A653" s="7" t="s">
        <v>29</v>
      </c>
      <c r="B653" s="7" t="s">
        <v>2581</v>
      </c>
      <c r="C653" s="7" t="s">
        <v>2582</v>
      </c>
      <c r="D653" s="7" t="s">
        <v>2515</v>
      </c>
      <c r="E653" s="7" t="s">
        <v>1585</v>
      </c>
      <c r="F653" s="7" t="s">
        <v>2548</v>
      </c>
    </row>
    <row r="654" spans="1:6" ht="22.5" x14ac:dyDescent="0.25">
      <c r="A654" s="7" t="s">
        <v>2583</v>
      </c>
      <c r="B654" s="7" t="s">
        <v>2584</v>
      </c>
      <c r="C654" s="7" t="s">
        <v>2582</v>
      </c>
      <c r="D654" s="7" t="s">
        <v>2515</v>
      </c>
      <c r="E654" s="7" t="s">
        <v>1585</v>
      </c>
      <c r="F654" s="7" t="s">
        <v>2548</v>
      </c>
    </row>
    <row r="655" spans="1:6" x14ac:dyDescent="0.25">
      <c r="A655" s="7" t="s">
        <v>2585</v>
      </c>
      <c r="B655" s="7" t="s">
        <v>2586</v>
      </c>
      <c r="C655" s="7" t="s">
        <v>2587</v>
      </c>
      <c r="D655" s="7" t="s">
        <v>2515</v>
      </c>
      <c r="E655" s="7" t="s">
        <v>1585</v>
      </c>
      <c r="F655" s="7" t="s">
        <v>2548</v>
      </c>
    </row>
    <row r="656" spans="1:6" x14ac:dyDescent="0.25">
      <c r="A656" s="7" t="s">
        <v>103</v>
      </c>
      <c r="B656" s="7" t="s">
        <v>2588</v>
      </c>
      <c r="C656" s="7" t="s">
        <v>2587</v>
      </c>
      <c r="D656" s="7" t="s">
        <v>2515</v>
      </c>
      <c r="E656" s="7" t="s">
        <v>1585</v>
      </c>
      <c r="F656" s="7" t="s">
        <v>2548</v>
      </c>
    </row>
    <row r="657" spans="1:6" ht="22.5" x14ac:dyDescent="0.25">
      <c r="A657" s="7" t="s">
        <v>2589</v>
      </c>
      <c r="B657" s="7" t="s">
        <v>2590</v>
      </c>
      <c r="C657" s="7" t="s">
        <v>2591</v>
      </c>
      <c r="D657" s="7" t="s">
        <v>2515</v>
      </c>
      <c r="E657" s="7" t="s">
        <v>1585</v>
      </c>
      <c r="F657" s="7" t="s">
        <v>2548</v>
      </c>
    </row>
    <row r="658" spans="1:6" ht="22.5" x14ac:dyDescent="0.25">
      <c r="A658" s="7" t="s">
        <v>2592</v>
      </c>
      <c r="B658" s="7" t="s">
        <v>2593</v>
      </c>
      <c r="C658" s="7" t="s">
        <v>2591</v>
      </c>
      <c r="D658" s="7" t="s">
        <v>2515</v>
      </c>
      <c r="E658" s="7" t="s">
        <v>1585</v>
      </c>
      <c r="F658" s="7" t="s">
        <v>2548</v>
      </c>
    </row>
    <row r="659" spans="1:6" ht="22.5" x14ac:dyDescent="0.25">
      <c r="A659" s="7" t="s">
        <v>2594</v>
      </c>
      <c r="B659" s="7" t="s">
        <v>2595</v>
      </c>
      <c r="C659" s="7" t="s">
        <v>2591</v>
      </c>
      <c r="D659" s="7" t="s">
        <v>2515</v>
      </c>
      <c r="E659" s="7" t="s">
        <v>1585</v>
      </c>
      <c r="F659" s="7" t="s">
        <v>2548</v>
      </c>
    </row>
    <row r="660" spans="1:6" ht="22.5" x14ac:dyDescent="0.25">
      <c r="A660" s="7" t="s">
        <v>2596</v>
      </c>
      <c r="B660" s="7" t="s">
        <v>2597</v>
      </c>
      <c r="C660" s="7" t="s">
        <v>2598</v>
      </c>
      <c r="D660" s="7" t="s">
        <v>2515</v>
      </c>
      <c r="E660" s="7" t="s">
        <v>1585</v>
      </c>
      <c r="F660" s="7" t="s">
        <v>2548</v>
      </c>
    </row>
    <row r="661" spans="1:6" ht="22.5" x14ac:dyDescent="0.25">
      <c r="A661" s="7" t="s">
        <v>32</v>
      </c>
      <c r="B661" s="7" t="s">
        <v>2599</v>
      </c>
      <c r="C661" s="7" t="s">
        <v>2598</v>
      </c>
      <c r="D661" s="7" t="s">
        <v>2515</v>
      </c>
      <c r="E661" s="7" t="s">
        <v>1585</v>
      </c>
      <c r="F661" s="7" t="s">
        <v>2548</v>
      </c>
    </row>
    <row r="662" spans="1:6" ht="22.5" x14ac:dyDescent="0.25">
      <c r="A662" s="7" t="s">
        <v>2600</v>
      </c>
      <c r="B662" s="7" t="s">
        <v>2601</v>
      </c>
      <c r="C662" s="7" t="s">
        <v>2602</v>
      </c>
      <c r="D662" s="7" t="s">
        <v>2515</v>
      </c>
      <c r="E662" s="7" t="s">
        <v>1585</v>
      </c>
      <c r="F662" s="7" t="s">
        <v>2548</v>
      </c>
    </row>
    <row r="663" spans="1:6" ht="22.5" x14ac:dyDescent="0.25">
      <c r="A663" s="7" t="s">
        <v>44</v>
      </c>
      <c r="B663" s="7" t="s">
        <v>2603</v>
      </c>
      <c r="C663" s="7" t="s">
        <v>2604</v>
      </c>
      <c r="D663" s="7" t="s">
        <v>2515</v>
      </c>
      <c r="E663" s="7" t="s">
        <v>1585</v>
      </c>
      <c r="F663" s="7" t="s">
        <v>2548</v>
      </c>
    </row>
    <row r="664" spans="1:6" ht="22.5" x14ac:dyDescent="0.25">
      <c r="A664" s="7" t="s">
        <v>2605</v>
      </c>
      <c r="B664" s="7" t="s">
        <v>2606</v>
      </c>
      <c r="C664" s="7" t="s">
        <v>2604</v>
      </c>
      <c r="D664" s="7" t="s">
        <v>2515</v>
      </c>
      <c r="E664" s="7" t="s">
        <v>1585</v>
      </c>
      <c r="F664" s="7" t="s">
        <v>2548</v>
      </c>
    </row>
    <row r="665" spans="1:6" ht="22.5" x14ac:dyDescent="0.25">
      <c r="A665" s="7" t="s">
        <v>100</v>
      </c>
      <c r="B665" s="7" t="s">
        <v>2607</v>
      </c>
      <c r="C665" s="7" t="s">
        <v>2608</v>
      </c>
      <c r="D665" s="7" t="s">
        <v>2515</v>
      </c>
      <c r="E665" s="7" t="s">
        <v>1585</v>
      </c>
      <c r="F665" s="7" t="s">
        <v>2548</v>
      </c>
    </row>
    <row r="666" spans="1:6" ht="22.5" x14ac:dyDescent="0.25">
      <c r="A666" s="7" t="s">
        <v>2609</v>
      </c>
      <c r="B666" s="7" t="s">
        <v>2610</v>
      </c>
      <c r="C666" s="7" t="s">
        <v>2608</v>
      </c>
      <c r="D666" s="7" t="s">
        <v>2515</v>
      </c>
      <c r="E666" s="7" t="s">
        <v>1585</v>
      </c>
      <c r="F666" s="7" t="s">
        <v>2548</v>
      </c>
    </row>
    <row r="667" spans="1:6" x14ac:dyDescent="0.25">
      <c r="A667" s="7" t="s">
        <v>2611</v>
      </c>
      <c r="B667" s="7" t="s">
        <v>2612</v>
      </c>
      <c r="C667" s="7" t="s">
        <v>2613</v>
      </c>
      <c r="D667" s="7" t="s">
        <v>1608</v>
      </c>
      <c r="E667" s="7" t="s">
        <v>1609</v>
      </c>
      <c r="F667" s="7" t="s">
        <v>1610</v>
      </c>
    </row>
    <row r="668" spans="1:6" x14ac:dyDescent="0.25">
      <c r="A668" s="7" t="s">
        <v>2614</v>
      </c>
      <c r="B668" s="7" t="s">
        <v>2615</v>
      </c>
      <c r="C668" s="7" t="s">
        <v>2616</v>
      </c>
      <c r="D668" s="7" t="s">
        <v>1608</v>
      </c>
      <c r="E668" s="7" t="s">
        <v>1609</v>
      </c>
      <c r="F668" s="7" t="s">
        <v>1610</v>
      </c>
    </row>
    <row r="669" spans="1:6" x14ac:dyDescent="0.25">
      <c r="A669" s="7" t="s">
        <v>2617</v>
      </c>
      <c r="B669" s="7" t="s">
        <v>2618</v>
      </c>
      <c r="C669" s="7" t="s">
        <v>2619</v>
      </c>
      <c r="D669" s="7" t="s">
        <v>1608</v>
      </c>
      <c r="E669" s="7" t="s">
        <v>1609</v>
      </c>
      <c r="F669" s="7" t="s">
        <v>1610</v>
      </c>
    </row>
    <row r="670" spans="1:6" x14ac:dyDescent="0.25">
      <c r="A670" s="7" t="s">
        <v>2620</v>
      </c>
      <c r="B670" s="7" t="s">
        <v>2621</v>
      </c>
      <c r="C670" s="7" t="s">
        <v>2622</v>
      </c>
      <c r="D670" s="7" t="s">
        <v>2623</v>
      </c>
      <c r="E670" s="7" t="s">
        <v>1593</v>
      </c>
      <c r="F670" s="7" t="s">
        <v>1594</v>
      </c>
    </row>
    <row r="671" spans="1:6" x14ac:dyDescent="0.25">
      <c r="A671" s="7" t="s">
        <v>2624</v>
      </c>
      <c r="B671" s="7" t="s">
        <v>2625</v>
      </c>
      <c r="C671" s="7" t="s">
        <v>2626</v>
      </c>
      <c r="D671" s="7" t="s">
        <v>2627</v>
      </c>
      <c r="E671" s="7" t="s">
        <v>1593</v>
      </c>
      <c r="F671" s="7" t="s">
        <v>1826</v>
      </c>
    </row>
    <row r="672" spans="1:6" x14ac:dyDescent="0.25">
      <c r="A672" s="7" t="s">
        <v>2628</v>
      </c>
      <c r="B672" s="7" t="s">
        <v>2629</v>
      </c>
      <c r="C672" s="7" t="s">
        <v>2630</v>
      </c>
      <c r="D672" s="7" t="s">
        <v>2631</v>
      </c>
      <c r="E672" s="7" t="s">
        <v>1614</v>
      </c>
      <c r="F672" s="7" t="s">
        <v>1786</v>
      </c>
    </row>
    <row r="673" spans="1:6" x14ac:dyDescent="0.25">
      <c r="A673" s="7" t="s">
        <v>2632</v>
      </c>
      <c r="B673" s="7" t="s">
        <v>2633</v>
      </c>
      <c r="C673" s="7" t="s">
        <v>2634</v>
      </c>
      <c r="D673" s="7" t="s">
        <v>2635</v>
      </c>
      <c r="E673" s="7" t="s">
        <v>1585</v>
      </c>
      <c r="F673" s="7" t="s">
        <v>1586</v>
      </c>
    </row>
    <row r="674" spans="1:6" x14ac:dyDescent="0.25">
      <c r="A674" s="7" t="s">
        <v>2636</v>
      </c>
      <c r="B674" s="7" t="s">
        <v>2637</v>
      </c>
      <c r="C674" s="7" t="s">
        <v>2638</v>
      </c>
      <c r="D674" s="7" t="s">
        <v>2635</v>
      </c>
      <c r="E674" s="7" t="s">
        <v>1585</v>
      </c>
      <c r="F674" s="7" t="s">
        <v>1586</v>
      </c>
    </row>
    <row r="675" spans="1:6" x14ac:dyDescent="0.25">
      <c r="A675" s="7" t="s">
        <v>2639</v>
      </c>
      <c r="B675" s="7" t="s">
        <v>2640</v>
      </c>
      <c r="C675" s="7" t="s">
        <v>2641</v>
      </c>
      <c r="D675" s="7" t="s">
        <v>2635</v>
      </c>
      <c r="E675" s="7" t="s">
        <v>1585</v>
      </c>
      <c r="F675" s="7" t="s">
        <v>1586</v>
      </c>
    </row>
    <row r="676" spans="1:6" x14ac:dyDescent="0.25">
      <c r="A676" s="7" t="s">
        <v>2642</v>
      </c>
      <c r="B676" s="7" t="s">
        <v>2643</v>
      </c>
      <c r="C676" s="7" t="s">
        <v>2644</v>
      </c>
      <c r="D676" s="7" t="s">
        <v>2635</v>
      </c>
      <c r="E676" s="7" t="s">
        <v>1585</v>
      </c>
      <c r="F676" s="7" t="s">
        <v>1586</v>
      </c>
    </row>
    <row r="677" spans="1:6" ht="22.5" x14ac:dyDescent="0.25">
      <c r="A677" s="7" t="s">
        <v>2645</v>
      </c>
      <c r="B677" s="7" t="s">
        <v>2646</v>
      </c>
      <c r="C677" s="7" t="s">
        <v>2647</v>
      </c>
      <c r="D677" s="7" t="s">
        <v>2635</v>
      </c>
      <c r="E677" s="7" t="s">
        <v>1585</v>
      </c>
      <c r="F677" s="7" t="s">
        <v>1586</v>
      </c>
    </row>
    <row r="678" spans="1:6" x14ac:dyDescent="0.25">
      <c r="A678" s="7" t="s">
        <v>2648</v>
      </c>
      <c r="B678" s="7" t="s">
        <v>2649</v>
      </c>
      <c r="C678" s="7" t="s">
        <v>2650</v>
      </c>
      <c r="D678" s="7" t="s">
        <v>2635</v>
      </c>
      <c r="E678" s="7" t="s">
        <v>1585</v>
      </c>
      <c r="F678" s="7" t="s">
        <v>1586</v>
      </c>
    </row>
    <row r="679" spans="1:6" x14ac:dyDescent="0.25">
      <c r="A679" s="7" t="s">
        <v>2651</v>
      </c>
      <c r="B679" s="7" t="s">
        <v>2652</v>
      </c>
      <c r="C679" s="7" t="s">
        <v>2653</v>
      </c>
      <c r="D679" s="7" t="s">
        <v>2635</v>
      </c>
      <c r="E679" s="7" t="s">
        <v>1585</v>
      </c>
      <c r="F679" s="7" t="s">
        <v>1586</v>
      </c>
    </row>
    <row r="680" spans="1:6" x14ac:dyDescent="0.25">
      <c r="A680" s="7" t="s">
        <v>2654</v>
      </c>
      <c r="B680" s="7" t="s">
        <v>2655</v>
      </c>
      <c r="C680" s="7" t="s">
        <v>2656</v>
      </c>
      <c r="D680" s="7" t="s">
        <v>2657</v>
      </c>
      <c r="E680" s="7" t="s">
        <v>1593</v>
      </c>
      <c r="F680" s="7" t="s">
        <v>1826</v>
      </c>
    </row>
    <row r="681" spans="1:6" x14ac:dyDescent="0.25">
      <c r="A681" s="7" t="s">
        <v>2658</v>
      </c>
      <c r="B681" s="7" t="s">
        <v>2659</v>
      </c>
      <c r="C681" s="7" t="s">
        <v>2660</v>
      </c>
      <c r="D681" s="7" t="s">
        <v>2657</v>
      </c>
      <c r="E681" s="7" t="s">
        <v>1593</v>
      </c>
      <c r="F681" s="7" t="s">
        <v>1826</v>
      </c>
    </row>
    <row r="682" spans="1:6" ht="22.5" x14ac:dyDescent="0.25">
      <c r="A682" s="7" t="s">
        <v>2661</v>
      </c>
      <c r="B682" s="7" t="s">
        <v>2662</v>
      </c>
      <c r="C682" s="7" t="s">
        <v>2663</v>
      </c>
      <c r="D682" s="7" t="s">
        <v>2664</v>
      </c>
      <c r="E682" s="7" t="s">
        <v>1727</v>
      </c>
      <c r="F682" s="7" t="s">
        <v>1847</v>
      </c>
    </row>
    <row r="683" spans="1:6" x14ac:dyDescent="0.25">
      <c r="A683" s="7" t="s">
        <v>2665</v>
      </c>
      <c r="B683" s="7" t="s">
        <v>2666</v>
      </c>
      <c r="C683" s="7" t="s">
        <v>2667</v>
      </c>
      <c r="D683" s="7" t="s">
        <v>1645</v>
      </c>
      <c r="E683" s="7" t="s">
        <v>1727</v>
      </c>
      <c r="F683" s="7" t="s">
        <v>1847</v>
      </c>
    </row>
    <row r="684" spans="1:6" x14ac:dyDescent="0.25">
      <c r="A684" s="7" t="s">
        <v>2668</v>
      </c>
      <c r="B684" s="7" t="s">
        <v>2669</v>
      </c>
      <c r="C684" s="7" t="s">
        <v>2670</v>
      </c>
      <c r="D684" s="7" t="s">
        <v>2664</v>
      </c>
      <c r="E684" s="7" t="s">
        <v>1727</v>
      </c>
      <c r="F684" s="7" t="s">
        <v>1728</v>
      </c>
    </row>
    <row r="685" spans="1:6" x14ac:dyDescent="0.25">
      <c r="A685" s="7" t="s">
        <v>2671</v>
      </c>
      <c r="B685" s="7" t="s">
        <v>2672</v>
      </c>
      <c r="C685" s="7" t="s">
        <v>2673</v>
      </c>
      <c r="D685" s="7" t="s">
        <v>2664</v>
      </c>
      <c r="E685" s="7" t="s">
        <v>1593</v>
      </c>
      <c r="F685" s="7" t="s">
        <v>1594</v>
      </c>
    </row>
    <row r="686" spans="1:6" x14ac:dyDescent="0.25">
      <c r="A686" s="7" t="s">
        <v>2674</v>
      </c>
      <c r="B686" s="7" t="s">
        <v>2675</v>
      </c>
      <c r="C686" s="7" t="s">
        <v>2676</v>
      </c>
      <c r="D686" s="7" t="s">
        <v>2664</v>
      </c>
      <c r="E686" s="7" t="s">
        <v>1593</v>
      </c>
      <c r="F686" s="7" t="s">
        <v>1594</v>
      </c>
    </row>
    <row r="687" spans="1:6" x14ac:dyDescent="0.25">
      <c r="A687" s="7" t="s">
        <v>2677</v>
      </c>
      <c r="B687" s="7" t="s">
        <v>2678</v>
      </c>
      <c r="C687" s="7" t="s">
        <v>2676</v>
      </c>
      <c r="D687" s="7" t="s">
        <v>2664</v>
      </c>
      <c r="E687" s="7" t="s">
        <v>1593</v>
      </c>
      <c r="F687" s="7" t="s">
        <v>1594</v>
      </c>
    </row>
    <row r="688" spans="1:6" ht="22.5" x14ac:dyDescent="0.25">
      <c r="A688" s="7" t="s">
        <v>2679</v>
      </c>
      <c r="B688" s="7" t="s">
        <v>2680</v>
      </c>
      <c r="C688" s="7" t="s">
        <v>2681</v>
      </c>
      <c r="D688" s="7" t="s">
        <v>1645</v>
      </c>
      <c r="E688" s="7" t="s">
        <v>1609</v>
      </c>
      <c r="F688" s="7" t="s">
        <v>1610</v>
      </c>
    </row>
    <row r="689" spans="1:6" ht="22.5" x14ac:dyDescent="0.25">
      <c r="A689" s="7" t="s">
        <v>2682</v>
      </c>
      <c r="B689" s="7" t="s">
        <v>2683</v>
      </c>
      <c r="C689" s="7" t="s">
        <v>2684</v>
      </c>
      <c r="D689" s="7" t="s">
        <v>1645</v>
      </c>
      <c r="E689" s="7" t="s">
        <v>1609</v>
      </c>
      <c r="F689" s="7" t="s">
        <v>1610</v>
      </c>
    </row>
    <row r="690" spans="1:6" x14ac:dyDescent="0.25">
      <c r="A690" s="7" t="s">
        <v>2685</v>
      </c>
      <c r="B690" s="7" t="s">
        <v>2686</v>
      </c>
      <c r="C690" s="7" t="s">
        <v>2687</v>
      </c>
      <c r="D690" s="7" t="s">
        <v>1645</v>
      </c>
      <c r="E690" s="7" t="s">
        <v>1585</v>
      </c>
      <c r="F690" s="7" t="s">
        <v>1586</v>
      </c>
    </row>
    <row r="691" spans="1:6" x14ac:dyDescent="0.25">
      <c r="A691" s="7" t="s">
        <v>2688</v>
      </c>
      <c r="B691" s="7" t="s">
        <v>2689</v>
      </c>
      <c r="C691" s="7" t="s">
        <v>2690</v>
      </c>
      <c r="D691" s="7" t="s">
        <v>1645</v>
      </c>
      <c r="E691" s="7" t="s">
        <v>1585</v>
      </c>
      <c r="F691" s="7" t="s">
        <v>1586</v>
      </c>
    </row>
    <row r="692" spans="1:6" x14ac:dyDescent="0.25">
      <c r="A692" s="7" t="s">
        <v>2691</v>
      </c>
      <c r="B692" s="7" t="s">
        <v>2692</v>
      </c>
      <c r="C692" s="7" t="s">
        <v>2693</v>
      </c>
      <c r="D692" s="7" t="s">
        <v>1645</v>
      </c>
      <c r="E692" s="7" t="s">
        <v>1585</v>
      </c>
      <c r="F692" s="7" t="s">
        <v>1586</v>
      </c>
    </row>
    <row r="693" spans="1:6" x14ac:dyDescent="0.25">
      <c r="A693" s="7" t="s">
        <v>2694</v>
      </c>
      <c r="B693" s="7" t="s">
        <v>2695</v>
      </c>
      <c r="C693" s="7" t="s">
        <v>2696</v>
      </c>
      <c r="D693" s="7" t="s">
        <v>1645</v>
      </c>
      <c r="E693" s="7" t="s">
        <v>1585</v>
      </c>
      <c r="F693" s="7" t="s">
        <v>1586</v>
      </c>
    </row>
    <row r="694" spans="1:6" x14ac:dyDescent="0.25">
      <c r="A694" s="7" t="s">
        <v>2697</v>
      </c>
      <c r="B694" s="7" t="s">
        <v>2698</v>
      </c>
      <c r="C694" s="7" t="s">
        <v>2699</v>
      </c>
      <c r="D694" s="7" t="s">
        <v>1645</v>
      </c>
      <c r="E694" s="7" t="s">
        <v>1585</v>
      </c>
      <c r="F694" s="7" t="s">
        <v>1586</v>
      </c>
    </row>
    <row r="695" spans="1:6" x14ac:dyDescent="0.25">
      <c r="A695" s="7" t="s">
        <v>2700</v>
      </c>
      <c r="B695" s="7" t="s">
        <v>2701</v>
      </c>
      <c r="C695" s="7" t="s">
        <v>2702</v>
      </c>
      <c r="D695" s="7" t="s">
        <v>1645</v>
      </c>
      <c r="E695" s="7" t="s">
        <v>1585</v>
      </c>
      <c r="F695" s="7" t="s">
        <v>1586</v>
      </c>
    </row>
    <row r="696" spans="1:6" x14ac:dyDescent="0.25">
      <c r="A696" s="7" t="s">
        <v>2703</v>
      </c>
      <c r="B696" s="7" t="s">
        <v>2704</v>
      </c>
      <c r="C696" s="7" t="s">
        <v>2705</v>
      </c>
      <c r="D696" s="7" t="s">
        <v>1645</v>
      </c>
      <c r="E696" s="7" t="s">
        <v>1585</v>
      </c>
      <c r="F696" s="7" t="s">
        <v>1586</v>
      </c>
    </row>
    <row r="697" spans="1:6" x14ac:dyDescent="0.25">
      <c r="A697" s="7" t="s">
        <v>2706</v>
      </c>
      <c r="B697" s="7" t="s">
        <v>2707</v>
      </c>
      <c r="C697" s="7" t="s">
        <v>2708</v>
      </c>
      <c r="D697" s="7" t="s">
        <v>1645</v>
      </c>
      <c r="E697" s="7" t="s">
        <v>1585</v>
      </c>
      <c r="F697" s="7" t="s">
        <v>1586</v>
      </c>
    </row>
    <row r="698" spans="1:6" x14ac:dyDescent="0.25">
      <c r="A698" s="7" t="s">
        <v>2709</v>
      </c>
      <c r="B698" s="7" t="s">
        <v>2710</v>
      </c>
      <c r="C698" s="7" t="s">
        <v>2711</v>
      </c>
      <c r="D698" s="7" t="s">
        <v>1645</v>
      </c>
      <c r="E698" s="7" t="s">
        <v>1585</v>
      </c>
      <c r="F698" s="7" t="s">
        <v>1586</v>
      </c>
    </row>
    <row r="699" spans="1:6" x14ac:dyDescent="0.25">
      <c r="A699" s="7" t="s">
        <v>2712</v>
      </c>
      <c r="B699" s="7" t="s">
        <v>2713</v>
      </c>
      <c r="C699" s="7" t="s">
        <v>2714</v>
      </c>
      <c r="D699" s="7" t="s">
        <v>1645</v>
      </c>
      <c r="E699" s="7" t="s">
        <v>1585</v>
      </c>
      <c r="F699" s="7" t="s">
        <v>1586</v>
      </c>
    </row>
    <row r="700" spans="1:6" x14ac:dyDescent="0.25">
      <c r="A700" s="7" t="s">
        <v>2715</v>
      </c>
      <c r="B700" s="7" t="s">
        <v>2716</v>
      </c>
      <c r="C700" s="7" t="s">
        <v>2717</v>
      </c>
      <c r="D700" s="7" t="s">
        <v>1645</v>
      </c>
      <c r="E700" s="7" t="s">
        <v>1585</v>
      </c>
      <c r="F700" s="7" t="s">
        <v>1586</v>
      </c>
    </row>
    <row r="701" spans="1:6" x14ac:dyDescent="0.25">
      <c r="A701" s="7" t="s">
        <v>2718</v>
      </c>
      <c r="B701" s="7" t="s">
        <v>2719</v>
      </c>
      <c r="C701" s="7" t="s">
        <v>2720</v>
      </c>
      <c r="D701" s="7" t="s">
        <v>1645</v>
      </c>
      <c r="E701" s="7" t="s">
        <v>1585</v>
      </c>
      <c r="F701" s="7" t="s">
        <v>1586</v>
      </c>
    </row>
    <row r="702" spans="1:6" x14ac:dyDescent="0.25">
      <c r="A702" s="7" t="s">
        <v>2721</v>
      </c>
      <c r="B702" s="7" t="s">
        <v>2722</v>
      </c>
      <c r="C702" s="7" t="s">
        <v>2723</v>
      </c>
      <c r="D702" s="7" t="s">
        <v>1645</v>
      </c>
      <c r="E702" s="7" t="s">
        <v>1585</v>
      </c>
      <c r="F702" s="7" t="s">
        <v>1586</v>
      </c>
    </row>
    <row r="703" spans="1:6" x14ac:dyDescent="0.25">
      <c r="A703" s="7" t="s">
        <v>2724</v>
      </c>
      <c r="B703" s="7" t="s">
        <v>2725</v>
      </c>
      <c r="C703" s="7" t="s">
        <v>2726</v>
      </c>
      <c r="D703" s="7" t="s">
        <v>1645</v>
      </c>
      <c r="E703" s="7" t="s">
        <v>1585</v>
      </c>
      <c r="F703" s="7" t="s">
        <v>1586</v>
      </c>
    </row>
    <row r="704" spans="1:6" x14ac:dyDescent="0.25">
      <c r="A704" s="7" t="s">
        <v>2727</v>
      </c>
      <c r="B704" s="7" t="s">
        <v>2728</v>
      </c>
      <c r="C704" s="7" t="s">
        <v>2729</v>
      </c>
      <c r="D704" s="7" t="s">
        <v>2664</v>
      </c>
      <c r="E704" s="7" t="s">
        <v>1593</v>
      </c>
      <c r="F704" s="7" t="s">
        <v>1826</v>
      </c>
    </row>
    <row r="705" spans="1:6" x14ac:dyDescent="0.25">
      <c r="A705" s="7" t="s">
        <v>2730</v>
      </c>
      <c r="B705" s="7" t="s">
        <v>2731</v>
      </c>
      <c r="C705" s="7" t="s">
        <v>2732</v>
      </c>
      <c r="D705" s="7" t="s">
        <v>1645</v>
      </c>
      <c r="E705" s="7" t="s">
        <v>1727</v>
      </c>
      <c r="F705" s="7" t="s">
        <v>2733</v>
      </c>
    </row>
    <row r="706" spans="1:6" x14ac:dyDescent="0.25">
      <c r="A706" s="7" t="s">
        <v>2734</v>
      </c>
      <c r="B706" s="7" t="s">
        <v>2735</v>
      </c>
      <c r="C706" s="7" t="s">
        <v>2736</v>
      </c>
      <c r="D706" s="7" t="s">
        <v>2664</v>
      </c>
      <c r="E706" s="7" t="s">
        <v>1727</v>
      </c>
      <c r="F706" s="7" t="s">
        <v>2733</v>
      </c>
    </row>
    <row r="707" spans="1:6" ht="22.5" x14ac:dyDescent="0.25">
      <c r="A707" s="7" t="s">
        <v>2737</v>
      </c>
      <c r="B707" s="7" t="s">
        <v>2738</v>
      </c>
      <c r="C707" s="7" t="s">
        <v>2739</v>
      </c>
      <c r="D707" s="7" t="s">
        <v>1645</v>
      </c>
      <c r="E707" s="7" t="s">
        <v>1646</v>
      </c>
      <c r="F707" s="7" t="s">
        <v>1647</v>
      </c>
    </row>
    <row r="708" spans="1:6" ht="22.5" x14ac:dyDescent="0.25">
      <c r="A708" s="7" t="s">
        <v>2740</v>
      </c>
      <c r="B708" s="7" t="s">
        <v>2741</v>
      </c>
      <c r="C708" s="7" t="s">
        <v>2742</v>
      </c>
      <c r="D708" s="7" t="s">
        <v>2664</v>
      </c>
      <c r="E708" s="7" t="s">
        <v>1727</v>
      </c>
      <c r="F708" s="7" t="s">
        <v>2163</v>
      </c>
    </row>
    <row r="709" spans="1:6" x14ac:dyDescent="0.25">
      <c r="A709" s="7" t="s">
        <v>2743</v>
      </c>
      <c r="B709" s="7" t="s">
        <v>2744</v>
      </c>
      <c r="C709" s="7" t="s">
        <v>2745</v>
      </c>
      <c r="D709" s="7" t="s">
        <v>2746</v>
      </c>
      <c r="E709" s="7" t="s">
        <v>1614</v>
      </c>
      <c r="F709" s="7" t="s">
        <v>2260</v>
      </c>
    </row>
    <row r="710" spans="1:6" ht="22.5" x14ac:dyDescent="0.25">
      <c r="A710" s="7" t="s">
        <v>2747</v>
      </c>
      <c r="B710" s="7" t="s">
        <v>2748</v>
      </c>
      <c r="C710" s="7" t="s">
        <v>2749</v>
      </c>
      <c r="D710" s="7" t="s">
        <v>1676</v>
      </c>
      <c r="E710" s="7" t="s">
        <v>1646</v>
      </c>
      <c r="F710" s="7" t="s">
        <v>1647</v>
      </c>
    </row>
    <row r="711" spans="1:6" ht="22.5" x14ac:dyDescent="0.25">
      <c r="A711" s="7" t="s">
        <v>2750</v>
      </c>
      <c r="B711" s="7" t="s">
        <v>2751</v>
      </c>
      <c r="C711" s="7" t="s">
        <v>2752</v>
      </c>
      <c r="D711" s="7" t="s">
        <v>1658</v>
      </c>
      <c r="E711" s="7" t="s">
        <v>1659</v>
      </c>
      <c r="F711" s="7" t="s">
        <v>1660</v>
      </c>
    </row>
    <row r="712" spans="1:6" x14ac:dyDescent="0.25">
      <c r="A712" s="7" t="s">
        <v>2753</v>
      </c>
      <c r="B712" s="7" t="s">
        <v>2754</v>
      </c>
      <c r="C712" s="7" t="s">
        <v>2755</v>
      </c>
      <c r="D712" s="7" t="s">
        <v>1658</v>
      </c>
      <c r="E712" s="7" t="s">
        <v>1659</v>
      </c>
      <c r="F712" s="7" t="s">
        <v>1660</v>
      </c>
    </row>
    <row r="713" spans="1:6" x14ac:dyDescent="0.25">
      <c r="A713" s="7" t="s">
        <v>2756</v>
      </c>
      <c r="B713" s="7" t="s">
        <v>2757</v>
      </c>
      <c r="C713" s="7" t="s">
        <v>2758</v>
      </c>
      <c r="D713" s="7" t="s">
        <v>1658</v>
      </c>
      <c r="E713" s="7" t="s">
        <v>1659</v>
      </c>
      <c r="F713" s="7" t="s">
        <v>1660</v>
      </c>
    </row>
    <row r="714" spans="1:6" ht="22.5" x14ac:dyDescent="0.25">
      <c r="A714" s="7" t="s">
        <v>2759</v>
      </c>
      <c r="B714" s="7" t="s">
        <v>2760</v>
      </c>
      <c r="C714" s="7" t="s">
        <v>2761</v>
      </c>
      <c r="D714" s="7" t="s">
        <v>1846</v>
      </c>
      <c r="E714" s="7" t="s">
        <v>1727</v>
      </c>
      <c r="F714" s="7" t="s">
        <v>1847</v>
      </c>
    </row>
    <row r="715" spans="1:6" ht="22.5" x14ac:dyDescent="0.25">
      <c r="A715" s="7" t="s">
        <v>2762</v>
      </c>
      <c r="B715" s="7" t="s">
        <v>2763</v>
      </c>
      <c r="C715" s="7" t="s">
        <v>2764</v>
      </c>
      <c r="D715" s="7" t="s">
        <v>2765</v>
      </c>
      <c r="E715" s="7" t="s">
        <v>1609</v>
      </c>
      <c r="F715" s="7" t="s">
        <v>1610</v>
      </c>
    </row>
    <row r="716" spans="1:6" ht="22.5" x14ac:dyDescent="0.25">
      <c r="A716" s="7" t="s">
        <v>2766</v>
      </c>
      <c r="B716" s="7" t="s">
        <v>2767</v>
      </c>
      <c r="C716" s="7" t="s">
        <v>2768</v>
      </c>
      <c r="D716" s="7" t="s">
        <v>2765</v>
      </c>
      <c r="E716" s="7" t="s">
        <v>1609</v>
      </c>
      <c r="F716" s="7" t="s">
        <v>1610</v>
      </c>
    </row>
    <row r="717" spans="1:6" ht="22.5" x14ac:dyDescent="0.25">
      <c r="A717" s="7" t="s">
        <v>2769</v>
      </c>
      <c r="B717" s="7" t="s">
        <v>2770</v>
      </c>
      <c r="C717" s="7" t="s">
        <v>2771</v>
      </c>
      <c r="D717" s="7" t="s">
        <v>2765</v>
      </c>
      <c r="E717" s="7" t="s">
        <v>1609</v>
      </c>
      <c r="F717" s="7" t="s">
        <v>1610</v>
      </c>
    </row>
    <row r="718" spans="1:6" ht="22.5" x14ac:dyDescent="0.25">
      <c r="A718" s="7" t="s">
        <v>2772</v>
      </c>
      <c r="B718" s="7" t="s">
        <v>2773</v>
      </c>
      <c r="C718" s="7" t="s">
        <v>2774</v>
      </c>
      <c r="D718" s="7" t="s">
        <v>2765</v>
      </c>
      <c r="E718" s="7" t="s">
        <v>1609</v>
      </c>
      <c r="F718" s="7" t="s">
        <v>1610</v>
      </c>
    </row>
    <row r="719" spans="1:6" x14ac:dyDescent="0.25">
      <c r="A719" s="7" t="s">
        <v>2775</v>
      </c>
      <c r="B719" s="7" t="s">
        <v>2776</v>
      </c>
      <c r="C719" s="7" t="s">
        <v>2777</v>
      </c>
      <c r="D719" s="7" t="s">
        <v>2778</v>
      </c>
      <c r="E719" s="7" t="s">
        <v>1593</v>
      </c>
      <c r="F719" s="7" t="s">
        <v>1826</v>
      </c>
    </row>
    <row r="720" spans="1:6" x14ac:dyDescent="0.25">
      <c r="A720" s="7" t="s">
        <v>2779</v>
      </c>
      <c r="B720" s="7" t="s">
        <v>2780</v>
      </c>
      <c r="C720" s="7" t="s">
        <v>2781</v>
      </c>
      <c r="D720" s="7" t="s">
        <v>2778</v>
      </c>
      <c r="E720" s="7" t="s">
        <v>1593</v>
      </c>
      <c r="F720" s="7" t="s">
        <v>1826</v>
      </c>
    </row>
    <row r="721" spans="1:6" x14ac:dyDescent="0.25">
      <c r="A721" s="7" t="s">
        <v>2782</v>
      </c>
      <c r="B721" s="7" t="s">
        <v>2783</v>
      </c>
      <c r="C721" s="7" t="s">
        <v>2784</v>
      </c>
      <c r="D721" s="7" t="s">
        <v>1642</v>
      </c>
      <c r="E721" s="7" t="s">
        <v>1585</v>
      </c>
      <c r="F721" s="7" t="s">
        <v>1586</v>
      </c>
    </row>
    <row r="722" spans="1:6" x14ac:dyDescent="0.25">
      <c r="A722" s="7" t="s">
        <v>2785</v>
      </c>
      <c r="B722" s="7" t="s">
        <v>2786</v>
      </c>
      <c r="C722" s="7" t="s">
        <v>2787</v>
      </c>
      <c r="D722" s="7" t="s">
        <v>1642</v>
      </c>
      <c r="E722" s="7" t="s">
        <v>1585</v>
      </c>
      <c r="F722" s="7" t="s">
        <v>1586</v>
      </c>
    </row>
    <row r="723" spans="1:6" x14ac:dyDescent="0.25">
      <c r="A723" s="7" t="s">
        <v>2788</v>
      </c>
      <c r="B723" s="7" t="s">
        <v>2789</v>
      </c>
      <c r="C723" s="7" t="s">
        <v>2790</v>
      </c>
      <c r="D723" s="7" t="s">
        <v>1642</v>
      </c>
      <c r="E723" s="7" t="s">
        <v>1585</v>
      </c>
      <c r="F723" s="7" t="s">
        <v>1586</v>
      </c>
    </row>
    <row r="724" spans="1:6" x14ac:dyDescent="0.25">
      <c r="A724" s="7" t="s">
        <v>2791</v>
      </c>
      <c r="B724" s="7" t="s">
        <v>2792</v>
      </c>
      <c r="C724" s="7" t="s">
        <v>2793</v>
      </c>
      <c r="D724" s="7" t="s">
        <v>1642</v>
      </c>
      <c r="E724" s="7" t="s">
        <v>1585</v>
      </c>
      <c r="F724" s="7" t="s">
        <v>1586</v>
      </c>
    </row>
    <row r="725" spans="1:6" x14ac:dyDescent="0.25">
      <c r="A725" s="7" t="s">
        <v>2794</v>
      </c>
      <c r="B725" s="7" t="s">
        <v>2795</v>
      </c>
      <c r="C725" s="7" t="s">
        <v>2796</v>
      </c>
      <c r="D725" s="7" t="s">
        <v>1642</v>
      </c>
      <c r="E725" s="7" t="s">
        <v>1585</v>
      </c>
      <c r="F725" s="7" t="s">
        <v>1586</v>
      </c>
    </row>
    <row r="726" spans="1:6" x14ac:dyDescent="0.25">
      <c r="A726" s="7" t="s">
        <v>2797</v>
      </c>
      <c r="B726" s="7" t="s">
        <v>2798</v>
      </c>
      <c r="C726" s="7" t="s">
        <v>2799</v>
      </c>
      <c r="D726" s="7" t="s">
        <v>1642</v>
      </c>
      <c r="E726" s="7" t="s">
        <v>1585</v>
      </c>
      <c r="F726" s="7" t="s">
        <v>1586</v>
      </c>
    </row>
    <row r="727" spans="1:6" x14ac:dyDescent="0.25">
      <c r="A727" s="7" t="s">
        <v>2800</v>
      </c>
      <c r="B727" s="7" t="s">
        <v>2801</v>
      </c>
      <c r="C727" s="7" t="s">
        <v>2802</v>
      </c>
      <c r="D727" s="7" t="s">
        <v>2803</v>
      </c>
      <c r="E727" s="7" t="s">
        <v>1585</v>
      </c>
      <c r="F727" s="7" t="s">
        <v>2804</v>
      </c>
    </row>
    <row r="728" spans="1:6" x14ac:dyDescent="0.25">
      <c r="A728" s="7" t="s">
        <v>2805</v>
      </c>
      <c r="B728" s="7" t="s">
        <v>2806</v>
      </c>
      <c r="C728" s="7" t="s">
        <v>2807</v>
      </c>
      <c r="D728" s="7" t="s">
        <v>2803</v>
      </c>
      <c r="E728" s="7" t="s">
        <v>1585</v>
      </c>
      <c r="F728" s="7" t="s">
        <v>2804</v>
      </c>
    </row>
    <row r="729" spans="1:6" x14ac:dyDescent="0.25">
      <c r="A729" s="7" t="s">
        <v>2808</v>
      </c>
      <c r="B729" s="7" t="s">
        <v>2809</v>
      </c>
      <c r="C729" s="7" t="s">
        <v>2810</v>
      </c>
      <c r="D729" s="7" t="s">
        <v>2803</v>
      </c>
      <c r="E729" s="7" t="s">
        <v>1585</v>
      </c>
      <c r="F729" s="7" t="s">
        <v>2804</v>
      </c>
    </row>
    <row r="730" spans="1:6" x14ac:dyDescent="0.25">
      <c r="A730" s="7" t="s">
        <v>2811</v>
      </c>
      <c r="B730" s="7" t="s">
        <v>2812</v>
      </c>
      <c r="C730" s="7" t="s">
        <v>2813</v>
      </c>
      <c r="D730" s="7" t="s">
        <v>2803</v>
      </c>
      <c r="E730" s="7" t="s">
        <v>1585</v>
      </c>
      <c r="F730" s="7" t="s">
        <v>2804</v>
      </c>
    </row>
    <row r="731" spans="1:6" x14ac:dyDescent="0.25">
      <c r="A731" s="7" t="s">
        <v>2814</v>
      </c>
      <c r="B731" s="7" t="s">
        <v>2815</v>
      </c>
      <c r="C731" s="7" t="s">
        <v>2816</v>
      </c>
      <c r="D731" s="7" t="s">
        <v>2803</v>
      </c>
      <c r="E731" s="7" t="s">
        <v>1585</v>
      </c>
      <c r="F731" s="7" t="s">
        <v>1586</v>
      </c>
    </row>
    <row r="732" spans="1:6" x14ac:dyDescent="0.25">
      <c r="A732" s="7" t="s">
        <v>2817</v>
      </c>
      <c r="B732" s="7" t="s">
        <v>2818</v>
      </c>
      <c r="C732" s="7" t="s">
        <v>2819</v>
      </c>
      <c r="D732" s="7" t="s">
        <v>2803</v>
      </c>
      <c r="E732" s="7" t="s">
        <v>1585</v>
      </c>
      <c r="F732" s="7" t="s">
        <v>1586</v>
      </c>
    </row>
    <row r="733" spans="1:6" x14ac:dyDescent="0.25">
      <c r="A733" s="7" t="s">
        <v>2820</v>
      </c>
      <c r="B733" s="7" t="s">
        <v>2821</v>
      </c>
      <c r="C733" s="7" t="s">
        <v>2822</v>
      </c>
      <c r="D733" s="7" t="s">
        <v>2803</v>
      </c>
      <c r="E733" s="7" t="s">
        <v>1585</v>
      </c>
      <c r="F733" s="7" t="s">
        <v>1586</v>
      </c>
    </row>
    <row r="734" spans="1:6" x14ac:dyDescent="0.25">
      <c r="A734" s="7" t="s">
        <v>2823</v>
      </c>
      <c r="B734" s="7" t="s">
        <v>2824</v>
      </c>
      <c r="C734" s="7" t="s">
        <v>2825</v>
      </c>
      <c r="D734" s="7" t="s">
        <v>2803</v>
      </c>
      <c r="E734" s="7" t="s">
        <v>1585</v>
      </c>
      <c r="F734" s="7" t="s">
        <v>1586</v>
      </c>
    </row>
    <row r="735" spans="1:6" x14ac:dyDescent="0.25">
      <c r="A735" s="7" t="s">
        <v>2826</v>
      </c>
      <c r="B735" s="7" t="s">
        <v>2827</v>
      </c>
      <c r="C735" s="7" t="s">
        <v>2828</v>
      </c>
      <c r="D735" s="7" t="s">
        <v>2803</v>
      </c>
      <c r="E735" s="7" t="s">
        <v>1585</v>
      </c>
      <c r="F735" s="7" t="s">
        <v>1586</v>
      </c>
    </row>
    <row r="736" spans="1:6" x14ac:dyDescent="0.25">
      <c r="A736" s="7" t="s">
        <v>2829</v>
      </c>
      <c r="B736" s="7" t="s">
        <v>2830</v>
      </c>
      <c r="C736" s="7" t="s">
        <v>2831</v>
      </c>
      <c r="D736" s="7" t="s">
        <v>2832</v>
      </c>
      <c r="E736" s="7" t="s">
        <v>1593</v>
      </c>
      <c r="F736" s="7" t="s">
        <v>1826</v>
      </c>
    </row>
    <row r="737" spans="1:6" ht="22.5" x14ac:dyDescent="0.25">
      <c r="A737" s="7" t="s">
        <v>2833</v>
      </c>
      <c r="B737" s="7" t="s">
        <v>2834</v>
      </c>
      <c r="C737" s="7" t="s">
        <v>2835</v>
      </c>
      <c r="D737" s="7" t="s">
        <v>2832</v>
      </c>
      <c r="E737" s="7" t="s">
        <v>1593</v>
      </c>
      <c r="F737" s="7" t="s">
        <v>1826</v>
      </c>
    </row>
    <row r="738" spans="1:6" ht="22.5" x14ac:dyDescent="0.25">
      <c r="A738" s="7" t="s">
        <v>2836</v>
      </c>
      <c r="B738" s="7" t="s">
        <v>2837</v>
      </c>
      <c r="C738" s="7" t="s">
        <v>2838</v>
      </c>
      <c r="D738" s="7" t="s">
        <v>2832</v>
      </c>
      <c r="E738" s="7" t="s">
        <v>1593</v>
      </c>
      <c r="F738" s="7" t="s">
        <v>1826</v>
      </c>
    </row>
    <row r="739" spans="1:6" x14ac:dyDescent="0.25">
      <c r="A739" s="7" t="s">
        <v>2839</v>
      </c>
      <c r="B739" s="7" t="s">
        <v>2840</v>
      </c>
      <c r="C739" s="7" t="s">
        <v>2841</v>
      </c>
      <c r="D739" s="7" t="s">
        <v>2832</v>
      </c>
      <c r="E739" s="7" t="s">
        <v>1593</v>
      </c>
      <c r="F739" s="7" t="s">
        <v>1826</v>
      </c>
    </row>
    <row r="740" spans="1:6" x14ac:dyDescent="0.25">
      <c r="A740" s="7" t="s">
        <v>2842</v>
      </c>
      <c r="B740" s="7" t="s">
        <v>2843</v>
      </c>
      <c r="C740" s="7" t="s">
        <v>2844</v>
      </c>
      <c r="D740" s="7" t="s">
        <v>2845</v>
      </c>
      <c r="E740" s="7" t="s">
        <v>1593</v>
      </c>
      <c r="F740" s="7" t="s">
        <v>1826</v>
      </c>
    </row>
    <row r="741" spans="1:6" x14ac:dyDescent="0.25">
      <c r="A741" s="7" t="s">
        <v>2846</v>
      </c>
      <c r="B741" s="7" t="s">
        <v>2847</v>
      </c>
      <c r="C741" s="7" t="s">
        <v>2848</v>
      </c>
      <c r="D741" s="7" t="s">
        <v>2849</v>
      </c>
      <c r="E741" s="7" t="s">
        <v>1593</v>
      </c>
      <c r="F741" s="7" t="s">
        <v>1826</v>
      </c>
    </row>
    <row r="742" spans="1:6" x14ac:dyDescent="0.25">
      <c r="A742" s="7" t="s">
        <v>2850</v>
      </c>
      <c r="B742" s="7" t="s">
        <v>2851</v>
      </c>
      <c r="C742" s="7" t="s">
        <v>2852</v>
      </c>
      <c r="D742" s="7" t="s">
        <v>2849</v>
      </c>
      <c r="E742" s="7" t="s">
        <v>1614</v>
      </c>
      <c r="F742" s="7" t="s">
        <v>1786</v>
      </c>
    </row>
    <row r="743" spans="1:6" ht="22.5" x14ac:dyDescent="0.25">
      <c r="A743" s="7" t="s">
        <v>2853</v>
      </c>
      <c r="B743" s="7" t="s">
        <v>2854</v>
      </c>
      <c r="C743" s="7" t="s">
        <v>2855</v>
      </c>
      <c r="D743" s="7" t="s">
        <v>2856</v>
      </c>
      <c r="E743" s="7" t="s">
        <v>2857</v>
      </c>
      <c r="F743" s="7" t="s">
        <v>2858</v>
      </c>
    </row>
    <row r="744" spans="1:6" ht="22.5" x14ac:dyDescent="0.25">
      <c r="A744" s="7" t="s">
        <v>2859</v>
      </c>
      <c r="B744" s="7" t="s">
        <v>2860</v>
      </c>
      <c r="C744" s="7" t="s">
        <v>2861</v>
      </c>
      <c r="D744" s="7" t="s">
        <v>2856</v>
      </c>
      <c r="E744" s="7" t="s">
        <v>2857</v>
      </c>
      <c r="F744" s="7" t="s">
        <v>2858</v>
      </c>
    </row>
    <row r="745" spans="1:6" ht="22.5" x14ac:dyDescent="0.25">
      <c r="A745" s="7" t="s">
        <v>2862</v>
      </c>
      <c r="B745" s="7" t="s">
        <v>2863</v>
      </c>
      <c r="C745" s="7" t="s">
        <v>2864</v>
      </c>
      <c r="D745" s="7" t="s">
        <v>2856</v>
      </c>
      <c r="E745" s="7" t="s">
        <v>2857</v>
      </c>
      <c r="F745" s="7" t="s">
        <v>2858</v>
      </c>
    </row>
    <row r="746" spans="1:6" ht="22.5" x14ac:dyDescent="0.25">
      <c r="A746" s="7" t="s">
        <v>2865</v>
      </c>
      <c r="B746" s="7" t="s">
        <v>2866</v>
      </c>
      <c r="C746" s="7" t="s">
        <v>2867</v>
      </c>
      <c r="D746" s="7" t="s">
        <v>2856</v>
      </c>
      <c r="E746" s="7" t="s">
        <v>2857</v>
      </c>
      <c r="F746" s="7" t="s">
        <v>2858</v>
      </c>
    </row>
    <row r="747" spans="1:6" x14ac:dyDescent="0.25">
      <c r="A747" s="7" t="s">
        <v>2868</v>
      </c>
      <c r="B747" s="7" t="s">
        <v>2869</v>
      </c>
      <c r="C747" s="7" t="s">
        <v>2870</v>
      </c>
      <c r="D747" s="7" t="s">
        <v>2871</v>
      </c>
      <c r="E747" s="7" t="s">
        <v>2857</v>
      </c>
      <c r="F747" s="7" t="s">
        <v>2872</v>
      </c>
    </row>
    <row r="748" spans="1:6" ht="22.5" x14ac:dyDescent="0.25">
      <c r="A748" s="7" t="s">
        <v>2873</v>
      </c>
      <c r="B748" s="7" t="s">
        <v>2874</v>
      </c>
      <c r="C748" s="7" t="s">
        <v>2875</v>
      </c>
      <c r="D748" s="7"/>
      <c r="E748" s="7"/>
      <c r="F748" s="7"/>
    </row>
    <row r="749" spans="1:6" x14ac:dyDescent="0.25">
      <c r="A749" s="7" t="s">
        <v>2876</v>
      </c>
      <c r="B749" s="7" t="s">
        <v>2877</v>
      </c>
      <c r="C749" s="7" t="s">
        <v>2878</v>
      </c>
      <c r="D749" s="7"/>
      <c r="E749" s="7"/>
      <c r="F749" s="7"/>
    </row>
    <row r="750" spans="1:6" ht="22.5" x14ac:dyDescent="0.25">
      <c r="A750" s="7" t="s">
        <v>2879</v>
      </c>
      <c r="B750" s="7" t="s">
        <v>2880</v>
      </c>
      <c r="C750" s="7" t="s">
        <v>2881</v>
      </c>
      <c r="D750" s="7" t="s">
        <v>2882</v>
      </c>
      <c r="E750" s="7" t="s">
        <v>1614</v>
      </c>
      <c r="F750" s="7" t="s">
        <v>1786</v>
      </c>
    </row>
    <row r="751" spans="1:6" ht="22.5" x14ac:dyDescent="0.25">
      <c r="A751" s="7" t="s">
        <v>2883</v>
      </c>
      <c r="B751" s="7" t="s">
        <v>2884</v>
      </c>
      <c r="C751" s="7" t="s">
        <v>2885</v>
      </c>
      <c r="D751" s="7" t="s">
        <v>2882</v>
      </c>
      <c r="E751" s="7" t="s">
        <v>1614</v>
      </c>
      <c r="F751" s="7" t="s">
        <v>1786</v>
      </c>
    </row>
    <row r="752" spans="1:6" ht="22.5" x14ac:dyDescent="0.25">
      <c r="A752" s="7" t="s">
        <v>2886</v>
      </c>
      <c r="B752" s="7" t="s">
        <v>2887</v>
      </c>
      <c r="C752" s="7" t="s">
        <v>2888</v>
      </c>
      <c r="D752" s="7" t="s">
        <v>2882</v>
      </c>
      <c r="E752" s="7" t="s">
        <v>1614</v>
      </c>
      <c r="F752" s="7" t="s">
        <v>1786</v>
      </c>
    </row>
    <row r="753" spans="1:6" x14ac:dyDescent="0.25">
      <c r="A753" s="7" t="s">
        <v>2889</v>
      </c>
      <c r="B753" s="7" t="s">
        <v>2890</v>
      </c>
      <c r="C753" s="7" t="s">
        <v>2891</v>
      </c>
      <c r="D753" s="7" t="s">
        <v>2892</v>
      </c>
      <c r="E753" s="7" t="s">
        <v>1585</v>
      </c>
      <c r="F753" s="7" t="s">
        <v>1597</v>
      </c>
    </row>
    <row r="754" spans="1:6" x14ac:dyDescent="0.25">
      <c r="A754" s="7" t="s">
        <v>2893</v>
      </c>
      <c r="B754" s="7" t="s">
        <v>2894</v>
      </c>
      <c r="C754" s="7" t="s">
        <v>2895</v>
      </c>
      <c r="D754" s="7" t="s">
        <v>2892</v>
      </c>
      <c r="E754" s="7" t="s">
        <v>1585</v>
      </c>
      <c r="F754" s="7" t="s">
        <v>1597</v>
      </c>
    </row>
    <row r="755" spans="1:6" x14ac:dyDescent="0.25">
      <c r="A755" s="7" t="s">
        <v>2896</v>
      </c>
      <c r="B755" s="7" t="s">
        <v>2897</v>
      </c>
      <c r="C755" s="7" t="s">
        <v>2898</v>
      </c>
      <c r="D755" s="7" t="s">
        <v>2892</v>
      </c>
      <c r="E755" s="7" t="s">
        <v>1585</v>
      </c>
      <c r="F755" s="7" t="s">
        <v>1597</v>
      </c>
    </row>
    <row r="756" spans="1:6" x14ac:dyDescent="0.25">
      <c r="A756" s="7" t="s">
        <v>2899</v>
      </c>
      <c r="B756" s="7" t="s">
        <v>2900</v>
      </c>
      <c r="C756" s="7" t="s">
        <v>2901</v>
      </c>
      <c r="D756" s="7" t="s">
        <v>2892</v>
      </c>
      <c r="E756" s="7" t="s">
        <v>1585</v>
      </c>
      <c r="F756" s="7" t="s">
        <v>1597</v>
      </c>
    </row>
    <row r="757" spans="1:6" x14ac:dyDescent="0.25">
      <c r="A757" s="7" t="s">
        <v>2902</v>
      </c>
      <c r="B757" s="7" t="s">
        <v>2903</v>
      </c>
      <c r="C757" s="7" t="s">
        <v>2904</v>
      </c>
      <c r="D757" s="7" t="s">
        <v>2892</v>
      </c>
      <c r="E757" s="7" t="s">
        <v>1585</v>
      </c>
      <c r="F757" s="7" t="s">
        <v>1597</v>
      </c>
    </row>
    <row r="758" spans="1:6" x14ac:dyDescent="0.25">
      <c r="A758" s="7" t="s">
        <v>2905</v>
      </c>
      <c r="B758" s="7" t="s">
        <v>2906</v>
      </c>
      <c r="C758" s="7" t="s">
        <v>2907</v>
      </c>
      <c r="D758" s="7" t="s">
        <v>2892</v>
      </c>
      <c r="E758" s="7" t="s">
        <v>1585</v>
      </c>
      <c r="F758" s="7" t="s">
        <v>1597</v>
      </c>
    </row>
    <row r="759" spans="1:6" x14ac:dyDescent="0.25">
      <c r="A759" s="7" t="s">
        <v>2908</v>
      </c>
      <c r="B759" s="7" t="s">
        <v>2909</v>
      </c>
      <c r="C759" s="7" t="s">
        <v>2910</v>
      </c>
      <c r="D759" s="7" t="s">
        <v>2892</v>
      </c>
      <c r="E759" s="7" t="s">
        <v>1585</v>
      </c>
      <c r="F759" s="7" t="s">
        <v>1597</v>
      </c>
    </row>
    <row r="760" spans="1:6" x14ac:dyDescent="0.25">
      <c r="A760" s="7" t="s">
        <v>2911</v>
      </c>
      <c r="B760" s="7" t="s">
        <v>2912</v>
      </c>
      <c r="C760" s="7" t="s">
        <v>2913</v>
      </c>
      <c r="D760" s="7" t="s">
        <v>2892</v>
      </c>
      <c r="E760" s="7" t="s">
        <v>1585</v>
      </c>
      <c r="F760" s="7" t="s">
        <v>1597</v>
      </c>
    </row>
    <row r="761" spans="1:6" x14ac:dyDescent="0.25">
      <c r="A761" s="7" t="s">
        <v>2914</v>
      </c>
      <c r="B761" s="7" t="s">
        <v>2915</v>
      </c>
      <c r="C761" s="7" t="s">
        <v>2916</v>
      </c>
      <c r="D761" s="7"/>
      <c r="E761" s="7"/>
      <c r="F761" s="7"/>
    </row>
    <row r="762" spans="1:6" x14ac:dyDescent="0.25">
      <c r="A762" s="7" t="s">
        <v>2917</v>
      </c>
      <c r="B762" s="7" t="s">
        <v>2918</v>
      </c>
      <c r="C762" s="7" t="s">
        <v>2919</v>
      </c>
      <c r="D762" s="7" t="s">
        <v>2920</v>
      </c>
      <c r="E762" s="7" t="s">
        <v>1593</v>
      </c>
      <c r="F762" s="7" t="s">
        <v>1826</v>
      </c>
    </row>
    <row r="763" spans="1:6" x14ac:dyDescent="0.25">
      <c r="A763" s="7" t="s">
        <v>2921</v>
      </c>
      <c r="B763" s="7" t="s">
        <v>2922</v>
      </c>
      <c r="C763" s="7" t="s">
        <v>2923</v>
      </c>
      <c r="D763" s="7" t="s">
        <v>2924</v>
      </c>
      <c r="E763" s="7" t="s">
        <v>1585</v>
      </c>
      <c r="F763" s="7" t="s">
        <v>1586</v>
      </c>
    </row>
    <row r="764" spans="1:6" x14ac:dyDescent="0.25">
      <c r="A764" s="7" t="s">
        <v>2925</v>
      </c>
      <c r="B764" s="7" t="s">
        <v>2926</v>
      </c>
      <c r="C764" s="7" t="s">
        <v>2927</v>
      </c>
      <c r="D764" s="7"/>
      <c r="E764" s="7"/>
      <c r="F764" s="7"/>
    </row>
    <row r="765" spans="1:6" x14ac:dyDescent="0.25">
      <c r="A765" s="7" t="s">
        <v>2928</v>
      </c>
      <c r="B765" s="7" t="s">
        <v>2929</v>
      </c>
      <c r="C765" s="7" t="s">
        <v>2930</v>
      </c>
      <c r="D765" s="7"/>
      <c r="E765" s="7"/>
      <c r="F765" s="7"/>
    </row>
    <row r="766" spans="1:6" x14ac:dyDescent="0.25">
      <c r="A766" s="7" t="s">
        <v>2931</v>
      </c>
      <c r="B766" s="7" t="s">
        <v>2932</v>
      </c>
      <c r="C766" s="7" t="s">
        <v>2933</v>
      </c>
      <c r="D766" s="7" t="s">
        <v>1633</v>
      </c>
      <c r="E766" s="7" t="s">
        <v>1837</v>
      </c>
      <c r="F766" s="7" t="s">
        <v>1838</v>
      </c>
    </row>
    <row r="767" spans="1:6" x14ac:dyDescent="0.25">
      <c r="A767" s="7" t="s">
        <v>2934</v>
      </c>
      <c r="B767" s="7" t="s">
        <v>2935</v>
      </c>
      <c r="C767" s="7" t="s">
        <v>2936</v>
      </c>
      <c r="D767" s="7" t="s">
        <v>1633</v>
      </c>
      <c r="E767" s="7" t="s">
        <v>1837</v>
      </c>
      <c r="F767" s="7" t="s">
        <v>1838</v>
      </c>
    </row>
    <row r="768" spans="1:6" x14ac:dyDescent="0.25">
      <c r="A768" s="7" t="s">
        <v>2937</v>
      </c>
      <c r="B768" s="7" t="s">
        <v>2938</v>
      </c>
      <c r="C768" s="7" t="s">
        <v>2939</v>
      </c>
      <c r="D768" s="7" t="s">
        <v>1633</v>
      </c>
      <c r="E768" s="7" t="s">
        <v>1727</v>
      </c>
      <c r="F768" s="7" t="s">
        <v>1847</v>
      </c>
    </row>
    <row r="769" spans="1:6" x14ac:dyDescent="0.25">
      <c r="A769" s="7" t="s">
        <v>371</v>
      </c>
      <c r="B769" s="7" t="s">
        <v>2940</v>
      </c>
      <c r="C769" s="7" t="s">
        <v>2941</v>
      </c>
      <c r="D769" s="7" t="s">
        <v>1633</v>
      </c>
      <c r="E769" s="7" t="s">
        <v>1727</v>
      </c>
      <c r="F769" s="7" t="s">
        <v>1728</v>
      </c>
    </row>
    <row r="770" spans="1:6" x14ac:dyDescent="0.25">
      <c r="A770" s="7" t="s">
        <v>374</v>
      </c>
      <c r="B770" s="7" t="s">
        <v>2942</v>
      </c>
      <c r="C770" s="7" t="s">
        <v>2941</v>
      </c>
      <c r="D770" s="7" t="s">
        <v>1633</v>
      </c>
      <c r="E770" s="7" t="s">
        <v>1727</v>
      </c>
      <c r="F770" s="7" t="s">
        <v>1728</v>
      </c>
    </row>
    <row r="771" spans="1:6" x14ac:dyDescent="0.25">
      <c r="A771" s="7" t="s">
        <v>2943</v>
      </c>
      <c r="B771" s="7" t="s">
        <v>2944</v>
      </c>
      <c r="C771" s="7" t="s">
        <v>2945</v>
      </c>
      <c r="D771" s="7" t="s">
        <v>1633</v>
      </c>
      <c r="E771" s="7" t="s">
        <v>1727</v>
      </c>
      <c r="F771" s="7" t="s">
        <v>1728</v>
      </c>
    </row>
    <row r="772" spans="1:6" x14ac:dyDescent="0.25">
      <c r="A772" s="7" t="s">
        <v>2946</v>
      </c>
      <c r="B772" s="7" t="s">
        <v>2947</v>
      </c>
      <c r="C772" s="7" t="s">
        <v>2948</v>
      </c>
      <c r="D772" s="7" t="s">
        <v>1633</v>
      </c>
      <c r="E772" s="7" t="s">
        <v>1727</v>
      </c>
      <c r="F772" s="7" t="s">
        <v>1728</v>
      </c>
    </row>
    <row r="773" spans="1:6" x14ac:dyDescent="0.25">
      <c r="A773" s="7" t="s">
        <v>2949</v>
      </c>
      <c r="B773" s="7" t="s">
        <v>2950</v>
      </c>
      <c r="C773" s="7" t="s">
        <v>2951</v>
      </c>
      <c r="D773" s="7" t="s">
        <v>1785</v>
      </c>
      <c r="E773" s="7" t="s">
        <v>1593</v>
      </c>
      <c r="F773" s="7" t="s">
        <v>1594</v>
      </c>
    </row>
    <row r="774" spans="1:6" x14ac:dyDescent="0.25">
      <c r="A774" s="7" t="s">
        <v>2952</v>
      </c>
      <c r="B774" s="7" t="s">
        <v>2953</v>
      </c>
      <c r="C774" s="7" t="s">
        <v>2954</v>
      </c>
      <c r="D774" s="7" t="s">
        <v>1785</v>
      </c>
      <c r="E774" s="7" t="s">
        <v>1593</v>
      </c>
      <c r="F774" s="7" t="s">
        <v>1594</v>
      </c>
    </row>
    <row r="775" spans="1:6" x14ac:dyDescent="0.25">
      <c r="A775" s="7" t="s">
        <v>2955</v>
      </c>
      <c r="B775" s="7" t="s">
        <v>2956</v>
      </c>
      <c r="C775" s="7" t="s">
        <v>2957</v>
      </c>
      <c r="D775" s="7" t="s">
        <v>1785</v>
      </c>
      <c r="E775" s="7" t="s">
        <v>1593</v>
      </c>
      <c r="F775" s="7" t="s">
        <v>1594</v>
      </c>
    </row>
    <row r="776" spans="1:6" x14ac:dyDescent="0.25">
      <c r="A776" s="7" t="s">
        <v>2958</v>
      </c>
      <c r="B776" s="7" t="s">
        <v>2959</v>
      </c>
      <c r="C776" s="7" t="s">
        <v>2960</v>
      </c>
      <c r="D776" s="7" t="s">
        <v>2920</v>
      </c>
      <c r="E776" s="7" t="s">
        <v>1593</v>
      </c>
      <c r="F776" s="7" t="s">
        <v>1594</v>
      </c>
    </row>
    <row r="777" spans="1:6" x14ac:dyDescent="0.25">
      <c r="A777" s="7" t="s">
        <v>2961</v>
      </c>
      <c r="B777" s="7" t="s">
        <v>2962</v>
      </c>
      <c r="C777" s="7" t="s">
        <v>2963</v>
      </c>
      <c r="D777" s="7" t="s">
        <v>2920</v>
      </c>
      <c r="E777" s="7" t="s">
        <v>1593</v>
      </c>
      <c r="F777" s="7" t="s">
        <v>1594</v>
      </c>
    </row>
    <row r="778" spans="1:6" x14ac:dyDescent="0.25">
      <c r="A778" s="7" t="s">
        <v>216</v>
      </c>
      <c r="B778" s="7" t="s">
        <v>2964</v>
      </c>
      <c r="C778" s="7" t="s">
        <v>2965</v>
      </c>
      <c r="D778" s="7" t="s">
        <v>2920</v>
      </c>
      <c r="E778" s="7" t="s">
        <v>1593</v>
      </c>
      <c r="F778" s="7" t="s">
        <v>1594</v>
      </c>
    </row>
    <row r="779" spans="1:6" x14ac:dyDescent="0.25">
      <c r="A779" s="7" t="s">
        <v>382</v>
      </c>
      <c r="B779" s="7" t="s">
        <v>2966</v>
      </c>
      <c r="C779" s="7" t="s">
        <v>2965</v>
      </c>
      <c r="D779" s="7" t="s">
        <v>2920</v>
      </c>
      <c r="E779" s="7" t="s">
        <v>1593</v>
      </c>
      <c r="F779" s="7" t="s">
        <v>1594</v>
      </c>
    </row>
    <row r="780" spans="1:6" x14ac:dyDescent="0.25">
      <c r="A780" s="7" t="s">
        <v>2967</v>
      </c>
      <c r="B780" s="7" t="s">
        <v>2968</v>
      </c>
      <c r="C780" s="7" t="s">
        <v>2969</v>
      </c>
      <c r="D780" s="7" t="s">
        <v>2920</v>
      </c>
      <c r="E780" s="7" t="s">
        <v>1593</v>
      </c>
      <c r="F780" s="7" t="s">
        <v>1594</v>
      </c>
    </row>
    <row r="781" spans="1:6" x14ac:dyDescent="0.25">
      <c r="A781" s="7" t="s">
        <v>2970</v>
      </c>
      <c r="B781" s="7" t="s">
        <v>2971</v>
      </c>
      <c r="C781" s="7" t="s">
        <v>2972</v>
      </c>
      <c r="D781" s="7" t="s">
        <v>2920</v>
      </c>
      <c r="E781" s="7" t="s">
        <v>1593</v>
      </c>
      <c r="F781" s="7" t="s">
        <v>1594</v>
      </c>
    </row>
    <row r="782" spans="1:6" x14ac:dyDescent="0.25">
      <c r="A782" s="7" t="s">
        <v>2973</v>
      </c>
      <c r="B782" s="7" t="s">
        <v>2974</v>
      </c>
      <c r="C782" s="7" t="s">
        <v>2975</v>
      </c>
      <c r="D782" s="7" t="s">
        <v>2920</v>
      </c>
      <c r="E782" s="7" t="s">
        <v>1593</v>
      </c>
      <c r="F782" s="7" t="s">
        <v>1594</v>
      </c>
    </row>
    <row r="783" spans="1:6" x14ac:dyDescent="0.25">
      <c r="A783" s="7" t="s">
        <v>2976</v>
      </c>
      <c r="B783" s="7" t="s">
        <v>2977</v>
      </c>
      <c r="C783" s="7" t="s">
        <v>2978</v>
      </c>
      <c r="D783" s="7" t="s">
        <v>2920</v>
      </c>
      <c r="E783" s="7" t="s">
        <v>1593</v>
      </c>
      <c r="F783" s="7" t="s">
        <v>1594</v>
      </c>
    </row>
    <row r="784" spans="1:6" x14ac:dyDescent="0.25">
      <c r="A784" s="7" t="s">
        <v>2979</v>
      </c>
      <c r="B784" s="7" t="s">
        <v>2980</v>
      </c>
      <c r="C784" s="7" t="s">
        <v>2981</v>
      </c>
      <c r="D784" s="7" t="s">
        <v>2920</v>
      </c>
      <c r="E784" s="7" t="s">
        <v>1593</v>
      </c>
      <c r="F784" s="7" t="s">
        <v>1594</v>
      </c>
    </row>
    <row r="785" spans="1:6" x14ac:dyDescent="0.25">
      <c r="A785" s="7" t="s">
        <v>2982</v>
      </c>
      <c r="B785" s="7" t="s">
        <v>2983</v>
      </c>
      <c r="C785" s="7" t="s">
        <v>2984</v>
      </c>
      <c r="D785" s="7" t="s">
        <v>2920</v>
      </c>
      <c r="E785" s="7" t="s">
        <v>1593</v>
      </c>
      <c r="F785" s="7" t="s">
        <v>1594</v>
      </c>
    </row>
    <row r="786" spans="1:6" x14ac:dyDescent="0.25">
      <c r="A786" s="7" t="s">
        <v>2985</v>
      </c>
      <c r="B786" s="7" t="s">
        <v>2986</v>
      </c>
      <c r="C786" s="7" t="s">
        <v>2987</v>
      </c>
      <c r="D786" s="7" t="s">
        <v>992</v>
      </c>
      <c r="E786" s="7" t="s">
        <v>1593</v>
      </c>
      <c r="F786" s="7" t="s">
        <v>1594</v>
      </c>
    </row>
    <row r="787" spans="1:6" x14ac:dyDescent="0.25">
      <c r="A787" s="7" t="s">
        <v>2988</v>
      </c>
      <c r="B787" s="7" t="s">
        <v>2989</v>
      </c>
      <c r="C787" s="7" t="s">
        <v>2990</v>
      </c>
      <c r="D787" s="7" t="s">
        <v>992</v>
      </c>
      <c r="E787" s="7" t="s">
        <v>1593</v>
      </c>
      <c r="F787" s="7" t="s">
        <v>1594</v>
      </c>
    </row>
    <row r="788" spans="1:6" ht="22.5" x14ac:dyDescent="0.25">
      <c r="A788" s="7" t="s">
        <v>2991</v>
      </c>
      <c r="B788" s="7" t="s">
        <v>2992</v>
      </c>
      <c r="C788" s="7" t="s">
        <v>2993</v>
      </c>
      <c r="D788" s="7" t="s">
        <v>2994</v>
      </c>
      <c r="E788" s="7" t="s">
        <v>1609</v>
      </c>
      <c r="F788" s="7" t="s">
        <v>1610</v>
      </c>
    </row>
    <row r="789" spans="1:6" ht="22.5" x14ac:dyDescent="0.25">
      <c r="A789" s="7" t="s">
        <v>2995</v>
      </c>
      <c r="B789" s="7" t="s">
        <v>2996</v>
      </c>
      <c r="C789" s="7" t="s">
        <v>2997</v>
      </c>
      <c r="D789" s="7" t="s">
        <v>2994</v>
      </c>
      <c r="E789" s="7" t="s">
        <v>1609</v>
      </c>
      <c r="F789" s="7" t="s">
        <v>1610</v>
      </c>
    </row>
    <row r="790" spans="1:6" ht="22.5" x14ac:dyDescent="0.25">
      <c r="A790" s="7" t="s">
        <v>2998</v>
      </c>
      <c r="B790" s="7" t="s">
        <v>2999</v>
      </c>
      <c r="C790" s="7" t="s">
        <v>3000</v>
      </c>
      <c r="D790" s="7" t="s">
        <v>2994</v>
      </c>
      <c r="E790" s="7" t="s">
        <v>1609</v>
      </c>
      <c r="F790" s="7" t="s">
        <v>1610</v>
      </c>
    </row>
    <row r="791" spans="1:6" x14ac:dyDescent="0.25">
      <c r="A791" s="7" t="s">
        <v>3001</v>
      </c>
      <c r="B791" s="7" t="s">
        <v>3002</v>
      </c>
      <c r="C791" s="7" t="s">
        <v>3003</v>
      </c>
      <c r="D791" s="7" t="s">
        <v>1785</v>
      </c>
      <c r="E791" s="7" t="s">
        <v>1614</v>
      </c>
      <c r="F791" s="7" t="s">
        <v>1786</v>
      </c>
    </row>
    <row r="792" spans="1:6" x14ac:dyDescent="0.25">
      <c r="A792" s="7" t="s">
        <v>3004</v>
      </c>
      <c r="B792" s="7" t="s">
        <v>3005</v>
      </c>
      <c r="C792" s="7" t="s">
        <v>3006</v>
      </c>
      <c r="D792" s="7" t="s">
        <v>1785</v>
      </c>
      <c r="E792" s="7" t="s">
        <v>1614</v>
      </c>
      <c r="F792" s="7" t="s">
        <v>1786</v>
      </c>
    </row>
    <row r="793" spans="1:6" x14ac:dyDescent="0.25">
      <c r="A793" s="7" t="s">
        <v>3007</v>
      </c>
      <c r="B793" s="7" t="s">
        <v>3008</v>
      </c>
      <c r="C793" s="7" t="s">
        <v>3009</v>
      </c>
      <c r="D793" s="7" t="s">
        <v>1785</v>
      </c>
      <c r="E793" s="7" t="s">
        <v>1614</v>
      </c>
      <c r="F793" s="7" t="s">
        <v>1786</v>
      </c>
    </row>
    <row r="794" spans="1:6" x14ac:dyDescent="0.25">
      <c r="A794" s="7" t="s">
        <v>3010</v>
      </c>
      <c r="B794" s="7" t="s">
        <v>3011</v>
      </c>
      <c r="C794" s="7" t="s">
        <v>3012</v>
      </c>
      <c r="D794" s="7" t="s">
        <v>1785</v>
      </c>
      <c r="E794" s="7" t="s">
        <v>1614</v>
      </c>
      <c r="F794" s="7" t="s">
        <v>1786</v>
      </c>
    </row>
    <row r="795" spans="1:6" x14ac:dyDescent="0.25">
      <c r="A795" s="7" t="s">
        <v>3013</v>
      </c>
      <c r="B795" s="7" t="s">
        <v>3014</v>
      </c>
      <c r="C795" s="7" t="s">
        <v>3015</v>
      </c>
      <c r="D795" s="7" t="s">
        <v>1785</v>
      </c>
      <c r="E795" s="7" t="s">
        <v>1614</v>
      </c>
      <c r="F795" s="7" t="s">
        <v>1786</v>
      </c>
    </row>
    <row r="796" spans="1:6" x14ac:dyDescent="0.25">
      <c r="A796" s="7" t="s">
        <v>3016</v>
      </c>
      <c r="B796" s="7" t="s">
        <v>3017</v>
      </c>
      <c r="C796" s="7" t="s">
        <v>3018</v>
      </c>
      <c r="D796" s="7" t="s">
        <v>1785</v>
      </c>
      <c r="E796" s="7" t="s">
        <v>1614</v>
      </c>
      <c r="F796" s="7" t="s">
        <v>1786</v>
      </c>
    </row>
    <row r="797" spans="1:6" x14ac:dyDescent="0.25">
      <c r="A797" s="7" t="s">
        <v>3019</v>
      </c>
      <c r="B797" s="7" t="s">
        <v>3020</v>
      </c>
      <c r="C797" s="7" t="s">
        <v>3021</v>
      </c>
      <c r="D797" s="7" t="s">
        <v>1785</v>
      </c>
      <c r="E797" s="7" t="s">
        <v>1614</v>
      </c>
      <c r="F797" s="7" t="s">
        <v>1786</v>
      </c>
    </row>
    <row r="798" spans="1:6" ht="22.5" x14ac:dyDescent="0.25">
      <c r="A798" s="7" t="s">
        <v>3022</v>
      </c>
      <c r="B798" s="7" t="s">
        <v>3023</v>
      </c>
      <c r="C798" s="7" t="s">
        <v>3024</v>
      </c>
      <c r="D798" s="7" t="s">
        <v>992</v>
      </c>
      <c r="E798" s="7" t="s">
        <v>1614</v>
      </c>
      <c r="F798" s="7" t="s">
        <v>1786</v>
      </c>
    </row>
    <row r="799" spans="1:6" ht="22.5" x14ac:dyDescent="0.25">
      <c r="A799" s="7" t="s">
        <v>341</v>
      </c>
      <c r="B799" s="7" t="s">
        <v>3025</v>
      </c>
      <c r="C799" s="7" t="s">
        <v>3026</v>
      </c>
      <c r="D799" s="7" t="s">
        <v>992</v>
      </c>
      <c r="E799" s="7" t="s">
        <v>1614</v>
      </c>
      <c r="F799" s="7" t="s">
        <v>1786</v>
      </c>
    </row>
    <row r="800" spans="1:6" ht="22.5" x14ac:dyDescent="0.25">
      <c r="A800" s="7" t="s">
        <v>3027</v>
      </c>
      <c r="B800" s="7" t="s">
        <v>3028</v>
      </c>
      <c r="C800" s="7" t="s">
        <v>3029</v>
      </c>
      <c r="D800" s="7" t="s">
        <v>992</v>
      </c>
      <c r="E800" s="7" t="s">
        <v>1614</v>
      </c>
      <c r="F800" s="7" t="s">
        <v>1786</v>
      </c>
    </row>
    <row r="801" spans="1:6" ht="22.5" x14ac:dyDescent="0.25">
      <c r="A801" s="7" t="s">
        <v>3030</v>
      </c>
      <c r="B801" s="7" t="s">
        <v>3031</v>
      </c>
      <c r="C801" s="7" t="s">
        <v>3032</v>
      </c>
      <c r="D801" s="7" t="s">
        <v>992</v>
      </c>
      <c r="E801" s="7" t="s">
        <v>1614</v>
      </c>
      <c r="F801" s="7" t="s">
        <v>1786</v>
      </c>
    </row>
    <row r="802" spans="1:6" ht="22.5" x14ac:dyDescent="0.25">
      <c r="A802" s="7" t="s">
        <v>3033</v>
      </c>
      <c r="B802" s="7" t="s">
        <v>3034</v>
      </c>
      <c r="C802" s="7" t="s">
        <v>3035</v>
      </c>
      <c r="D802" s="7" t="s">
        <v>992</v>
      </c>
      <c r="E802" s="7" t="s">
        <v>1614</v>
      </c>
      <c r="F802" s="7" t="s">
        <v>1786</v>
      </c>
    </row>
    <row r="803" spans="1:6" ht="22.5" x14ac:dyDescent="0.25">
      <c r="A803" s="7" t="s">
        <v>343</v>
      </c>
      <c r="B803" s="7" t="s">
        <v>3036</v>
      </c>
      <c r="C803" s="7" t="s">
        <v>3037</v>
      </c>
      <c r="D803" s="7" t="s">
        <v>992</v>
      </c>
      <c r="E803" s="7" t="s">
        <v>1614</v>
      </c>
      <c r="F803" s="7" t="s">
        <v>1786</v>
      </c>
    </row>
    <row r="804" spans="1:6" x14ac:dyDescent="0.25">
      <c r="A804" s="7" t="s">
        <v>276</v>
      </c>
      <c r="B804" s="7" t="s">
        <v>3038</v>
      </c>
      <c r="C804" s="7" t="s">
        <v>3039</v>
      </c>
      <c r="D804" s="7" t="s">
        <v>1785</v>
      </c>
      <c r="E804" s="7" t="s">
        <v>1614</v>
      </c>
      <c r="F804" s="7" t="s">
        <v>2473</v>
      </c>
    </row>
    <row r="805" spans="1:6" x14ac:dyDescent="0.25">
      <c r="A805" s="7" t="s">
        <v>279</v>
      </c>
      <c r="B805" s="7" t="s">
        <v>3040</v>
      </c>
      <c r="C805" s="7" t="s">
        <v>3041</v>
      </c>
      <c r="D805" s="7" t="s">
        <v>1785</v>
      </c>
      <c r="E805" s="7" t="s">
        <v>1614</v>
      </c>
      <c r="F805" s="7" t="s">
        <v>2473</v>
      </c>
    </row>
    <row r="806" spans="1:6" ht="22.5" x14ac:dyDescent="0.25">
      <c r="A806" s="7" t="s">
        <v>261</v>
      </c>
      <c r="B806" s="7" t="s">
        <v>3042</v>
      </c>
      <c r="C806" s="7" t="s">
        <v>3043</v>
      </c>
      <c r="D806" s="7" t="s">
        <v>992</v>
      </c>
      <c r="E806" s="7" t="s">
        <v>1614</v>
      </c>
      <c r="F806" s="7" t="s">
        <v>2473</v>
      </c>
    </row>
    <row r="807" spans="1:6" x14ac:dyDescent="0.25">
      <c r="A807" s="7" t="s">
        <v>3044</v>
      </c>
      <c r="B807" s="7" t="s">
        <v>3045</v>
      </c>
      <c r="C807" s="7" t="s">
        <v>3046</v>
      </c>
      <c r="D807" s="7" t="s">
        <v>3047</v>
      </c>
      <c r="E807" s="7" t="s">
        <v>1585</v>
      </c>
      <c r="F807" s="7" t="s">
        <v>1586</v>
      </c>
    </row>
    <row r="808" spans="1:6" x14ac:dyDescent="0.25">
      <c r="A808" s="7" t="s">
        <v>3048</v>
      </c>
      <c r="B808" s="7" t="s">
        <v>3049</v>
      </c>
      <c r="C808" s="7" t="s">
        <v>3050</v>
      </c>
      <c r="D808" s="7" t="s">
        <v>3047</v>
      </c>
      <c r="E808" s="7" t="s">
        <v>1585</v>
      </c>
      <c r="F808" s="7" t="s">
        <v>1586</v>
      </c>
    </row>
    <row r="809" spans="1:6" x14ac:dyDescent="0.25">
      <c r="A809" s="7" t="s">
        <v>3051</v>
      </c>
      <c r="B809" s="7" t="s">
        <v>3052</v>
      </c>
      <c r="C809" s="7" t="s">
        <v>3053</v>
      </c>
      <c r="D809" s="7" t="s">
        <v>3047</v>
      </c>
      <c r="E809" s="7" t="s">
        <v>1585</v>
      </c>
      <c r="F809" s="7" t="s">
        <v>1586</v>
      </c>
    </row>
    <row r="810" spans="1:6" x14ac:dyDescent="0.25">
      <c r="A810" s="7" t="s">
        <v>3054</v>
      </c>
      <c r="B810" s="7" t="s">
        <v>3055</v>
      </c>
      <c r="C810" s="7" t="s">
        <v>3056</v>
      </c>
      <c r="D810" s="7" t="s">
        <v>3047</v>
      </c>
      <c r="E810" s="7" t="s">
        <v>1585</v>
      </c>
      <c r="F810" s="7" t="s">
        <v>1586</v>
      </c>
    </row>
    <row r="811" spans="1:6" x14ac:dyDescent="0.25">
      <c r="A811" s="7" t="s">
        <v>3057</v>
      </c>
      <c r="B811" s="7" t="s">
        <v>3058</v>
      </c>
      <c r="C811" s="7" t="s">
        <v>3056</v>
      </c>
      <c r="D811" s="7" t="s">
        <v>3047</v>
      </c>
      <c r="E811" s="7" t="s">
        <v>1585</v>
      </c>
      <c r="F811" s="7" t="s">
        <v>1586</v>
      </c>
    </row>
    <row r="812" spans="1:6" x14ac:dyDescent="0.25">
      <c r="A812" s="7" t="s">
        <v>197</v>
      </c>
      <c r="B812" s="7" t="s">
        <v>3059</v>
      </c>
      <c r="C812" s="7" t="s">
        <v>3060</v>
      </c>
      <c r="D812" s="7" t="s">
        <v>3047</v>
      </c>
      <c r="E812" s="7" t="s">
        <v>1585</v>
      </c>
      <c r="F812" s="7" t="s">
        <v>1597</v>
      </c>
    </row>
    <row r="813" spans="1:6" x14ac:dyDescent="0.25">
      <c r="A813" s="7" t="s">
        <v>697</v>
      </c>
      <c r="B813" s="7" t="s">
        <v>3061</v>
      </c>
      <c r="C813" s="7" t="s">
        <v>3062</v>
      </c>
      <c r="D813" s="7" t="s">
        <v>3047</v>
      </c>
      <c r="E813" s="7" t="s">
        <v>1585</v>
      </c>
      <c r="F813" s="7" t="s">
        <v>1597</v>
      </c>
    </row>
    <row r="814" spans="1:6" x14ac:dyDescent="0.25">
      <c r="A814" s="7" t="s">
        <v>3063</v>
      </c>
      <c r="B814" s="7" t="s">
        <v>3064</v>
      </c>
      <c r="C814" s="7" t="s">
        <v>3062</v>
      </c>
      <c r="D814" s="7" t="s">
        <v>3047</v>
      </c>
      <c r="E814" s="7" t="s">
        <v>1585</v>
      </c>
      <c r="F814" s="7" t="s">
        <v>1597</v>
      </c>
    </row>
    <row r="815" spans="1:6" x14ac:dyDescent="0.25">
      <c r="A815" s="7" t="s">
        <v>3065</v>
      </c>
      <c r="B815" s="7" t="s">
        <v>3066</v>
      </c>
      <c r="C815" s="7" t="s">
        <v>3067</v>
      </c>
      <c r="D815" s="7" t="s">
        <v>3047</v>
      </c>
      <c r="E815" s="7" t="s">
        <v>1585</v>
      </c>
      <c r="F815" s="7" t="s">
        <v>1597</v>
      </c>
    </row>
    <row r="816" spans="1:6" x14ac:dyDescent="0.25">
      <c r="A816" s="7" t="s">
        <v>688</v>
      </c>
      <c r="B816" s="7" t="s">
        <v>3068</v>
      </c>
      <c r="C816" s="7" t="s">
        <v>3067</v>
      </c>
      <c r="D816" s="7" t="s">
        <v>3047</v>
      </c>
      <c r="E816" s="7" t="s">
        <v>1585</v>
      </c>
      <c r="F816" s="7" t="s">
        <v>1597</v>
      </c>
    </row>
    <row r="817" spans="1:6" x14ac:dyDescent="0.25">
      <c r="A817" s="7" t="s">
        <v>769</v>
      </c>
      <c r="B817" s="7" t="s">
        <v>3069</v>
      </c>
      <c r="C817" s="7" t="s">
        <v>3070</v>
      </c>
      <c r="D817" s="7" t="s">
        <v>3047</v>
      </c>
      <c r="E817" s="7" t="s">
        <v>1585</v>
      </c>
      <c r="F817" s="7" t="s">
        <v>1597</v>
      </c>
    </row>
    <row r="818" spans="1:6" x14ac:dyDescent="0.25">
      <c r="A818" s="7" t="s">
        <v>3071</v>
      </c>
      <c r="B818" s="7" t="s">
        <v>3072</v>
      </c>
      <c r="C818" s="7" t="s">
        <v>3070</v>
      </c>
      <c r="D818" s="7" t="s">
        <v>3047</v>
      </c>
      <c r="E818" s="7" t="s">
        <v>1585</v>
      </c>
      <c r="F818" s="7" t="s">
        <v>1597</v>
      </c>
    </row>
    <row r="819" spans="1:6" x14ac:dyDescent="0.25">
      <c r="A819" s="7" t="s">
        <v>3073</v>
      </c>
      <c r="B819" s="7" t="s">
        <v>3074</v>
      </c>
      <c r="C819" s="7" t="s">
        <v>3070</v>
      </c>
      <c r="D819" s="7" t="s">
        <v>3047</v>
      </c>
      <c r="E819" s="7" t="s">
        <v>1585</v>
      </c>
      <c r="F819" s="7" t="s">
        <v>1597</v>
      </c>
    </row>
    <row r="820" spans="1:6" x14ac:dyDescent="0.25">
      <c r="A820" s="7" t="s">
        <v>3075</v>
      </c>
      <c r="B820" s="7" t="s">
        <v>3076</v>
      </c>
      <c r="C820" s="7" t="s">
        <v>3077</v>
      </c>
      <c r="D820" s="7" t="s">
        <v>3047</v>
      </c>
      <c r="E820" s="7" t="s">
        <v>1585</v>
      </c>
      <c r="F820" s="7" t="s">
        <v>1597</v>
      </c>
    </row>
    <row r="821" spans="1:6" x14ac:dyDescent="0.25">
      <c r="A821" s="7" t="s">
        <v>694</v>
      </c>
      <c r="B821" s="7" t="s">
        <v>3078</v>
      </c>
      <c r="C821" s="7" t="s">
        <v>3077</v>
      </c>
      <c r="D821" s="7" t="s">
        <v>3047</v>
      </c>
      <c r="E821" s="7" t="s">
        <v>1585</v>
      </c>
      <c r="F821" s="7" t="s">
        <v>1597</v>
      </c>
    </row>
    <row r="822" spans="1:6" x14ac:dyDescent="0.25">
      <c r="A822" s="7" t="s">
        <v>691</v>
      </c>
      <c r="B822" s="7" t="s">
        <v>3079</v>
      </c>
      <c r="C822" s="7" t="s">
        <v>3080</v>
      </c>
      <c r="D822" s="7" t="s">
        <v>3047</v>
      </c>
      <c r="E822" s="7" t="s">
        <v>1585</v>
      </c>
      <c r="F822" s="7" t="s">
        <v>1597</v>
      </c>
    </row>
    <row r="823" spans="1:6" x14ac:dyDescent="0.25">
      <c r="A823" s="7" t="s">
        <v>3081</v>
      </c>
      <c r="B823" s="7" t="s">
        <v>3082</v>
      </c>
      <c r="C823" s="7" t="s">
        <v>3080</v>
      </c>
      <c r="D823" s="7" t="s">
        <v>3047</v>
      </c>
      <c r="E823" s="7" t="s">
        <v>1585</v>
      </c>
      <c r="F823" s="7" t="s">
        <v>1597</v>
      </c>
    </row>
    <row r="824" spans="1:6" x14ac:dyDescent="0.25">
      <c r="A824" s="7" t="s">
        <v>3083</v>
      </c>
      <c r="B824" s="7" t="s">
        <v>3084</v>
      </c>
      <c r="C824" s="7" t="s">
        <v>3080</v>
      </c>
      <c r="D824" s="7" t="s">
        <v>3047</v>
      </c>
      <c r="E824" s="7" t="s">
        <v>1585</v>
      </c>
      <c r="F824" s="7" t="s">
        <v>1597</v>
      </c>
    </row>
    <row r="825" spans="1:6" x14ac:dyDescent="0.25">
      <c r="A825" s="7" t="s">
        <v>3085</v>
      </c>
      <c r="B825" s="7" t="s">
        <v>3086</v>
      </c>
      <c r="C825" s="7" t="s">
        <v>3087</v>
      </c>
      <c r="D825" s="7" t="s">
        <v>3047</v>
      </c>
      <c r="E825" s="7" t="s">
        <v>1585</v>
      </c>
      <c r="F825" s="7" t="s">
        <v>1597</v>
      </c>
    </row>
    <row r="826" spans="1:6" x14ac:dyDescent="0.25">
      <c r="A826" s="7" t="s">
        <v>3088</v>
      </c>
      <c r="B826" s="7" t="s">
        <v>3089</v>
      </c>
      <c r="C826" s="7" t="s">
        <v>3087</v>
      </c>
      <c r="D826" s="7" t="s">
        <v>3047</v>
      </c>
      <c r="E826" s="7" t="s">
        <v>1585</v>
      </c>
      <c r="F826" s="7" t="s">
        <v>1597</v>
      </c>
    </row>
    <row r="827" spans="1:6" x14ac:dyDescent="0.25">
      <c r="A827" s="7" t="s">
        <v>703</v>
      </c>
      <c r="B827" s="7" t="s">
        <v>3090</v>
      </c>
      <c r="C827" s="7" t="s">
        <v>3087</v>
      </c>
      <c r="D827" s="7" t="s">
        <v>3047</v>
      </c>
      <c r="E827" s="7" t="s">
        <v>1585</v>
      </c>
      <c r="F827" s="7" t="s">
        <v>1597</v>
      </c>
    </row>
    <row r="828" spans="1:6" x14ac:dyDescent="0.25">
      <c r="A828" s="7" t="s">
        <v>3091</v>
      </c>
      <c r="B828" s="7" t="s">
        <v>3092</v>
      </c>
      <c r="C828" s="7" t="s">
        <v>3093</v>
      </c>
      <c r="D828" s="7" t="s">
        <v>3047</v>
      </c>
      <c r="E828" s="7" t="s">
        <v>1585</v>
      </c>
      <c r="F828" s="7" t="s">
        <v>1597</v>
      </c>
    </row>
    <row r="829" spans="1:6" x14ac:dyDescent="0.25">
      <c r="A829" s="7" t="s">
        <v>3094</v>
      </c>
      <c r="B829" s="7" t="s">
        <v>3095</v>
      </c>
      <c r="C829" s="7" t="s">
        <v>3093</v>
      </c>
      <c r="D829" s="7" t="s">
        <v>3047</v>
      </c>
      <c r="E829" s="7" t="s">
        <v>1585</v>
      </c>
      <c r="F829" s="7" t="s">
        <v>1597</v>
      </c>
    </row>
    <row r="830" spans="1:6" x14ac:dyDescent="0.25">
      <c r="A830" s="7" t="s">
        <v>3096</v>
      </c>
      <c r="B830" s="7" t="s">
        <v>3097</v>
      </c>
      <c r="C830" s="7" t="s">
        <v>3098</v>
      </c>
      <c r="D830" s="7" t="s">
        <v>3047</v>
      </c>
      <c r="E830" s="7" t="s">
        <v>1585</v>
      </c>
      <c r="F830" s="7" t="s">
        <v>1597</v>
      </c>
    </row>
    <row r="831" spans="1:6" x14ac:dyDescent="0.25">
      <c r="A831" s="7" t="s">
        <v>3099</v>
      </c>
      <c r="B831" s="7" t="s">
        <v>3100</v>
      </c>
      <c r="C831" s="7" t="s">
        <v>3101</v>
      </c>
      <c r="D831" s="7" t="s">
        <v>3047</v>
      </c>
      <c r="E831" s="7" t="s">
        <v>1585</v>
      </c>
      <c r="F831" s="7" t="s">
        <v>1597</v>
      </c>
    </row>
    <row r="832" spans="1:6" x14ac:dyDescent="0.25">
      <c r="A832" s="7" t="s">
        <v>3102</v>
      </c>
      <c r="B832" s="7" t="s">
        <v>3103</v>
      </c>
      <c r="C832" s="7" t="s">
        <v>3104</v>
      </c>
      <c r="D832" s="7" t="s">
        <v>3047</v>
      </c>
      <c r="E832" s="7" t="s">
        <v>1585</v>
      </c>
      <c r="F832" s="7" t="s">
        <v>1597</v>
      </c>
    </row>
    <row r="833" spans="1:6" x14ac:dyDescent="0.25">
      <c r="A833" s="7" t="s">
        <v>203</v>
      </c>
      <c r="B833" s="7" t="s">
        <v>3105</v>
      </c>
      <c r="C833" s="7" t="s">
        <v>3104</v>
      </c>
      <c r="D833" s="7" t="s">
        <v>3047</v>
      </c>
      <c r="E833" s="7" t="s">
        <v>1585</v>
      </c>
      <c r="F833" s="7" t="s">
        <v>1597</v>
      </c>
    </row>
    <row r="834" spans="1:6" x14ac:dyDescent="0.25">
      <c r="A834" s="7" t="s">
        <v>3106</v>
      </c>
      <c r="B834" s="7" t="s">
        <v>3107</v>
      </c>
      <c r="C834" s="7" t="s">
        <v>3108</v>
      </c>
      <c r="D834" s="7" t="s">
        <v>3047</v>
      </c>
      <c r="E834" s="7" t="s">
        <v>1585</v>
      </c>
      <c r="F834" s="7" t="s">
        <v>1597</v>
      </c>
    </row>
    <row r="835" spans="1:6" x14ac:dyDescent="0.25">
      <c r="A835" s="7" t="s">
        <v>3109</v>
      </c>
      <c r="B835" s="7" t="s">
        <v>3110</v>
      </c>
      <c r="C835" s="7" t="s">
        <v>3108</v>
      </c>
      <c r="D835" s="7" t="s">
        <v>3047</v>
      </c>
      <c r="E835" s="7" t="s">
        <v>1585</v>
      </c>
      <c r="F835" s="7" t="s">
        <v>1597</v>
      </c>
    </row>
    <row r="836" spans="1:6" x14ac:dyDescent="0.25">
      <c r="A836" s="7" t="s">
        <v>3111</v>
      </c>
      <c r="B836" s="7" t="s">
        <v>3112</v>
      </c>
      <c r="C836" s="7" t="s">
        <v>3113</v>
      </c>
      <c r="D836" s="7" t="s">
        <v>3047</v>
      </c>
      <c r="E836" s="7" t="s">
        <v>1585</v>
      </c>
      <c r="F836" s="7" t="s">
        <v>1597</v>
      </c>
    </row>
    <row r="837" spans="1:6" x14ac:dyDescent="0.25">
      <c r="A837" s="7" t="s">
        <v>200</v>
      </c>
      <c r="B837" s="7" t="s">
        <v>3114</v>
      </c>
      <c r="C837" s="7" t="s">
        <v>3113</v>
      </c>
      <c r="D837" s="7" t="s">
        <v>3047</v>
      </c>
      <c r="E837" s="7" t="s">
        <v>1585</v>
      </c>
      <c r="F837" s="7" t="s">
        <v>1597</v>
      </c>
    </row>
    <row r="838" spans="1:6" x14ac:dyDescent="0.25">
      <c r="A838" s="7" t="s">
        <v>3115</v>
      </c>
      <c r="B838" s="7" t="s">
        <v>3116</v>
      </c>
      <c r="C838" s="7" t="s">
        <v>3117</v>
      </c>
      <c r="D838" s="7" t="s">
        <v>3047</v>
      </c>
      <c r="E838" s="7" t="s">
        <v>1585</v>
      </c>
      <c r="F838" s="7" t="s">
        <v>1597</v>
      </c>
    </row>
    <row r="839" spans="1:6" x14ac:dyDescent="0.25">
      <c r="A839" s="7" t="s">
        <v>3118</v>
      </c>
      <c r="B839" s="7" t="s">
        <v>3119</v>
      </c>
      <c r="C839" s="7" t="s">
        <v>3117</v>
      </c>
      <c r="D839" s="7" t="s">
        <v>3047</v>
      </c>
      <c r="E839" s="7" t="s">
        <v>1585</v>
      </c>
      <c r="F839" s="7" t="s">
        <v>1597</v>
      </c>
    </row>
    <row r="840" spans="1:6" x14ac:dyDescent="0.25">
      <c r="A840" s="7" t="s">
        <v>3120</v>
      </c>
      <c r="B840" s="7" t="s">
        <v>3121</v>
      </c>
      <c r="C840" s="7" t="s">
        <v>3122</v>
      </c>
      <c r="D840" s="7" t="s">
        <v>3047</v>
      </c>
      <c r="E840" s="7" t="s">
        <v>1585</v>
      </c>
      <c r="F840" s="7" t="s">
        <v>1597</v>
      </c>
    </row>
    <row r="841" spans="1:6" x14ac:dyDescent="0.25">
      <c r="A841" s="7" t="s">
        <v>761</v>
      </c>
      <c r="B841" s="7" t="s">
        <v>3123</v>
      </c>
      <c r="C841" s="7" t="s">
        <v>3122</v>
      </c>
      <c r="D841" s="7" t="s">
        <v>3047</v>
      </c>
      <c r="E841" s="7" t="s">
        <v>1585</v>
      </c>
      <c r="F841" s="7" t="s">
        <v>1597</v>
      </c>
    </row>
    <row r="842" spans="1:6" x14ac:dyDescent="0.25">
      <c r="A842" s="7" t="s">
        <v>3124</v>
      </c>
      <c r="B842" s="7" t="s">
        <v>3125</v>
      </c>
      <c r="C842" s="7" t="s">
        <v>3126</v>
      </c>
      <c r="D842" s="7" t="s">
        <v>3047</v>
      </c>
      <c r="E842" s="7" t="s">
        <v>1585</v>
      </c>
      <c r="F842" s="7" t="s">
        <v>1597</v>
      </c>
    </row>
    <row r="843" spans="1:6" x14ac:dyDescent="0.25">
      <c r="A843" s="7" t="s">
        <v>3127</v>
      </c>
      <c r="B843" s="7" t="s">
        <v>3128</v>
      </c>
      <c r="C843" s="7" t="s">
        <v>3129</v>
      </c>
      <c r="D843" s="7" t="s">
        <v>3047</v>
      </c>
      <c r="E843" s="7" t="s">
        <v>1585</v>
      </c>
      <c r="F843" s="7" t="s">
        <v>1597</v>
      </c>
    </row>
    <row r="844" spans="1:6" x14ac:dyDescent="0.25">
      <c r="A844" s="7" t="s">
        <v>3130</v>
      </c>
      <c r="B844" s="7" t="s">
        <v>3131</v>
      </c>
      <c r="C844" s="7" t="s">
        <v>3132</v>
      </c>
      <c r="D844" s="7" t="s">
        <v>3047</v>
      </c>
      <c r="E844" s="7" t="s">
        <v>1585</v>
      </c>
      <c r="F844" s="7" t="s">
        <v>1597</v>
      </c>
    </row>
    <row r="845" spans="1:6" x14ac:dyDescent="0.25">
      <c r="A845" s="7" t="s">
        <v>3133</v>
      </c>
      <c r="B845" s="7" t="s">
        <v>3134</v>
      </c>
      <c r="C845" s="7" t="s">
        <v>3135</v>
      </c>
      <c r="D845" s="7" t="s">
        <v>3047</v>
      </c>
      <c r="E845" s="7" t="s">
        <v>1585</v>
      </c>
      <c r="F845" s="7" t="s">
        <v>1597</v>
      </c>
    </row>
    <row r="846" spans="1:6" x14ac:dyDescent="0.25">
      <c r="A846" s="7" t="s">
        <v>3136</v>
      </c>
      <c r="B846" s="7" t="s">
        <v>3137</v>
      </c>
      <c r="C846" s="7" t="s">
        <v>3138</v>
      </c>
      <c r="D846" s="7" t="s">
        <v>3047</v>
      </c>
      <c r="E846" s="7" t="s">
        <v>1585</v>
      </c>
      <c r="F846" s="7" t="s">
        <v>1597</v>
      </c>
    </row>
    <row r="847" spans="1:6" x14ac:dyDescent="0.25">
      <c r="A847" s="7" t="s">
        <v>188</v>
      </c>
      <c r="B847" s="7" t="s">
        <v>3139</v>
      </c>
      <c r="C847" s="7" t="s">
        <v>3138</v>
      </c>
      <c r="D847" s="7" t="s">
        <v>3047</v>
      </c>
      <c r="E847" s="7" t="s">
        <v>1585</v>
      </c>
      <c r="F847" s="7" t="s">
        <v>1597</v>
      </c>
    </row>
    <row r="848" spans="1:6" x14ac:dyDescent="0.25">
      <c r="A848" s="7" t="s">
        <v>3140</v>
      </c>
      <c r="B848" s="7" t="s">
        <v>3141</v>
      </c>
      <c r="C848" s="7" t="s">
        <v>3142</v>
      </c>
      <c r="D848" s="7" t="s">
        <v>3047</v>
      </c>
      <c r="E848" s="7" t="s">
        <v>1585</v>
      </c>
      <c r="F848" s="7" t="s">
        <v>1597</v>
      </c>
    </row>
    <row r="849" spans="1:6" x14ac:dyDescent="0.25">
      <c r="A849" s="7" t="s">
        <v>3143</v>
      </c>
      <c r="B849" s="7" t="s">
        <v>3144</v>
      </c>
      <c r="C849" s="7" t="s">
        <v>3145</v>
      </c>
      <c r="D849" s="7" t="s">
        <v>3047</v>
      </c>
      <c r="E849" s="7" t="s">
        <v>1585</v>
      </c>
      <c r="F849" s="7" t="s">
        <v>1597</v>
      </c>
    </row>
    <row r="850" spans="1:6" x14ac:dyDescent="0.25">
      <c r="A850" s="7" t="s">
        <v>700</v>
      </c>
      <c r="B850" s="7" t="s">
        <v>3146</v>
      </c>
      <c r="C850" s="7" t="s">
        <v>3145</v>
      </c>
      <c r="D850" s="7" t="s">
        <v>3047</v>
      </c>
      <c r="E850" s="7" t="s">
        <v>1585</v>
      </c>
      <c r="F850" s="7" t="s">
        <v>1597</v>
      </c>
    </row>
    <row r="851" spans="1:6" x14ac:dyDescent="0.25">
      <c r="A851" s="7" t="s">
        <v>806</v>
      </c>
      <c r="B851" s="7" t="s">
        <v>3147</v>
      </c>
      <c r="C851" s="7" t="s">
        <v>3148</v>
      </c>
      <c r="D851" s="7" t="s">
        <v>2892</v>
      </c>
      <c r="E851" s="7" t="s">
        <v>1585</v>
      </c>
      <c r="F851" s="7" t="s">
        <v>1597</v>
      </c>
    </row>
    <row r="852" spans="1:6" x14ac:dyDescent="0.25">
      <c r="A852" s="7" t="s">
        <v>3149</v>
      </c>
      <c r="B852" s="7" t="s">
        <v>3150</v>
      </c>
      <c r="C852" s="7" t="s">
        <v>3148</v>
      </c>
      <c r="D852" s="7" t="s">
        <v>2892</v>
      </c>
      <c r="E852" s="7" t="s">
        <v>1585</v>
      </c>
      <c r="F852" s="7" t="s">
        <v>1597</v>
      </c>
    </row>
    <row r="853" spans="1:6" x14ac:dyDescent="0.25">
      <c r="A853" s="7" t="s">
        <v>3151</v>
      </c>
      <c r="B853" s="7" t="s">
        <v>3152</v>
      </c>
      <c r="C853" s="7" t="s">
        <v>3153</v>
      </c>
      <c r="D853" s="7" t="s">
        <v>2892</v>
      </c>
      <c r="E853" s="7" t="s">
        <v>1585</v>
      </c>
      <c r="F853" s="7" t="s">
        <v>1597</v>
      </c>
    </row>
    <row r="854" spans="1:6" x14ac:dyDescent="0.25">
      <c r="A854" s="7" t="s">
        <v>3154</v>
      </c>
      <c r="B854" s="7" t="s">
        <v>3155</v>
      </c>
      <c r="C854" s="7" t="s">
        <v>3153</v>
      </c>
      <c r="D854" s="7" t="s">
        <v>2892</v>
      </c>
      <c r="E854" s="7" t="s">
        <v>1585</v>
      </c>
      <c r="F854" s="7" t="s">
        <v>1597</v>
      </c>
    </row>
    <row r="855" spans="1:6" x14ac:dyDescent="0.25">
      <c r="A855" s="7" t="s">
        <v>122</v>
      </c>
      <c r="B855" s="7" t="s">
        <v>3156</v>
      </c>
      <c r="C855" s="7" t="s">
        <v>3157</v>
      </c>
      <c r="D855" s="7" t="s">
        <v>2892</v>
      </c>
      <c r="E855" s="7" t="s">
        <v>1585</v>
      </c>
      <c r="F855" s="7" t="s">
        <v>1597</v>
      </c>
    </row>
    <row r="856" spans="1:6" x14ac:dyDescent="0.25">
      <c r="A856" s="7" t="s">
        <v>3158</v>
      </c>
      <c r="B856" s="7" t="s">
        <v>3159</v>
      </c>
      <c r="C856" s="7" t="s">
        <v>3157</v>
      </c>
      <c r="D856" s="7" t="s">
        <v>2892</v>
      </c>
      <c r="E856" s="7" t="s">
        <v>1585</v>
      </c>
      <c r="F856" s="7" t="s">
        <v>1597</v>
      </c>
    </row>
    <row r="857" spans="1:6" x14ac:dyDescent="0.25">
      <c r="A857" s="7" t="s">
        <v>3160</v>
      </c>
      <c r="B857" s="7" t="s">
        <v>3161</v>
      </c>
      <c r="C857" s="7" t="s">
        <v>3162</v>
      </c>
      <c r="D857" s="7" t="s">
        <v>2892</v>
      </c>
      <c r="E857" s="7" t="s">
        <v>1585</v>
      </c>
      <c r="F857" s="7" t="s">
        <v>1597</v>
      </c>
    </row>
    <row r="858" spans="1:6" x14ac:dyDescent="0.25">
      <c r="A858" s="7" t="s">
        <v>3163</v>
      </c>
      <c r="B858" s="7" t="s">
        <v>3164</v>
      </c>
      <c r="C858" s="7" t="s">
        <v>3165</v>
      </c>
      <c r="D858" s="7" t="s">
        <v>2892</v>
      </c>
      <c r="E858" s="7" t="s">
        <v>1585</v>
      </c>
      <c r="F858" s="7" t="s">
        <v>1597</v>
      </c>
    </row>
    <row r="859" spans="1:6" x14ac:dyDescent="0.25">
      <c r="A859" s="7" t="s">
        <v>3166</v>
      </c>
      <c r="B859" s="7" t="s">
        <v>3167</v>
      </c>
      <c r="C859" s="7" t="s">
        <v>3168</v>
      </c>
      <c r="D859" s="7" t="s">
        <v>2892</v>
      </c>
      <c r="E859" s="7" t="s">
        <v>1585</v>
      </c>
      <c r="F859" s="7" t="s">
        <v>1597</v>
      </c>
    </row>
    <row r="860" spans="1:6" x14ac:dyDescent="0.25">
      <c r="A860" s="7" t="s">
        <v>3169</v>
      </c>
      <c r="B860" s="7" t="s">
        <v>3170</v>
      </c>
      <c r="C860" s="7" t="s">
        <v>3171</v>
      </c>
      <c r="D860" s="7" t="s">
        <v>2892</v>
      </c>
      <c r="E860" s="7" t="s">
        <v>1585</v>
      </c>
      <c r="F860" s="7" t="s">
        <v>1597</v>
      </c>
    </row>
    <row r="861" spans="1:6" x14ac:dyDescent="0.25">
      <c r="A861" s="7" t="s">
        <v>3172</v>
      </c>
      <c r="B861" s="7" t="s">
        <v>3173</v>
      </c>
      <c r="C861" s="7" t="s">
        <v>3174</v>
      </c>
      <c r="D861" s="7" t="s">
        <v>2892</v>
      </c>
      <c r="E861" s="7" t="s">
        <v>1585</v>
      </c>
      <c r="F861" s="7" t="s">
        <v>1597</v>
      </c>
    </row>
    <row r="862" spans="1:6" x14ac:dyDescent="0.25">
      <c r="A862" s="7" t="s">
        <v>3175</v>
      </c>
      <c r="B862" s="7" t="s">
        <v>3176</v>
      </c>
      <c r="C862" s="7" t="s">
        <v>3177</v>
      </c>
      <c r="D862" s="7" t="s">
        <v>2892</v>
      </c>
      <c r="E862" s="7" t="s">
        <v>1585</v>
      </c>
      <c r="F862" s="7" t="s">
        <v>1597</v>
      </c>
    </row>
    <row r="863" spans="1:6" x14ac:dyDescent="0.25">
      <c r="A863" s="7" t="s">
        <v>801</v>
      </c>
      <c r="B863" s="7" t="s">
        <v>3178</v>
      </c>
      <c r="C863" s="7" t="s">
        <v>3177</v>
      </c>
      <c r="D863" s="7" t="s">
        <v>2892</v>
      </c>
      <c r="E863" s="7" t="s">
        <v>1585</v>
      </c>
      <c r="F863" s="7" t="s">
        <v>1597</v>
      </c>
    </row>
    <row r="864" spans="1:6" x14ac:dyDescent="0.25">
      <c r="A864" s="7" t="s">
        <v>3179</v>
      </c>
      <c r="B864" s="7" t="s">
        <v>3180</v>
      </c>
      <c r="C864" s="7" t="s">
        <v>3177</v>
      </c>
      <c r="D864" s="7" t="s">
        <v>2892</v>
      </c>
      <c r="E864" s="7" t="s">
        <v>1585</v>
      </c>
      <c r="F864" s="7" t="s">
        <v>1597</v>
      </c>
    </row>
    <row r="865" spans="1:6" x14ac:dyDescent="0.25">
      <c r="A865" s="7" t="s">
        <v>3181</v>
      </c>
      <c r="B865" s="7" t="s">
        <v>3182</v>
      </c>
      <c r="C865" s="7" t="s">
        <v>3183</v>
      </c>
      <c r="D865" s="7"/>
      <c r="E865" s="7"/>
      <c r="F865" s="7"/>
    </row>
    <row r="866" spans="1:6" x14ac:dyDescent="0.25">
      <c r="A866" s="7" t="s">
        <v>3184</v>
      </c>
      <c r="B866" s="7" t="s">
        <v>3185</v>
      </c>
      <c r="C866" s="7" t="s">
        <v>3186</v>
      </c>
      <c r="D866" s="7" t="s">
        <v>2892</v>
      </c>
      <c r="E866" s="7" t="s">
        <v>1585</v>
      </c>
      <c r="F866" s="7" t="s">
        <v>1597</v>
      </c>
    </row>
    <row r="867" spans="1:6" x14ac:dyDescent="0.25">
      <c r="A867" s="7" t="s">
        <v>3187</v>
      </c>
      <c r="B867" s="7" t="s">
        <v>3188</v>
      </c>
      <c r="C867" s="7" t="s">
        <v>3189</v>
      </c>
      <c r="D867" s="7" t="s">
        <v>1584</v>
      </c>
      <c r="E867" s="7" t="s">
        <v>1585</v>
      </c>
      <c r="F867" s="7" t="s">
        <v>1586</v>
      </c>
    </row>
    <row r="868" spans="1:6" ht="22.5" x14ac:dyDescent="0.25">
      <c r="A868" s="7" t="s">
        <v>541</v>
      </c>
      <c r="B868" s="7" t="s">
        <v>3190</v>
      </c>
      <c r="C868" s="7" t="s">
        <v>3191</v>
      </c>
      <c r="D868" s="7" t="s">
        <v>1584</v>
      </c>
      <c r="E868" s="7" t="s">
        <v>1585</v>
      </c>
      <c r="F868" s="7" t="s">
        <v>1586</v>
      </c>
    </row>
    <row r="869" spans="1:6" x14ac:dyDescent="0.25">
      <c r="A869" s="7" t="s">
        <v>439</v>
      </c>
      <c r="B869" s="7" t="s">
        <v>3192</v>
      </c>
      <c r="C869" s="7" t="s">
        <v>3193</v>
      </c>
      <c r="D869" s="7" t="s">
        <v>1584</v>
      </c>
      <c r="E869" s="7" t="s">
        <v>1585</v>
      </c>
      <c r="F869" s="7" t="s">
        <v>1586</v>
      </c>
    </row>
    <row r="870" spans="1:6" x14ac:dyDescent="0.25">
      <c r="A870" s="7" t="s">
        <v>475</v>
      </c>
      <c r="B870" s="7" t="s">
        <v>3194</v>
      </c>
      <c r="C870" s="7" t="s">
        <v>3195</v>
      </c>
      <c r="D870" s="7" t="s">
        <v>1584</v>
      </c>
      <c r="E870" s="7" t="s">
        <v>1585</v>
      </c>
      <c r="F870" s="7" t="s">
        <v>1586</v>
      </c>
    </row>
    <row r="871" spans="1:6" x14ac:dyDescent="0.25">
      <c r="A871" s="7" t="s">
        <v>430</v>
      </c>
      <c r="B871" s="7" t="s">
        <v>3196</v>
      </c>
      <c r="C871" s="7" t="s">
        <v>3197</v>
      </c>
      <c r="D871" s="7" t="s">
        <v>1584</v>
      </c>
      <c r="E871" s="7" t="s">
        <v>1585</v>
      </c>
      <c r="F871" s="7" t="s">
        <v>1586</v>
      </c>
    </row>
    <row r="872" spans="1:6" ht="22.5" x14ac:dyDescent="0.25">
      <c r="A872" s="7" t="s">
        <v>433</v>
      </c>
      <c r="B872" s="7" t="s">
        <v>3198</v>
      </c>
      <c r="C872" s="7" t="s">
        <v>3199</v>
      </c>
      <c r="D872" s="7" t="s">
        <v>1584</v>
      </c>
      <c r="E872" s="7" t="s">
        <v>1585</v>
      </c>
      <c r="F872" s="7" t="s">
        <v>1586</v>
      </c>
    </row>
    <row r="873" spans="1:6" x14ac:dyDescent="0.25">
      <c r="A873" s="7" t="s">
        <v>3200</v>
      </c>
      <c r="B873" s="7" t="s">
        <v>3201</v>
      </c>
      <c r="C873" s="7" t="s">
        <v>3202</v>
      </c>
      <c r="D873" s="7" t="s">
        <v>1584</v>
      </c>
      <c r="E873" s="7" t="s">
        <v>1585</v>
      </c>
      <c r="F873" s="7" t="s">
        <v>1586</v>
      </c>
    </row>
    <row r="874" spans="1:6" x14ac:dyDescent="0.25">
      <c r="A874" s="7" t="s">
        <v>3203</v>
      </c>
      <c r="B874" s="7" t="s">
        <v>3204</v>
      </c>
      <c r="C874" s="7" t="s">
        <v>3205</v>
      </c>
      <c r="D874" s="7" t="s">
        <v>1584</v>
      </c>
      <c r="E874" s="7" t="s">
        <v>1585</v>
      </c>
      <c r="F874" s="7" t="s">
        <v>1586</v>
      </c>
    </row>
    <row r="875" spans="1:6" ht="22.5" x14ac:dyDescent="0.25">
      <c r="A875" s="7" t="s">
        <v>3206</v>
      </c>
      <c r="B875" s="7" t="s">
        <v>3207</v>
      </c>
      <c r="C875" s="7" t="s">
        <v>3208</v>
      </c>
      <c r="D875" s="7" t="s">
        <v>1584</v>
      </c>
      <c r="E875" s="7" t="s">
        <v>1585</v>
      </c>
      <c r="F875" s="7" t="s">
        <v>1586</v>
      </c>
    </row>
    <row r="876" spans="1:6" ht="22.5" x14ac:dyDescent="0.25">
      <c r="A876" s="7" t="s">
        <v>3209</v>
      </c>
      <c r="B876" s="7" t="s">
        <v>3210</v>
      </c>
      <c r="C876" s="7" t="s">
        <v>3211</v>
      </c>
      <c r="D876" s="7"/>
      <c r="E876" s="7"/>
      <c r="F876" s="7"/>
    </row>
    <row r="877" spans="1:6" ht="22.5" x14ac:dyDescent="0.25">
      <c r="A877" s="7" t="s">
        <v>441</v>
      </c>
      <c r="B877" s="7" t="s">
        <v>3212</v>
      </c>
      <c r="C877" s="7" t="s">
        <v>3213</v>
      </c>
      <c r="D877" s="7" t="s">
        <v>1584</v>
      </c>
      <c r="E877" s="7" t="s">
        <v>1585</v>
      </c>
      <c r="F877" s="7" t="s">
        <v>1586</v>
      </c>
    </row>
    <row r="878" spans="1:6" ht="22.5" x14ac:dyDescent="0.25">
      <c r="A878" s="7" t="s">
        <v>3214</v>
      </c>
      <c r="B878" s="7" t="s">
        <v>3215</v>
      </c>
      <c r="C878" s="7" t="s">
        <v>3213</v>
      </c>
      <c r="D878" s="7" t="s">
        <v>1584</v>
      </c>
      <c r="E878" s="7" t="s">
        <v>1585</v>
      </c>
      <c r="F878" s="7" t="s">
        <v>1586</v>
      </c>
    </row>
    <row r="879" spans="1:6" ht="22.5" x14ac:dyDescent="0.25">
      <c r="A879" s="7" t="s">
        <v>3216</v>
      </c>
      <c r="B879" s="7" t="s">
        <v>3217</v>
      </c>
      <c r="C879" s="7" t="s">
        <v>3218</v>
      </c>
      <c r="D879" s="7" t="s">
        <v>1584</v>
      </c>
      <c r="E879" s="7" t="s">
        <v>1585</v>
      </c>
      <c r="F879" s="7" t="s">
        <v>1586</v>
      </c>
    </row>
    <row r="880" spans="1:6" ht="22.5" x14ac:dyDescent="0.25">
      <c r="A880" s="7" t="s">
        <v>3219</v>
      </c>
      <c r="B880" s="7" t="s">
        <v>3220</v>
      </c>
      <c r="C880" s="7" t="s">
        <v>3221</v>
      </c>
      <c r="D880" s="7"/>
      <c r="E880" s="7"/>
      <c r="F880" s="7"/>
    </row>
    <row r="881" spans="1:6" x14ac:dyDescent="0.25">
      <c r="A881" s="7" t="s">
        <v>3222</v>
      </c>
      <c r="B881" s="7" t="s">
        <v>3223</v>
      </c>
      <c r="C881" s="7" t="s">
        <v>3224</v>
      </c>
      <c r="D881" s="7"/>
      <c r="E881" s="7"/>
      <c r="F881" s="7"/>
    </row>
    <row r="882" spans="1:6" x14ac:dyDescent="0.25">
      <c r="A882" s="7" t="s">
        <v>3225</v>
      </c>
      <c r="B882" s="7" t="s">
        <v>3226</v>
      </c>
      <c r="C882" s="7" t="s">
        <v>3227</v>
      </c>
      <c r="D882" s="7"/>
      <c r="E882" s="7"/>
      <c r="F882" s="7"/>
    </row>
    <row r="883" spans="1:6" x14ac:dyDescent="0.25">
      <c r="A883" s="7" t="s">
        <v>3228</v>
      </c>
      <c r="B883" s="7" t="s">
        <v>3229</v>
      </c>
      <c r="C883" s="7" t="s">
        <v>3230</v>
      </c>
      <c r="D883" s="7" t="s">
        <v>1584</v>
      </c>
      <c r="E883" s="7" t="s">
        <v>1585</v>
      </c>
      <c r="F883" s="7" t="s">
        <v>1586</v>
      </c>
    </row>
    <row r="884" spans="1:6" x14ac:dyDescent="0.25">
      <c r="A884" s="7" t="s">
        <v>561</v>
      </c>
      <c r="B884" s="7" t="s">
        <v>3231</v>
      </c>
      <c r="C884" s="7" t="s">
        <v>3232</v>
      </c>
      <c r="D884" s="7" t="s">
        <v>1584</v>
      </c>
      <c r="E884" s="7" t="s">
        <v>1585</v>
      </c>
      <c r="F884" s="7" t="s">
        <v>1586</v>
      </c>
    </row>
    <row r="885" spans="1:6" ht="22.5" x14ac:dyDescent="0.25">
      <c r="A885" s="7" t="s">
        <v>3233</v>
      </c>
      <c r="B885" s="7" t="s">
        <v>3234</v>
      </c>
      <c r="C885" s="7" t="s">
        <v>3235</v>
      </c>
      <c r="D885" s="7" t="s">
        <v>1584</v>
      </c>
      <c r="E885" s="7" t="s">
        <v>1585</v>
      </c>
      <c r="F885" s="7" t="s">
        <v>1586</v>
      </c>
    </row>
    <row r="886" spans="1:6" ht="22.5" x14ac:dyDescent="0.25">
      <c r="A886" s="7" t="s">
        <v>3236</v>
      </c>
      <c r="B886" s="7" t="s">
        <v>3237</v>
      </c>
      <c r="C886" s="7" t="s">
        <v>3238</v>
      </c>
      <c r="D886" s="7" t="s">
        <v>1584</v>
      </c>
      <c r="E886" s="7" t="s">
        <v>1585</v>
      </c>
      <c r="F886" s="7" t="s">
        <v>1586</v>
      </c>
    </row>
    <row r="887" spans="1:6" ht="22.5" x14ac:dyDescent="0.25">
      <c r="A887" s="7" t="s">
        <v>3239</v>
      </c>
      <c r="B887" s="7" t="s">
        <v>3240</v>
      </c>
      <c r="C887" s="7" t="s">
        <v>3241</v>
      </c>
      <c r="D887" s="7" t="s">
        <v>1584</v>
      </c>
      <c r="E887" s="7" t="s">
        <v>1585</v>
      </c>
      <c r="F887" s="7" t="s">
        <v>1586</v>
      </c>
    </row>
    <row r="888" spans="1:6" x14ac:dyDescent="0.25">
      <c r="A888" s="7" t="s">
        <v>469</v>
      </c>
      <c r="B888" s="7" t="s">
        <v>3242</v>
      </c>
      <c r="C888" s="7" t="s">
        <v>3243</v>
      </c>
      <c r="D888" s="7" t="s">
        <v>1584</v>
      </c>
      <c r="E888" s="7" t="s">
        <v>1585</v>
      </c>
      <c r="F888" s="7" t="s">
        <v>1586</v>
      </c>
    </row>
    <row r="889" spans="1:6" x14ac:dyDescent="0.25">
      <c r="A889" s="7" t="s">
        <v>472</v>
      </c>
      <c r="B889" s="7" t="s">
        <v>3244</v>
      </c>
      <c r="C889" s="7" t="s">
        <v>3245</v>
      </c>
      <c r="D889" s="7" t="s">
        <v>1584</v>
      </c>
      <c r="E889" s="7" t="s">
        <v>1585</v>
      </c>
      <c r="F889" s="7" t="s">
        <v>1586</v>
      </c>
    </row>
    <row r="890" spans="1:6" x14ac:dyDescent="0.25">
      <c r="A890" s="7" t="s">
        <v>531</v>
      </c>
      <c r="B890" s="7" t="s">
        <v>3246</v>
      </c>
      <c r="C890" s="7" t="s">
        <v>3247</v>
      </c>
      <c r="D890" s="7" t="s">
        <v>1584</v>
      </c>
      <c r="E890" s="7" t="s">
        <v>1585</v>
      </c>
      <c r="F890" s="7" t="s">
        <v>1586</v>
      </c>
    </row>
    <row r="891" spans="1:6" x14ac:dyDescent="0.25">
      <c r="A891" s="7" t="s">
        <v>480</v>
      </c>
      <c r="B891" s="7" t="s">
        <v>3248</v>
      </c>
      <c r="C891" s="7" t="s">
        <v>3249</v>
      </c>
      <c r="D891" s="7" t="s">
        <v>1584</v>
      </c>
      <c r="E891" s="7" t="s">
        <v>1585</v>
      </c>
      <c r="F891" s="7" t="s">
        <v>1586</v>
      </c>
    </row>
    <row r="892" spans="1:6" ht="22.5" x14ac:dyDescent="0.25">
      <c r="A892" s="7" t="s">
        <v>449</v>
      </c>
      <c r="B892" s="7" t="s">
        <v>3250</v>
      </c>
      <c r="C892" s="7" t="s">
        <v>3251</v>
      </c>
      <c r="D892" s="7" t="s">
        <v>1584</v>
      </c>
      <c r="E892" s="7" t="s">
        <v>1585</v>
      </c>
      <c r="F892" s="7" t="s">
        <v>1586</v>
      </c>
    </row>
    <row r="893" spans="1:6" ht="22.5" x14ac:dyDescent="0.25">
      <c r="A893" s="7" t="s">
        <v>3252</v>
      </c>
      <c r="B893" s="7" t="s">
        <v>3253</v>
      </c>
      <c r="C893" s="7" t="s">
        <v>3254</v>
      </c>
      <c r="D893" s="7"/>
      <c r="E893" s="7"/>
      <c r="F893" s="7"/>
    </row>
    <row r="894" spans="1:6" ht="22.5" x14ac:dyDescent="0.25">
      <c r="A894" s="7" t="s">
        <v>3255</v>
      </c>
      <c r="B894" s="7" t="s">
        <v>3256</v>
      </c>
      <c r="C894" s="7" t="s">
        <v>3257</v>
      </c>
      <c r="D894" s="7" t="s">
        <v>1584</v>
      </c>
      <c r="E894" s="7" t="s">
        <v>1585</v>
      </c>
      <c r="F894" s="7" t="s">
        <v>1586</v>
      </c>
    </row>
    <row r="895" spans="1:6" x14ac:dyDescent="0.25">
      <c r="A895" s="7" t="s">
        <v>942</v>
      </c>
      <c r="B895" s="7" t="s">
        <v>3258</v>
      </c>
      <c r="C895" s="7" t="s">
        <v>3259</v>
      </c>
      <c r="D895" s="7" t="s">
        <v>1584</v>
      </c>
      <c r="E895" s="7" t="s">
        <v>1585</v>
      </c>
      <c r="F895" s="7" t="s">
        <v>1597</v>
      </c>
    </row>
    <row r="896" spans="1:6" x14ac:dyDescent="0.25">
      <c r="A896" s="7" t="s">
        <v>3260</v>
      </c>
      <c r="B896" s="7" t="s">
        <v>3261</v>
      </c>
      <c r="C896" s="7" t="s">
        <v>3262</v>
      </c>
      <c r="D896" s="7" t="s">
        <v>1584</v>
      </c>
      <c r="E896" s="7" t="s">
        <v>1585</v>
      </c>
      <c r="F896" s="7" t="s">
        <v>1597</v>
      </c>
    </row>
    <row r="897" spans="1:6" x14ac:dyDescent="0.25">
      <c r="A897" s="7" t="s">
        <v>3263</v>
      </c>
      <c r="B897" s="7" t="s">
        <v>3264</v>
      </c>
      <c r="C897" s="7" t="s">
        <v>3265</v>
      </c>
      <c r="D897" s="7" t="s">
        <v>1584</v>
      </c>
      <c r="E897" s="7" t="s">
        <v>1585</v>
      </c>
      <c r="F897" s="7" t="s">
        <v>1597</v>
      </c>
    </row>
    <row r="898" spans="1:6" x14ac:dyDescent="0.25">
      <c r="A898" s="7" t="s">
        <v>3266</v>
      </c>
      <c r="B898" s="7" t="s">
        <v>3267</v>
      </c>
      <c r="C898" s="7" t="s">
        <v>3268</v>
      </c>
      <c r="D898" s="7" t="s">
        <v>1584</v>
      </c>
      <c r="E898" s="7" t="s">
        <v>1585</v>
      </c>
      <c r="F898" s="7" t="s">
        <v>1597</v>
      </c>
    </row>
    <row r="899" spans="1:6" ht="22.5" x14ac:dyDescent="0.25">
      <c r="A899" s="7" t="s">
        <v>3269</v>
      </c>
      <c r="B899" s="7" t="s">
        <v>3270</v>
      </c>
      <c r="C899" s="7" t="s">
        <v>3271</v>
      </c>
      <c r="D899" s="7" t="s">
        <v>1584</v>
      </c>
      <c r="E899" s="7" t="s">
        <v>1585</v>
      </c>
      <c r="F899" s="7" t="s">
        <v>1597</v>
      </c>
    </row>
    <row r="900" spans="1:6" x14ac:dyDescent="0.25">
      <c r="A900" s="7" t="s">
        <v>3272</v>
      </c>
      <c r="B900" s="7" t="s">
        <v>3273</v>
      </c>
      <c r="C900" s="7" t="s">
        <v>3274</v>
      </c>
      <c r="D900" s="7" t="s">
        <v>1584</v>
      </c>
      <c r="E900" s="7" t="s">
        <v>1585</v>
      </c>
      <c r="F900" s="7" t="s">
        <v>1597</v>
      </c>
    </row>
    <row r="901" spans="1:6" ht="22.5" x14ac:dyDescent="0.25">
      <c r="A901" s="7" t="s">
        <v>3275</v>
      </c>
      <c r="B901" s="7" t="s">
        <v>3276</v>
      </c>
      <c r="C901" s="7" t="s">
        <v>3277</v>
      </c>
      <c r="D901" s="7" t="s">
        <v>1584</v>
      </c>
      <c r="E901" s="7" t="s">
        <v>1585</v>
      </c>
      <c r="F901" s="7" t="s">
        <v>1597</v>
      </c>
    </row>
    <row r="902" spans="1:6" x14ac:dyDescent="0.25">
      <c r="A902" s="7" t="s">
        <v>3278</v>
      </c>
      <c r="B902" s="7" t="s">
        <v>3279</v>
      </c>
      <c r="C902" s="7" t="s">
        <v>3280</v>
      </c>
      <c r="D902" s="7" t="s">
        <v>1584</v>
      </c>
      <c r="E902" s="7" t="s">
        <v>1585</v>
      </c>
      <c r="F902" s="7" t="s">
        <v>1597</v>
      </c>
    </row>
    <row r="903" spans="1:6" ht="22.5" x14ac:dyDescent="0.25">
      <c r="A903" s="7" t="s">
        <v>3281</v>
      </c>
      <c r="B903" s="7" t="s">
        <v>3282</v>
      </c>
      <c r="C903" s="7" t="s">
        <v>3283</v>
      </c>
      <c r="D903" s="7" t="s">
        <v>1584</v>
      </c>
      <c r="E903" s="7" t="s">
        <v>1585</v>
      </c>
      <c r="F903" s="7" t="s">
        <v>1597</v>
      </c>
    </row>
    <row r="904" spans="1:6" ht="22.5" x14ac:dyDescent="0.25">
      <c r="A904" s="7" t="s">
        <v>3284</v>
      </c>
      <c r="B904" s="7" t="s">
        <v>3285</v>
      </c>
      <c r="C904" s="7" t="s">
        <v>3286</v>
      </c>
      <c r="D904" s="7" t="s">
        <v>1584</v>
      </c>
      <c r="E904" s="7" t="s">
        <v>1585</v>
      </c>
      <c r="F904" s="7" t="s">
        <v>1597</v>
      </c>
    </row>
    <row r="905" spans="1:6" x14ac:dyDescent="0.25">
      <c r="A905" s="7" t="s">
        <v>3287</v>
      </c>
      <c r="B905" s="7" t="s">
        <v>3288</v>
      </c>
      <c r="C905" s="7" t="s">
        <v>3289</v>
      </c>
      <c r="D905" s="7" t="s">
        <v>1584</v>
      </c>
      <c r="E905" s="7" t="s">
        <v>1585</v>
      </c>
      <c r="F905" s="7" t="s">
        <v>1597</v>
      </c>
    </row>
    <row r="906" spans="1:6" x14ac:dyDescent="0.25">
      <c r="A906" s="7" t="s">
        <v>3290</v>
      </c>
      <c r="B906" s="7" t="s">
        <v>3291</v>
      </c>
      <c r="C906" s="7" t="s">
        <v>3292</v>
      </c>
      <c r="D906" s="7" t="s">
        <v>1584</v>
      </c>
      <c r="E906" s="7" t="s">
        <v>1585</v>
      </c>
      <c r="F906" s="7" t="s">
        <v>1597</v>
      </c>
    </row>
    <row r="907" spans="1:6" ht="22.5" x14ac:dyDescent="0.25">
      <c r="A907" s="7" t="s">
        <v>3293</v>
      </c>
      <c r="B907" s="7" t="s">
        <v>3294</v>
      </c>
      <c r="C907" s="7" t="s">
        <v>3295</v>
      </c>
      <c r="D907" s="7" t="s">
        <v>1584</v>
      </c>
      <c r="E907" s="7" t="s">
        <v>1585</v>
      </c>
      <c r="F907" s="7" t="s">
        <v>1597</v>
      </c>
    </row>
    <row r="908" spans="1:6" x14ac:dyDescent="0.25">
      <c r="A908" s="7" t="s">
        <v>706</v>
      </c>
      <c r="B908" s="7" t="s">
        <v>3296</v>
      </c>
      <c r="C908" s="7" t="s">
        <v>3295</v>
      </c>
      <c r="D908" s="7" t="s">
        <v>1584</v>
      </c>
      <c r="E908" s="7" t="s">
        <v>1585</v>
      </c>
      <c r="F908" s="7" t="s">
        <v>1597</v>
      </c>
    </row>
    <row r="909" spans="1:6" x14ac:dyDescent="0.25">
      <c r="A909" s="7" t="s">
        <v>709</v>
      </c>
      <c r="B909" s="7" t="s">
        <v>3297</v>
      </c>
      <c r="C909" s="7" t="s">
        <v>3295</v>
      </c>
      <c r="D909" s="7" t="s">
        <v>1584</v>
      </c>
      <c r="E909" s="7" t="s">
        <v>1585</v>
      </c>
      <c r="F909" s="7" t="s">
        <v>1597</v>
      </c>
    </row>
    <row r="910" spans="1:6" x14ac:dyDescent="0.25">
      <c r="A910" s="7" t="s">
        <v>714</v>
      </c>
      <c r="B910" s="7" t="s">
        <v>3298</v>
      </c>
      <c r="C910" s="7" t="s">
        <v>3299</v>
      </c>
      <c r="D910" s="7" t="s">
        <v>1584</v>
      </c>
      <c r="E910" s="7" t="s">
        <v>1585</v>
      </c>
      <c r="F910" s="7" t="s">
        <v>1597</v>
      </c>
    </row>
    <row r="911" spans="1:6" ht="22.5" x14ac:dyDescent="0.25">
      <c r="A911" s="7" t="s">
        <v>711</v>
      </c>
      <c r="B911" s="7" t="s">
        <v>3300</v>
      </c>
      <c r="C911" s="7" t="s">
        <v>3299</v>
      </c>
      <c r="D911" s="7" t="s">
        <v>1584</v>
      </c>
      <c r="E911" s="7" t="s">
        <v>1585</v>
      </c>
      <c r="F911" s="7" t="s">
        <v>1597</v>
      </c>
    </row>
    <row r="912" spans="1:6" ht="22.5" x14ac:dyDescent="0.25">
      <c r="A912" s="7" t="s">
        <v>3301</v>
      </c>
      <c r="B912" s="7" t="s">
        <v>3302</v>
      </c>
      <c r="C912" s="7" t="s">
        <v>3299</v>
      </c>
      <c r="D912" s="7" t="s">
        <v>1584</v>
      </c>
      <c r="E912" s="7" t="s">
        <v>1585</v>
      </c>
      <c r="F912" s="7" t="s">
        <v>1597</v>
      </c>
    </row>
    <row r="913" spans="1:6" ht="22.5" x14ac:dyDescent="0.25">
      <c r="A913" s="7" t="s">
        <v>3303</v>
      </c>
      <c r="B913" s="7" t="s">
        <v>3304</v>
      </c>
      <c r="C913" s="7" t="s">
        <v>3305</v>
      </c>
      <c r="D913" s="7" t="s">
        <v>1584</v>
      </c>
      <c r="E913" s="7" t="s">
        <v>1585</v>
      </c>
      <c r="F913" s="7" t="s">
        <v>1597</v>
      </c>
    </row>
    <row r="914" spans="1:6" x14ac:dyDescent="0.25">
      <c r="A914" s="7" t="s">
        <v>716</v>
      </c>
      <c r="B914" s="7" t="s">
        <v>3306</v>
      </c>
      <c r="C914" s="7" t="s">
        <v>3305</v>
      </c>
      <c r="D914" s="7" t="s">
        <v>1584</v>
      </c>
      <c r="E914" s="7" t="s">
        <v>1585</v>
      </c>
      <c r="F914" s="7" t="s">
        <v>1597</v>
      </c>
    </row>
    <row r="915" spans="1:6" x14ac:dyDescent="0.25">
      <c r="A915" s="7" t="s">
        <v>852</v>
      </c>
      <c r="B915" s="7" t="s">
        <v>3307</v>
      </c>
      <c r="C915" s="7" t="s">
        <v>3305</v>
      </c>
      <c r="D915" s="7" t="s">
        <v>1584</v>
      </c>
      <c r="E915" s="7" t="s">
        <v>1585</v>
      </c>
      <c r="F915" s="7" t="s">
        <v>1597</v>
      </c>
    </row>
    <row r="916" spans="1:6" x14ac:dyDescent="0.25">
      <c r="A916" s="7" t="s">
        <v>727</v>
      </c>
      <c r="B916" s="7" t="s">
        <v>3308</v>
      </c>
      <c r="C916" s="7" t="s">
        <v>3309</v>
      </c>
      <c r="D916" s="7" t="s">
        <v>1584</v>
      </c>
      <c r="E916" s="7" t="s">
        <v>1585</v>
      </c>
      <c r="F916" s="7" t="s">
        <v>1597</v>
      </c>
    </row>
    <row r="917" spans="1:6" x14ac:dyDescent="0.25">
      <c r="A917" s="7" t="s">
        <v>937</v>
      </c>
      <c r="B917" s="7" t="s">
        <v>3310</v>
      </c>
      <c r="C917" s="7" t="s">
        <v>3311</v>
      </c>
      <c r="D917" s="7" t="s">
        <v>1584</v>
      </c>
      <c r="E917" s="7" t="s">
        <v>1585</v>
      </c>
      <c r="F917" s="7" t="s">
        <v>1597</v>
      </c>
    </row>
    <row r="918" spans="1:6" x14ac:dyDescent="0.25">
      <c r="A918" s="7" t="s">
        <v>214</v>
      </c>
      <c r="B918" s="7" t="s">
        <v>3312</v>
      </c>
      <c r="C918" s="7" t="s">
        <v>3313</v>
      </c>
      <c r="D918" s="7" t="s">
        <v>1584</v>
      </c>
      <c r="E918" s="7" t="s">
        <v>1585</v>
      </c>
      <c r="F918" s="7" t="s">
        <v>1597</v>
      </c>
    </row>
    <row r="919" spans="1:6" x14ac:dyDescent="0.25">
      <c r="A919" s="7" t="s">
        <v>3314</v>
      </c>
      <c r="B919" s="7" t="s">
        <v>3315</v>
      </c>
      <c r="C919" s="7" t="s">
        <v>3313</v>
      </c>
      <c r="D919" s="7" t="s">
        <v>1584</v>
      </c>
      <c r="E919" s="7" t="s">
        <v>1585</v>
      </c>
      <c r="F919" s="7" t="s">
        <v>1597</v>
      </c>
    </row>
    <row r="920" spans="1:6" x14ac:dyDescent="0.25">
      <c r="A920" s="7" t="s">
        <v>3316</v>
      </c>
      <c r="B920" s="7" t="s">
        <v>3317</v>
      </c>
      <c r="C920" s="7" t="s">
        <v>3318</v>
      </c>
      <c r="D920" s="7" t="s">
        <v>1584</v>
      </c>
      <c r="E920" s="7" t="s">
        <v>1585</v>
      </c>
      <c r="F920" s="7" t="s">
        <v>1597</v>
      </c>
    </row>
    <row r="921" spans="1:6" x14ac:dyDescent="0.25">
      <c r="A921" s="7" t="s">
        <v>3319</v>
      </c>
      <c r="B921" s="7" t="s">
        <v>3320</v>
      </c>
      <c r="C921" s="7" t="s">
        <v>3318</v>
      </c>
      <c r="D921" s="7" t="s">
        <v>1584</v>
      </c>
      <c r="E921" s="7" t="s">
        <v>1585</v>
      </c>
      <c r="F921" s="7" t="s">
        <v>1597</v>
      </c>
    </row>
    <row r="922" spans="1:6" x14ac:dyDescent="0.25">
      <c r="A922" s="7" t="s">
        <v>725</v>
      </c>
      <c r="B922" s="7" t="s">
        <v>3321</v>
      </c>
      <c r="C922" s="7" t="s">
        <v>3322</v>
      </c>
      <c r="D922" s="7" t="s">
        <v>1584</v>
      </c>
      <c r="E922" s="7" t="s">
        <v>1585</v>
      </c>
      <c r="F922" s="7" t="s">
        <v>1597</v>
      </c>
    </row>
    <row r="923" spans="1:6" x14ac:dyDescent="0.25">
      <c r="A923" s="7" t="s">
        <v>3323</v>
      </c>
      <c r="B923" s="7" t="s">
        <v>3324</v>
      </c>
      <c r="C923" s="7" t="s">
        <v>3325</v>
      </c>
      <c r="D923" s="7" t="s">
        <v>1584</v>
      </c>
      <c r="E923" s="7" t="s">
        <v>1585</v>
      </c>
      <c r="F923" s="7" t="s">
        <v>1597</v>
      </c>
    </row>
    <row r="924" spans="1:6" x14ac:dyDescent="0.25">
      <c r="A924" s="7" t="s">
        <v>3326</v>
      </c>
      <c r="B924" s="7" t="s">
        <v>3327</v>
      </c>
      <c r="C924" s="7" t="s">
        <v>3328</v>
      </c>
      <c r="D924" s="7" t="s">
        <v>1584</v>
      </c>
      <c r="E924" s="7" t="s">
        <v>1585</v>
      </c>
      <c r="F924" s="7" t="s">
        <v>1597</v>
      </c>
    </row>
    <row r="925" spans="1:6" x14ac:dyDescent="0.25">
      <c r="A925" s="7" t="s">
        <v>3329</v>
      </c>
      <c r="B925" s="7" t="s">
        <v>3330</v>
      </c>
      <c r="C925" s="7" t="s">
        <v>3328</v>
      </c>
      <c r="D925" s="7" t="s">
        <v>1584</v>
      </c>
      <c r="E925" s="7" t="s">
        <v>1585</v>
      </c>
      <c r="F925" s="7" t="s">
        <v>1597</v>
      </c>
    </row>
    <row r="926" spans="1:6" x14ac:dyDescent="0.25">
      <c r="A926" s="7" t="s">
        <v>867</v>
      </c>
      <c r="B926" s="7" t="s">
        <v>3331</v>
      </c>
      <c r="C926" s="7" t="s">
        <v>3328</v>
      </c>
      <c r="D926" s="7" t="s">
        <v>1584</v>
      </c>
      <c r="E926" s="7" t="s">
        <v>1585</v>
      </c>
      <c r="F926" s="7" t="s">
        <v>1597</v>
      </c>
    </row>
    <row r="927" spans="1:6" x14ac:dyDescent="0.25">
      <c r="A927" s="7" t="s">
        <v>3332</v>
      </c>
      <c r="B927" s="7" t="s">
        <v>3333</v>
      </c>
      <c r="C927" s="7" t="s">
        <v>3328</v>
      </c>
      <c r="D927" s="7" t="s">
        <v>1584</v>
      </c>
      <c r="E927" s="7" t="s">
        <v>1585</v>
      </c>
      <c r="F927" s="7" t="s">
        <v>1597</v>
      </c>
    </row>
    <row r="928" spans="1:6" ht="22.5" x14ac:dyDescent="0.25">
      <c r="A928" s="7" t="s">
        <v>3334</v>
      </c>
      <c r="B928" s="7" t="s">
        <v>3335</v>
      </c>
      <c r="C928" s="7" t="s">
        <v>3328</v>
      </c>
      <c r="D928" s="7" t="s">
        <v>1584</v>
      </c>
      <c r="E928" s="7" t="s">
        <v>1585</v>
      </c>
      <c r="F928" s="7" t="s">
        <v>1597</v>
      </c>
    </row>
    <row r="929" spans="1:6" x14ac:dyDescent="0.25">
      <c r="A929" s="7" t="s">
        <v>864</v>
      </c>
      <c r="B929" s="7" t="s">
        <v>3336</v>
      </c>
      <c r="C929" s="7" t="s">
        <v>3328</v>
      </c>
      <c r="D929" s="7" t="s">
        <v>1584</v>
      </c>
      <c r="E929" s="7" t="s">
        <v>1585</v>
      </c>
      <c r="F929" s="7" t="s">
        <v>1597</v>
      </c>
    </row>
    <row r="930" spans="1:6" x14ac:dyDescent="0.25">
      <c r="A930" s="7" t="s">
        <v>719</v>
      </c>
      <c r="B930" s="7" t="s">
        <v>3337</v>
      </c>
      <c r="C930" s="7" t="s">
        <v>3338</v>
      </c>
      <c r="D930" s="7" t="s">
        <v>1584</v>
      </c>
      <c r="E930" s="7" t="s">
        <v>1585</v>
      </c>
      <c r="F930" s="7" t="s">
        <v>1597</v>
      </c>
    </row>
    <row r="931" spans="1:6" ht="22.5" x14ac:dyDescent="0.25">
      <c r="A931" s="7" t="s">
        <v>3339</v>
      </c>
      <c r="B931" s="7" t="s">
        <v>3340</v>
      </c>
      <c r="C931" s="7" t="s">
        <v>3338</v>
      </c>
      <c r="D931" s="7" t="s">
        <v>1584</v>
      </c>
      <c r="E931" s="7" t="s">
        <v>1585</v>
      </c>
      <c r="F931" s="7" t="s">
        <v>1597</v>
      </c>
    </row>
    <row r="932" spans="1:6" ht="22.5" x14ac:dyDescent="0.25">
      <c r="A932" s="7" t="s">
        <v>3341</v>
      </c>
      <c r="B932" s="7" t="s">
        <v>3342</v>
      </c>
      <c r="C932" s="7" t="s">
        <v>3338</v>
      </c>
      <c r="D932" s="7" t="s">
        <v>1584</v>
      </c>
      <c r="E932" s="7" t="s">
        <v>1585</v>
      </c>
      <c r="F932" s="7" t="s">
        <v>1597</v>
      </c>
    </row>
    <row r="933" spans="1:6" ht="22.5" x14ac:dyDescent="0.25">
      <c r="A933" s="7" t="s">
        <v>3343</v>
      </c>
      <c r="B933" s="7" t="s">
        <v>3344</v>
      </c>
      <c r="C933" s="7" t="s">
        <v>3338</v>
      </c>
      <c r="D933" s="7" t="s">
        <v>1584</v>
      </c>
      <c r="E933" s="7" t="s">
        <v>1585</v>
      </c>
      <c r="F933" s="7" t="s">
        <v>1597</v>
      </c>
    </row>
    <row r="934" spans="1:6" ht="22.5" x14ac:dyDescent="0.25">
      <c r="A934" s="7" t="s">
        <v>3345</v>
      </c>
      <c r="B934" s="7" t="s">
        <v>3346</v>
      </c>
      <c r="C934" s="7" t="s">
        <v>3338</v>
      </c>
      <c r="D934" s="7" t="s">
        <v>1584</v>
      </c>
      <c r="E934" s="7" t="s">
        <v>1585</v>
      </c>
      <c r="F934" s="7" t="s">
        <v>1597</v>
      </c>
    </row>
    <row r="935" spans="1:6" ht="22.5" x14ac:dyDescent="0.25">
      <c r="A935" s="7" t="s">
        <v>3347</v>
      </c>
      <c r="B935" s="7" t="s">
        <v>3348</v>
      </c>
      <c r="C935" s="7" t="s">
        <v>3338</v>
      </c>
      <c r="D935" s="7" t="s">
        <v>1584</v>
      </c>
      <c r="E935" s="7" t="s">
        <v>1585</v>
      </c>
      <c r="F935" s="7" t="s">
        <v>1597</v>
      </c>
    </row>
    <row r="936" spans="1:6" ht="22.5" x14ac:dyDescent="0.25">
      <c r="A936" s="7" t="s">
        <v>3349</v>
      </c>
      <c r="B936" s="7" t="s">
        <v>3350</v>
      </c>
      <c r="C936" s="7" t="s">
        <v>3274</v>
      </c>
      <c r="D936" s="7" t="s">
        <v>1584</v>
      </c>
      <c r="E936" s="7" t="s">
        <v>1585</v>
      </c>
      <c r="F936" s="7" t="s">
        <v>1597</v>
      </c>
    </row>
    <row r="937" spans="1:6" x14ac:dyDescent="0.25">
      <c r="A937" s="7" t="s">
        <v>209</v>
      </c>
      <c r="B937" s="7" t="s">
        <v>3351</v>
      </c>
      <c r="C937" s="7" t="s">
        <v>3274</v>
      </c>
      <c r="D937" s="7" t="s">
        <v>1584</v>
      </c>
      <c r="E937" s="7" t="s">
        <v>1585</v>
      </c>
      <c r="F937" s="7" t="s">
        <v>1597</v>
      </c>
    </row>
    <row r="938" spans="1:6" ht="22.5" x14ac:dyDescent="0.25">
      <c r="A938" s="7" t="s">
        <v>738</v>
      </c>
      <c r="B938" s="7" t="s">
        <v>3352</v>
      </c>
      <c r="C938" s="7" t="s">
        <v>3353</v>
      </c>
      <c r="D938" s="7" t="s">
        <v>1584</v>
      </c>
      <c r="E938" s="7" t="s">
        <v>1585</v>
      </c>
      <c r="F938" s="7" t="s">
        <v>1597</v>
      </c>
    </row>
    <row r="939" spans="1:6" ht="22.5" x14ac:dyDescent="0.25">
      <c r="A939" s="7" t="s">
        <v>3354</v>
      </c>
      <c r="B939" s="7" t="s">
        <v>3355</v>
      </c>
      <c r="C939" s="7" t="s">
        <v>3353</v>
      </c>
      <c r="D939" s="7" t="s">
        <v>1584</v>
      </c>
      <c r="E939" s="7" t="s">
        <v>1585</v>
      </c>
      <c r="F939" s="7" t="s">
        <v>1597</v>
      </c>
    </row>
    <row r="940" spans="1:6" x14ac:dyDescent="0.25">
      <c r="A940" s="7" t="s">
        <v>3356</v>
      </c>
      <c r="B940" s="7" t="s">
        <v>3357</v>
      </c>
      <c r="C940" s="7" t="s">
        <v>3358</v>
      </c>
      <c r="D940" s="7" t="s">
        <v>2920</v>
      </c>
      <c r="E940" s="7" t="s">
        <v>1593</v>
      </c>
      <c r="F940" s="7" t="s">
        <v>1826</v>
      </c>
    </row>
    <row r="941" spans="1:6" x14ac:dyDescent="0.25">
      <c r="A941" s="7" t="s">
        <v>302</v>
      </c>
      <c r="B941" s="7" t="s">
        <v>3359</v>
      </c>
      <c r="C941" s="7" t="s">
        <v>3360</v>
      </c>
      <c r="D941" s="7" t="s">
        <v>2920</v>
      </c>
      <c r="E941" s="7" t="s">
        <v>1593</v>
      </c>
      <c r="F941" s="7" t="s">
        <v>1826</v>
      </c>
    </row>
    <row r="942" spans="1:6" x14ac:dyDescent="0.25">
      <c r="A942" s="7" t="s">
        <v>3361</v>
      </c>
      <c r="B942" s="7" t="s">
        <v>3362</v>
      </c>
      <c r="C942" s="7" t="s">
        <v>3363</v>
      </c>
      <c r="D942" s="7" t="s">
        <v>2920</v>
      </c>
      <c r="E942" s="7" t="s">
        <v>1593</v>
      </c>
      <c r="F942" s="7" t="s">
        <v>1826</v>
      </c>
    </row>
    <row r="943" spans="1:6" x14ac:dyDescent="0.25">
      <c r="A943" s="7" t="s">
        <v>325</v>
      </c>
      <c r="B943" s="7" t="s">
        <v>3364</v>
      </c>
      <c r="C943" s="7" t="s">
        <v>3365</v>
      </c>
      <c r="D943" s="7" t="s">
        <v>2920</v>
      </c>
      <c r="E943" s="7" t="s">
        <v>1593</v>
      </c>
      <c r="F943" s="7" t="s">
        <v>1826</v>
      </c>
    </row>
    <row r="944" spans="1:6" x14ac:dyDescent="0.25">
      <c r="A944" s="7" t="s">
        <v>3366</v>
      </c>
      <c r="B944" s="7" t="s">
        <v>3367</v>
      </c>
      <c r="C944" s="7" t="s">
        <v>3368</v>
      </c>
      <c r="D944" s="7" t="s">
        <v>1785</v>
      </c>
      <c r="E944" s="7" t="s">
        <v>1614</v>
      </c>
      <c r="F944" s="7" t="s">
        <v>2473</v>
      </c>
    </row>
    <row r="945" spans="1:6" x14ac:dyDescent="0.25">
      <c r="A945" s="7" t="s">
        <v>3369</v>
      </c>
      <c r="B945" s="7" t="s">
        <v>3370</v>
      </c>
      <c r="C945" s="7" t="s">
        <v>3368</v>
      </c>
      <c r="D945" s="7" t="s">
        <v>1785</v>
      </c>
      <c r="E945" s="7" t="s">
        <v>1614</v>
      </c>
      <c r="F945" s="7" t="s">
        <v>2473</v>
      </c>
    </row>
    <row r="946" spans="1:6" x14ac:dyDescent="0.25">
      <c r="A946" s="7" t="s">
        <v>3371</v>
      </c>
      <c r="B946" s="7" t="s">
        <v>3372</v>
      </c>
      <c r="C946" s="7" t="s">
        <v>3373</v>
      </c>
      <c r="D946" s="7" t="s">
        <v>1633</v>
      </c>
      <c r="E946" s="7" t="s">
        <v>1659</v>
      </c>
      <c r="F946" s="7" t="s">
        <v>1660</v>
      </c>
    </row>
    <row r="947" spans="1:6" x14ac:dyDescent="0.25">
      <c r="A947" s="7" t="s">
        <v>3374</v>
      </c>
      <c r="B947" s="7" t="s">
        <v>3375</v>
      </c>
      <c r="C947" s="7" t="s">
        <v>3376</v>
      </c>
      <c r="D947" s="7" t="s">
        <v>1633</v>
      </c>
      <c r="E947" s="7" t="s">
        <v>1659</v>
      </c>
      <c r="F947" s="7" t="s">
        <v>1660</v>
      </c>
    </row>
    <row r="948" spans="1:6" x14ac:dyDescent="0.25">
      <c r="A948" s="7" t="s">
        <v>3377</v>
      </c>
      <c r="B948" s="7" t="s">
        <v>3378</v>
      </c>
      <c r="C948" s="7" t="s">
        <v>3379</v>
      </c>
      <c r="D948" s="7" t="s">
        <v>1633</v>
      </c>
      <c r="E948" s="7" t="s">
        <v>1659</v>
      </c>
      <c r="F948" s="7" t="s">
        <v>1660</v>
      </c>
    </row>
    <row r="949" spans="1:6" x14ac:dyDescent="0.25">
      <c r="A949" s="7" t="s">
        <v>3380</v>
      </c>
      <c r="B949" s="7" t="s">
        <v>3381</v>
      </c>
      <c r="C949" s="7" t="s">
        <v>3382</v>
      </c>
      <c r="D949" s="7" t="s">
        <v>1633</v>
      </c>
      <c r="E949" s="7" t="s">
        <v>1659</v>
      </c>
      <c r="F949" s="7" t="s">
        <v>1660</v>
      </c>
    </row>
    <row r="950" spans="1:6" x14ac:dyDescent="0.25">
      <c r="A950" s="7" t="s">
        <v>3383</v>
      </c>
      <c r="B950" s="7" t="s">
        <v>3384</v>
      </c>
      <c r="C950" s="7" t="s">
        <v>3385</v>
      </c>
      <c r="D950" s="7" t="s">
        <v>1633</v>
      </c>
      <c r="E950" s="7" t="s">
        <v>1659</v>
      </c>
      <c r="F950" s="7" t="s">
        <v>1660</v>
      </c>
    </row>
    <row r="951" spans="1:6" x14ac:dyDescent="0.25">
      <c r="A951" s="7" t="s">
        <v>3386</v>
      </c>
      <c r="B951" s="7" t="s">
        <v>3387</v>
      </c>
      <c r="C951" s="7" t="s">
        <v>3388</v>
      </c>
      <c r="D951" s="7" t="s">
        <v>1785</v>
      </c>
      <c r="E951" s="7" t="s">
        <v>1614</v>
      </c>
      <c r="F951" s="7" t="s">
        <v>2260</v>
      </c>
    </row>
    <row r="952" spans="1:6" ht="22.5" x14ac:dyDescent="0.25">
      <c r="A952" s="7" t="s">
        <v>3389</v>
      </c>
      <c r="B952" s="7" t="s">
        <v>3390</v>
      </c>
      <c r="C952" s="7" t="s">
        <v>3391</v>
      </c>
      <c r="D952" s="7" t="s">
        <v>3392</v>
      </c>
      <c r="E952" s="7" t="s">
        <v>1727</v>
      </c>
      <c r="F952" s="7" t="s">
        <v>1847</v>
      </c>
    </row>
    <row r="953" spans="1:6" x14ac:dyDescent="0.25">
      <c r="A953" s="7" t="s">
        <v>3393</v>
      </c>
      <c r="B953" s="7" t="s">
        <v>3394</v>
      </c>
      <c r="C953" s="7" t="s">
        <v>3395</v>
      </c>
      <c r="D953" s="7" t="s">
        <v>3392</v>
      </c>
      <c r="E953" s="7" t="s">
        <v>1727</v>
      </c>
      <c r="F953" s="7" t="s">
        <v>1728</v>
      </c>
    </row>
    <row r="954" spans="1:6" x14ac:dyDescent="0.25">
      <c r="A954" s="7" t="s">
        <v>422</v>
      </c>
      <c r="B954" s="7" t="s">
        <v>3396</v>
      </c>
      <c r="C954" s="7" t="s">
        <v>3397</v>
      </c>
      <c r="D954" s="7" t="s">
        <v>3398</v>
      </c>
      <c r="E954" s="7" t="s">
        <v>1593</v>
      </c>
      <c r="F954" s="7" t="s">
        <v>1594</v>
      </c>
    </row>
    <row r="955" spans="1:6" x14ac:dyDescent="0.25">
      <c r="A955" s="7" t="s">
        <v>3399</v>
      </c>
      <c r="B955" s="7" t="s">
        <v>3400</v>
      </c>
      <c r="C955" s="7" t="s">
        <v>3401</v>
      </c>
      <c r="D955" s="7" t="s">
        <v>3398</v>
      </c>
      <c r="E955" s="7" t="s">
        <v>1593</v>
      </c>
      <c r="F955" s="7" t="s">
        <v>1594</v>
      </c>
    </row>
    <row r="956" spans="1:6" x14ac:dyDescent="0.25">
      <c r="A956" s="7" t="s">
        <v>385</v>
      </c>
      <c r="B956" s="7" t="s">
        <v>3402</v>
      </c>
      <c r="C956" s="7" t="s">
        <v>3401</v>
      </c>
      <c r="D956" s="7" t="s">
        <v>3398</v>
      </c>
      <c r="E956" s="7" t="s">
        <v>1593</v>
      </c>
      <c r="F956" s="7" t="s">
        <v>1594</v>
      </c>
    </row>
    <row r="957" spans="1:6" x14ac:dyDescent="0.25">
      <c r="A957" s="7" t="s">
        <v>237</v>
      </c>
      <c r="B957" s="7" t="s">
        <v>3403</v>
      </c>
      <c r="C957" s="7" t="s">
        <v>3404</v>
      </c>
      <c r="D957" s="7" t="s">
        <v>3405</v>
      </c>
      <c r="E957" s="7" t="s">
        <v>1614</v>
      </c>
      <c r="F957" s="7" t="s">
        <v>1786</v>
      </c>
    </row>
    <row r="958" spans="1:6" x14ac:dyDescent="0.25">
      <c r="A958" s="7" t="s">
        <v>362</v>
      </c>
      <c r="B958" s="7" t="s">
        <v>3406</v>
      </c>
      <c r="C958" s="7" t="s">
        <v>3407</v>
      </c>
      <c r="D958" s="7" t="s">
        <v>3398</v>
      </c>
      <c r="E958" s="7" t="s">
        <v>1614</v>
      </c>
      <c r="F958" s="7" t="s">
        <v>1786</v>
      </c>
    </row>
    <row r="959" spans="1:6" x14ac:dyDescent="0.25">
      <c r="A959" s="7" t="s">
        <v>3408</v>
      </c>
      <c r="B959" s="7" t="s">
        <v>3409</v>
      </c>
      <c r="C959" s="7" t="s">
        <v>3410</v>
      </c>
      <c r="D959" s="7" t="s">
        <v>3411</v>
      </c>
      <c r="E959" s="7" t="s">
        <v>1585</v>
      </c>
      <c r="F959" s="7" t="s">
        <v>1597</v>
      </c>
    </row>
    <row r="960" spans="1:6" x14ac:dyDescent="0.25">
      <c r="A960" s="7" t="s">
        <v>3412</v>
      </c>
      <c r="B960" s="7" t="s">
        <v>3413</v>
      </c>
      <c r="C960" s="7" t="s">
        <v>3414</v>
      </c>
      <c r="D960" s="7" t="s">
        <v>3415</v>
      </c>
      <c r="E960" s="7" t="s">
        <v>1585</v>
      </c>
      <c r="F960" s="7" t="s">
        <v>1586</v>
      </c>
    </row>
    <row r="961" spans="1:6" x14ac:dyDescent="0.25">
      <c r="A961" s="7" t="s">
        <v>3416</v>
      </c>
      <c r="B961" s="7" t="s">
        <v>3417</v>
      </c>
      <c r="C961" s="7" t="s">
        <v>3418</v>
      </c>
      <c r="D961" s="7" t="s">
        <v>3415</v>
      </c>
      <c r="E961" s="7" t="s">
        <v>1585</v>
      </c>
      <c r="F961" s="7" t="s">
        <v>1586</v>
      </c>
    </row>
    <row r="962" spans="1:6" x14ac:dyDescent="0.25">
      <c r="A962" s="7" t="s">
        <v>780</v>
      </c>
      <c r="B962" s="7" t="s">
        <v>3419</v>
      </c>
      <c r="C962" s="7" t="s">
        <v>3420</v>
      </c>
      <c r="D962" s="7" t="s">
        <v>3421</v>
      </c>
      <c r="E962" s="7" t="s">
        <v>1585</v>
      </c>
      <c r="F962" s="7" t="s">
        <v>1597</v>
      </c>
    </row>
    <row r="963" spans="1:6" x14ac:dyDescent="0.25">
      <c r="A963" s="7" t="s">
        <v>3422</v>
      </c>
      <c r="B963" s="7" t="s">
        <v>3423</v>
      </c>
      <c r="C963" s="7" t="s">
        <v>3420</v>
      </c>
      <c r="D963" s="7" t="s">
        <v>3421</v>
      </c>
      <c r="E963" s="7" t="s">
        <v>1585</v>
      </c>
      <c r="F963" s="7" t="s">
        <v>1597</v>
      </c>
    </row>
    <row r="964" spans="1:6" x14ac:dyDescent="0.25">
      <c r="A964" s="7" t="s">
        <v>777</v>
      </c>
      <c r="B964" s="7" t="s">
        <v>3424</v>
      </c>
      <c r="C964" s="7" t="s">
        <v>3425</v>
      </c>
      <c r="D964" s="7" t="s">
        <v>3421</v>
      </c>
      <c r="E964" s="7" t="s">
        <v>1585</v>
      </c>
      <c r="F964" s="7" t="s">
        <v>1597</v>
      </c>
    </row>
    <row r="965" spans="1:6" x14ac:dyDescent="0.25">
      <c r="A965" s="7" t="s">
        <v>427</v>
      </c>
      <c r="B965" s="7" t="s">
        <v>3426</v>
      </c>
      <c r="C965" s="7" t="s">
        <v>3427</v>
      </c>
      <c r="D965" s="7" t="s">
        <v>3421</v>
      </c>
      <c r="E965" s="7" t="s">
        <v>1585</v>
      </c>
      <c r="F965" s="7" t="s">
        <v>1586</v>
      </c>
    </row>
    <row r="966" spans="1:6" x14ac:dyDescent="0.25">
      <c r="A966" s="7" t="s">
        <v>3428</v>
      </c>
      <c r="B966" s="7" t="s">
        <v>3429</v>
      </c>
      <c r="C966" s="7" t="s">
        <v>3430</v>
      </c>
      <c r="D966" s="7" t="s">
        <v>3421</v>
      </c>
      <c r="E966" s="7" t="s">
        <v>1585</v>
      </c>
      <c r="F966" s="7" t="s">
        <v>1586</v>
      </c>
    </row>
    <row r="967" spans="1:6" x14ac:dyDescent="0.25">
      <c r="A967" s="7" t="s">
        <v>519</v>
      </c>
      <c r="B967" s="7" t="s">
        <v>3431</v>
      </c>
      <c r="C967" s="7" t="s">
        <v>3432</v>
      </c>
      <c r="D967" s="7" t="s">
        <v>3421</v>
      </c>
      <c r="E967" s="7" t="s">
        <v>1585</v>
      </c>
      <c r="F967" s="7" t="s">
        <v>1586</v>
      </c>
    </row>
    <row r="968" spans="1:6" x14ac:dyDescent="0.25">
      <c r="A968" s="7" t="s">
        <v>359</v>
      </c>
      <c r="B968" s="7" t="s">
        <v>3433</v>
      </c>
      <c r="C968" s="7" t="s">
        <v>3434</v>
      </c>
      <c r="D968" s="7" t="s">
        <v>3435</v>
      </c>
      <c r="E968" s="7" t="s">
        <v>1593</v>
      </c>
      <c r="F968" s="7" t="s">
        <v>1826</v>
      </c>
    </row>
    <row r="969" spans="1:6" ht="22.5" x14ac:dyDescent="0.25">
      <c r="A969" s="7" t="s">
        <v>3436</v>
      </c>
      <c r="B969" s="7" t="s">
        <v>3437</v>
      </c>
      <c r="C969" s="7" t="s">
        <v>3438</v>
      </c>
      <c r="D969" s="7" t="s">
        <v>3439</v>
      </c>
      <c r="E969" s="7" t="s">
        <v>1727</v>
      </c>
      <c r="F969" s="7" t="s">
        <v>1847</v>
      </c>
    </row>
    <row r="970" spans="1:6" x14ac:dyDescent="0.25">
      <c r="A970" s="7" t="s">
        <v>3440</v>
      </c>
      <c r="B970" s="7" t="s">
        <v>3441</v>
      </c>
      <c r="C970" s="7" t="s">
        <v>3442</v>
      </c>
      <c r="D970" s="7" t="s">
        <v>3439</v>
      </c>
      <c r="E970" s="7" t="s">
        <v>1727</v>
      </c>
      <c r="F970" s="7" t="s">
        <v>1847</v>
      </c>
    </row>
    <row r="971" spans="1:6" ht="22.5" x14ac:dyDescent="0.25">
      <c r="A971" s="7" t="s">
        <v>3443</v>
      </c>
      <c r="B971" s="7" t="s">
        <v>3444</v>
      </c>
      <c r="C971" s="7" t="s">
        <v>3445</v>
      </c>
      <c r="D971" s="7" t="s">
        <v>3439</v>
      </c>
      <c r="E971" s="7" t="s">
        <v>1727</v>
      </c>
      <c r="F971" s="7" t="s">
        <v>1847</v>
      </c>
    </row>
    <row r="972" spans="1:6" ht="22.5" x14ac:dyDescent="0.25">
      <c r="A972" s="7" t="s">
        <v>3446</v>
      </c>
      <c r="B972" s="7" t="s">
        <v>3447</v>
      </c>
      <c r="C972" s="7" t="s">
        <v>3448</v>
      </c>
      <c r="D972" s="7" t="s">
        <v>3439</v>
      </c>
      <c r="E972" s="7" t="s">
        <v>1727</v>
      </c>
      <c r="F972" s="7" t="s">
        <v>1847</v>
      </c>
    </row>
    <row r="973" spans="1:6" ht="22.5" x14ac:dyDescent="0.25">
      <c r="A973" s="7" t="s">
        <v>3449</v>
      </c>
      <c r="B973" s="7" t="s">
        <v>3450</v>
      </c>
      <c r="C973" s="7" t="s">
        <v>3451</v>
      </c>
      <c r="D973" s="7" t="s">
        <v>3439</v>
      </c>
      <c r="E973" s="7" t="s">
        <v>1727</v>
      </c>
      <c r="F973" s="7" t="s">
        <v>1847</v>
      </c>
    </row>
    <row r="974" spans="1:6" x14ac:dyDescent="0.25">
      <c r="A974" s="7" t="s">
        <v>3452</v>
      </c>
      <c r="B974" s="7" t="s">
        <v>3453</v>
      </c>
      <c r="C974" s="7" t="s">
        <v>3454</v>
      </c>
      <c r="D974" s="7" t="s">
        <v>3439</v>
      </c>
      <c r="E974" s="7" t="s">
        <v>1593</v>
      </c>
      <c r="F974" s="7" t="s">
        <v>1594</v>
      </c>
    </row>
    <row r="975" spans="1:6" ht="22.5" x14ac:dyDescent="0.25">
      <c r="A975" s="7" t="s">
        <v>3455</v>
      </c>
      <c r="B975" s="7" t="s">
        <v>3456</v>
      </c>
      <c r="C975" s="7" t="s">
        <v>3457</v>
      </c>
      <c r="D975" s="7" t="s">
        <v>3439</v>
      </c>
      <c r="E975" s="7" t="s">
        <v>1727</v>
      </c>
      <c r="F975" s="7" t="s">
        <v>1847</v>
      </c>
    </row>
    <row r="976" spans="1:6" x14ac:dyDescent="0.25">
      <c r="A976" s="7" t="s">
        <v>3458</v>
      </c>
      <c r="B976" s="7" t="s">
        <v>3459</v>
      </c>
      <c r="C976" s="7" t="s">
        <v>3460</v>
      </c>
      <c r="D976" s="7" t="s">
        <v>3439</v>
      </c>
      <c r="E976" s="7" t="s">
        <v>1727</v>
      </c>
      <c r="F976" s="7" t="s">
        <v>2733</v>
      </c>
    </row>
    <row r="977" spans="1:6" x14ac:dyDescent="0.25">
      <c r="A977" s="7" t="s">
        <v>3461</v>
      </c>
      <c r="B977" s="7" t="s">
        <v>3462</v>
      </c>
      <c r="C977" s="7" t="s">
        <v>3460</v>
      </c>
      <c r="D977" s="7" t="s">
        <v>3439</v>
      </c>
      <c r="E977" s="7" t="s">
        <v>1727</v>
      </c>
      <c r="F977" s="7" t="s">
        <v>2733</v>
      </c>
    </row>
    <row r="978" spans="1:6" ht="22.5" x14ac:dyDescent="0.25">
      <c r="A978" s="7" t="s">
        <v>3463</v>
      </c>
      <c r="B978" s="7" t="s">
        <v>3464</v>
      </c>
      <c r="C978" s="7" t="s">
        <v>3465</v>
      </c>
      <c r="D978" s="7" t="s">
        <v>3439</v>
      </c>
      <c r="E978" s="7" t="s">
        <v>1727</v>
      </c>
      <c r="F978" s="7" t="s">
        <v>2733</v>
      </c>
    </row>
    <row r="979" spans="1:6" x14ac:dyDescent="0.25">
      <c r="A979" s="7" t="s">
        <v>3466</v>
      </c>
      <c r="B979" s="7" t="s">
        <v>3467</v>
      </c>
      <c r="C979" s="7" t="s">
        <v>3468</v>
      </c>
      <c r="D979" s="7" t="s">
        <v>3439</v>
      </c>
      <c r="E979" s="7" t="s">
        <v>1727</v>
      </c>
      <c r="F979" s="7" t="s">
        <v>2733</v>
      </c>
    </row>
    <row r="980" spans="1:6" x14ac:dyDescent="0.25">
      <c r="A980" s="7" t="s">
        <v>3469</v>
      </c>
      <c r="B980" s="7" t="s">
        <v>3470</v>
      </c>
      <c r="C980" s="7" t="s">
        <v>3471</v>
      </c>
      <c r="D980" s="7" t="s">
        <v>3472</v>
      </c>
      <c r="E980" s="7" t="s">
        <v>1727</v>
      </c>
      <c r="F980" s="7" t="s">
        <v>2733</v>
      </c>
    </row>
    <row r="981" spans="1:6" x14ac:dyDescent="0.25">
      <c r="A981" s="7" t="s">
        <v>3473</v>
      </c>
      <c r="B981" s="7" t="s">
        <v>3474</v>
      </c>
      <c r="C981" s="7" t="s">
        <v>3475</v>
      </c>
      <c r="D981" s="7" t="s">
        <v>3439</v>
      </c>
      <c r="E981" s="7" t="s">
        <v>1727</v>
      </c>
      <c r="F981" s="7" t="s">
        <v>2733</v>
      </c>
    </row>
    <row r="982" spans="1:6" ht="22.5" x14ac:dyDescent="0.25">
      <c r="A982" s="7" t="s">
        <v>3476</v>
      </c>
      <c r="B982" s="7" t="s">
        <v>3477</v>
      </c>
      <c r="C982" s="7" t="s">
        <v>3478</v>
      </c>
      <c r="D982" s="7" t="s">
        <v>3439</v>
      </c>
      <c r="E982" s="7" t="s">
        <v>1646</v>
      </c>
      <c r="F982" s="7" t="s">
        <v>3479</v>
      </c>
    </row>
    <row r="983" spans="1:6" x14ac:dyDescent="0.25">
      <c r="A983" s="7" t="s">
        <v>3480</v>
      </c>
      <c r="B983" s="7" t="s">
        <v>3481</v>
      </c>
      <c r="C983" s="7" t="s">
        <v>3482</v>
      </c>
      <c r="D983" s="7" t="s">
        <v>3439</v>
      </c>
      <c r="E983" s="7" t="s">
        <v>1646</v>
      </c>
      <c r="F983" s="7" t="s">
        <v>3479</v>
      </c>
    </row>
    <row r="984" spans="1:6" x14ac:dyDescent="0.25">
      <c r="A984" s="7" t="s">
        <v>3483</v>
      </c>
      <c r="B984" s="7" t="s">
        <v>3484</v>
      </c>
      <c r="C984" s="7" t="s">
        <v>3485</v>
      </c>
      <c r="D984" s="7" t="s">
        <v>3439</v>
      </c>
      <c r="E984" s="7" t="s">
        <v>1646</v>
      </c>
      <c r="F984" s="7" t="s">
        <v>3479</v>
      </c>
    </row>
    <row r="985" spans="1:6" x14ac:dyDescent="0.25">
      <c r="A985" s="7" t="s">
        <v>3486</v>
      </c>
      <c r="B985" s="7" t="s">
        <v>3487</v>
      </c>
      <c r="C985" s="7" t="s">
        <v>3488</v>
      </c>
      <c r="D985" s="7" t="s">
        <v>3439</v>
      </c>
      <c r="E985" s="7" t="s">
        <v>1646</v>
      </c>
      <c r="F985" s="7" t="s">
        <v>3479</v>
      </c>
    </row>
    <row r="986" spans="1:6" x14ac:dyDescent="0.25">
      <c r="A986" s="7" t="s">
        <v>3489</v>
      </c>
      <c r="B986" s="7" t="s">
        <v>3490</v>
      </c>
      <c r="C986" s="7" t="s">
        <v>3491</v>
      </c>
      <c r="D986" s="7" t="s">
        <v>3439</v>
      </c>
      <c r="E986" s="7" t="s">
        <v>1646</v>
      </c>
      <c r="F986" s="7" t="s">
        <v>3479</v>
      </c>
    </row>
    <row r="987" spans="1:6" ht="22.5" x14ac:dyDescent="0.25">
      <c r="A987" s="7" t="s">
        <v>3492</v>
      </c>
      <c r="B987" s="7" t="s">
        <v>3493</v>
      </c>
      <c r="C987" s="7" t="s">
        <v>3494</v>
      </c>
      <c r="D987" s="7" t="s">
        <v>3439</v>
      </c>
      <c r="E987" s="7" t="s">
        <v>1646</v>
      </c>
      <c r="F987" s="7" t="s">
        <v>3479</v>
      </c>
    </row>
    <row r="988" spans="1:6" x14ac:dyDescent="0.25">
      <c r="A988" s="7" t="s">
        <v>3495</v>
      </c>
      <c r="B988" s="7" t="s">
        <v>3496</v>
      </c>
      <c r="C988" s="7" t="s">
        <v>3497</v>
      </c>
      <c r="D988" s="7" t="s">
        <v>3439</v>
      </c>
      <c r="E988" s="7" t="s">
        <v>1646</v>
      </c>
      <c r="F988" s="7" t="s">
        <v>3479</v>
      </c>
    </row>
    <row r="989" spans="1:6" x14ac:dyDescent="0.25">
      <c r="A989" s="7" t="s">
        <v>3498</v>
      </c>
      <c r="B989" s="7" t="s">
        <v>3499</v>
      </c>
      <c r="C989" s="7" t="s">
        <v>3500</v>
      </c>
      <c r="D989" s="7" t="s">
        <v>3439</v>
      </c>
      <c r="E989" s="7" t="s">
        <v>1646</v>
      </c>
      <c r="F989" s="7" t="s">
        <v>3479</v>
      </c>
    </row>
    <row r="990" spans="1:6" x14ac:dyDescent="0.25">
      <c r="A990" s="7" t="s">
        <v>3501</v>
      </c>
      <c r="B990" s="7" t="s">
        <v>3502</v>
      </c>
      <c r="C990" s="7" t="s">
        <v>3503</v>
      </c>
      <c r="D990" s="7" t="s">
        <v>3439</v>
      </c>
      <c r="E990" s="7" t="s">
        <v>1646</v>
      </c>
      <c r="F990" s="7" t="s">
        <v>3479</v>
      </c>
    </row>
    <row r="991" spans="1:6" ht="22.5" x14ac:dyDescent="0.25">
      <c r="A991" s="7" t="s">
        <v>3504</v>
      </c>
      <c r="B991" s="7" t="s">
        <v>3505</v>
      </c>
      <c r="C991" s="7" t="s">
        <v>3506</v>
      </c>
      <c r="D991" s="7" t="s">
        <v>3439</v>
      </c>
      <c r="E991" s="7" t="s">
        <v>1646</v>
      </c>
      <c r="F991" s="7" t="s">
        <v>3479</v>
      </c>
    </row>
    <row r="992" spans="1:6" ht="22.5" x14ac:dyDescent="0.25">
      <c r="A992" s="7" t="s">
        <v>3507</v>
      </c>
      <c r="B992" s="7" t="s">
        <v>3508</v>
      </c>
      <c r="C992" s="7" t="s">
        <v>3509</v>
      </c>
      <c r="D992" s="7" t="s">
        <v>3510</v>
      </c>
      <c r="E992" s="7" t="s">
        <v>1659</v>
      </c>
      <c r="F992" s="7" t="s">
        <v>3511</v>
      </c>
    </row>
    <row r="993" spans="1:6" ht="22.5" x14ac:dyDescent="0.25">
      <c r="A993" s="7" t="s">
        <v>3512</v>
      </c>
      <c r="B993" s="7" t="s">
        <v>3513</v>
      </c>
      <c r="C993" s="7" t="s">
        <v>3514</v>
      </c>
      <c r="D993" s="7" t="s">
        <v>3510</v>
      </c>
      <c r="E993" s="7" t="s">
        <v>1659</v>
      </c>
      <c r="F993" s="7" t="s">
        <v>3511</v>
      </c>
    </row>
    <row r="994" spans="1:6" x14ac:dyDescent="0.25">
      <c r="A994" s="7" t="s">
        <v>3515</v>
      </c>
      <c r="B994" s="7" t="s">
        <v>3516</v>
      </c>
      <c r="C994" s="7" t="s">
        <v>3517</v>
      </c>
      <c r="D994" s="7" t="s">
        <v>3510</v>
      </c>
      <c r="E994" s="7" t="s">
        <v>1659</v>
      </c>
      <c r="F994" s="7" t="s">
        <v>3511</v>
      </c>
    </row>
    <row r="995" spans="1:6" ht="22.5" x14ac:dyDescent="0.25">
      <c r="A995" s="7" t="s">
        <v>3518</v>
      </c>
      <c r="B995" s="7" t="s">
        <v>3519</v>
      </c>
      <c r="C995" s="7" t="s">
        <v>3520</v>
      </c>
      <c r="D995" s="7" t="s">
        <v>3510</v>
      </c>
      <c r="E995" s="7" t="s">
        <v>1659</v>
      </c>
      <c r="F995" s="7" t="s">
        <v>3511</v>
      </c>
    </row>
    <row r="996" spans="1:6" ht="22.5" x14ac:dyDescent="0.25">
      <c r="A996" s="7" t="s">
        <v>3521</v>
      </c>
      <c r="B996" s="7" t="s">
        <v>3522</v>
      </c>
      <c r="C996" s="7" t="s">
        <v>3523</v>
      </c>
      <c r="D996" s="7" t="s">
        <v>3510</v>
      </c>
      <c r="E996" s="7" t="s">
        <v>1659</v>
      </c>
      <c r="F996" s="7" t="s">
        <v>3511</v>
      </c>
    </row>
    <row r="997" spans="1:6" x14ac:dyDescent="0.25">
      <c r="A997" s="7" t="s">
        <v>3524</v>
      </c>
      <c r="B997" s="7" t="s">
        <v>3525</v>
      </c>
      <c r="C997" s="7" t="s">
        <v>3526</v>
      </c>
      <c r="D997" s="7" t="s">
        <v>3510</v>
      </c>
      <c r="E997" s="7" t="s">
        <v>1659</v>
      </c>
      <c r="F997" s="7" t="s">
        <v>3511</v>
      </c>
    </row>
    <row r="998" spans="1:6" x14ac:dyDescent="0.25">
      <c r="A998" s="7" t="s">
        <v>3527</v>
      </c>
      <c r="B998" s="7" t="s">
        <v>3528</v>
      </c>
      <c r="C998" s="7" t="s">
        <v>3529</v>
      </c>
      <c r="D998" s="7" t="s">
        <v>3530</v>
      </c>
      <c r="E998" s="7" t="s">
        <v>1634</v>
      </c>
      <c r="F998" s="7" t="s">
        <v>2120</v>
      </c>
    </row>
    <row r="999" spans="1:6" x14ac:dyDescent="0.25">
      <c r="A999" s="7" t="s">
        <v>3531</v>
      </c>
      <c r="B999" s="7" t="s">
        <v>3532</v>
      </c>
      <c r="C999" s="7" t="s">
        <v>3533</v>
      </c>
      <c r="D999" s="7" t="s">
        <v>3530</v>
      </c>
      <c r="E999" s="7" t="s">
        <v>1634</v>
      </c>
      <c r="F999" s="7" t="s">
        <v>2120</v>
      </c>
    </row>
    <row r="1000" spans="1:6" x14ac:dyDescent="0.25">
      <c r="A1000" s="7" t="s">
        <v>490</v>
      </c>
      <c r="B1000" s="7" t="s">
        <v>3534</v>
      </c>
      <c r="C1000" s="7" t="s">
        <v>3533</v>
      </c>
      <c r="D1000" s="7" t="s">
        <v>3530</v>
      </c>
      <c r="E1000" s="7" t="s">
        <v>1634</v>
      </c>
      <c r="F1000" s="7" t="s">
        <v>2120</v>
      </c>
    </row>
    <row r="1001" spans="1:6" x14ac:dyDescent="0.25">
      <c r="A1001" s="7" t="s">
        <v>493</v>
      </c>
      <c r="B1001" s="7" t="s">
        <v>3535</v>
      </c>
      <c r="C1001" s="7" t="s">
        <v>3536</v>
      </c>
      <c r="D1001" s="7" t="s">
        <v>3530</v>
      </c>
      <c r="E1001" s="7" t="s">
        <v>1634</v>
      </c>
      <c r="F1001" s="7" t="s">
        <v>2120</v>
      </c>
    </row>
    <row r="1002" spans="1:6" x14ac:dyDescent="0.25">
      <c r="A1002" s="7" t="s">
        <v>3537</v>
      </c>
      <c r="B1002" s="7" t="s">
        <v>3538</v>
      </c>
      <c r="C1002" s="7" t="s">
        <v>3536</v>
      </c>
      <c r="D1002" s="7" t="s">
        <v>3530</v>
      </c>
      <c r="E1002" s="7" t="s">
        <v>1634</v>
      </c>
      <c r="F1002" s="7" t="s">
        <v>2120</v>
      </c>
    </row>
    <row r="1003" spans="1:6" x14ac:dyDescent="0.25">
      <c r="A1003" s="7" t="s">
        <v>3539</v>
      </c>
      <c r="B1003" s="7" t="s">
        <v>3540</v>
      </c>
      <c r="C1003" s="7" t="s">
        <v>3536</v>
      </c>
      <c r="D1003" s="7" t="s">
        <v>3530</v>
      </c>
      <c r="E1003" s="7" t="s">
        <v>1634</v>
      </c>
      <c r="F1003" s="7" t="s">
        <v>2120</v>
      </c>
    </row>
    <row r="1004" spans="1:6" x14ac:dyDescent="0.25">
      <c r="A1004" s="7" t="s">
        <v>3541</v>
      </c>
      <c r="B1004" s="7" t="s">
        <v>3542</v>
      </c>
      <c r="C1004" s="7" t="s">
        <v>3543</v>
      </c>
      <c r="D1004" s="7" t="s">
        <v>3530</v>
      </c>
      <c r="E1004" s="7" t="s">
        <v>1634</v>
      </c>
      <c r="F1004" s="7" t="s">
        <v>2120</v>
      </c>
    </row>
    <row r="1005" spans="1:6" x14ac:dyDescent="0.25">
      <c r="A1005" s="7" t="s">
        <v>3544</v>
      </c>
      <c r="B1005" s="7" t="s">
        <v>3545</v>
      </c>
      <c r="C1005" s="7" t="s">
        <v>3546</v>
      </c>
      <c r="D1005" s="7" t="s">
        <v>3547</v>
      </c>
      <c r="E1005" s="7" t="s">
        <v>1585</v>
      </c>
      <c r="F1005" s="7" t="s">
        <v>1597</v>
      </c>
    </row>
    <row r="1006" spans="1:6" x14ac:dyDescent="0.25">
      <c r="A1006" s="7" t="s">
        <v>3548</v>
      </c>
      <c r="B1006" s="7" t="s">
        <v>3549</v>
      </c>
      <c r="C1006" s="7" t="s">
        <v>3550</v>
      </c>
      <c r="D1006" s="7" t="s">
        <v>3547</v>
      </c>
      <c r="E1006" s="7" t="s">
        <v>1585</v>
      </c>
      <c r="F1006" s="7" t="s">
        <v>1597</v>
      </c>
    </row>
    <row r="1007" spans="1:6" x14ac:dyDescent="0.25">
      <c r="A1007" s="7" t="s">
        <v>3551</v>
      </c>
      <c r="B1007" s="7" t="s">
        <v>3552</v>
      </c>
      <c r="C1007" s="7" t="s">
        <v>3553</v>
      </c>
      <c r="D1007" s="7" t="s">
        <v>3547</v>
      </c>
      <c r="E1007" s="7" t="s">
        <v>1585</v>
      </c>
      <c r="F1007" s="7" t="s">
        <v>1597</v>
      </c>
    </row>
    <row r="1008" spans="1:6" x14ac:dyDescent="0.25">
      <c r="A1008" s="7" t="s">
        <v>3554</v>
      </c>
      <c r="B1008" s="7" t="s">
        <v>3555</v>
      </c>
      <c r="C1008" s="7" t="s">
        <v>3556</v>
      </c>
      <c r="D1008" s="7" t="s">
        <v>3547</v>
      </c>
      <c r="E1008" s="7" t="s">
        <v>1585</v>
      </c>
      <c r="F1008" s="7" t="s">
        <v>1597</v>
      </c>
    </row>
    <row r="1009" spans="1:6" x14ac:dyDescent="0.25">
      <c r="A1009" s="7" t="s">
        <v>3557</v>
      </c>
      <c r="B1009" s="7" t="s">
        <v>3558</v>
      </c>
      <c r="C1009" s="7" t="s">
        <v>3559</v>
      </c>
      <c r="D1009" s="7" t="s">
        <v>3547</v>
      </c>
      <c r="E1009" s="7" t="s">
        <v>1585</v>
      </c>
      <c r="F1009" s="7" t="s">
        <v>1597</v>
      </c>
    </row>
    <row r="1010" spans="1:6" x14ac:dyDescent="0.25">
      <c r="A1010" s="7" t="s">
        <v>3560</v>
      </c>
      <c r="B1010" s="7" t="s">
        <v>3561</v>
      </c>
      <c r="C1010" s="7" t="s">
        <v>3562</v>
      </c>
      <c r="D1010" s="7" t="s">
        <v>3547</v>
      </c>
      <c r="E1010" s="7" t="s">
        <v>1585</v>
      </c>
      <c r="F1010" s="7" t="s">
        <v>1597</v>
      </c>
    </row>
    <row r="1011" spans="1:6" x14ac:dyDescent="0.25">
      <c r="A1011" s="7" t="s">
        <v>3563</v>
      </c>
      <c r="B1011" s="7" t="s">
        <v>3564</v>
      </c>
      <c r="C1011" s="7" t="s">
        <v>3565</v>
      </c>
      <c r="D1011" s="7" t="s">
        <v>3547</v>
      </c>
      <c r="E1011" s="7" t="s">
        <v>1585</v>
      </c>
      <c r="F1011" s="7" t="s">
        <v>1597</v>
      </c>
    </row>
    <row r="1012" spans="1:6" x14ac:dyDescent="0.25">
      <c r="A1012" s="7" t="s">
        <v>3566</v>
      </c>
      <c r="B1012" s="7" t="s">
        <v>3567</v>
      </c>
      <c r="C1012" s="7" t="s">
        <v>3568</v>
      </c>
      <c r="D1012" s="7" t="s">
        <v>3547</v>
      </c>
      <c r="E1012" s="7" t="s">
        <v>1585</v>
      </c>
      <c r="F1012" s="7" t="s">
        <v>1597</v>
      </c>
    </row>
    <row r="1013" spans="1:6" x14ac:dyDescent="0.25">
      <c r="A1013" s="7" t="s">
        <v>3569</v>
      </c>
      <c r="B1013" s="7" t="s">
        <v>3570</v>
      </c>
      <c r="C1013" s="7" t="s">
        <v>3571</v>
      </c>
      <c r="D1013" s="7" t="s">
        <v>3547</v>
      </c>
      <c r="E1013" s="7" t="s">
        <v>1585</v>
      </c>
      <c r="F1013" s="7" t="s">
        <v>1597</v>
      </c>
    </row>
    <row r="1014" spans="1:6" x14ac:dyDescent="0.25">
      <c r="A1014" s="7" t="s">
        <v>3572</v>
      </c>
      <c r="B1014" s="7" t="s">
        <v>3573</v>
      </c>
      <c r="C1014" s="7" t="s">
        <v>3574</v>
      </c>
      <c r="D1014" s="7" t="s">
        <v>3547</v>
      </c>
      <c r="E1014" s="7" t="s">
        <v>1585</v>
      </c>
      <c r="F1014" s="7" t="s">
        <v>1597</v>
      </c>
    </row>
    <row r="1015" spans="1:6" x14ac:dyDescent="0.25">
      <c r="A1015" s="7" t="s">
        <v>3575</v>
      </c>
      <c r="B1015" s="7" t="s">
        <v>3576</v>
      </c>
      <c r="C1015" s="7" t="s">
        <v>3577</v>
      </c>
      <c r="D1015" s="7" t="s">
        <v>3547</v>
      </c>
      <c r="E1015" s="7" t="s">
        <v>1585</v>
      </c>
      <c r="F1015" s="7" t="s">
        <v>1597</v>
      </c>
    </row>
    <row r="1016" spans="1:6" x14ac:dyDescent="0.25">
      <c r="A1016" s="7" t="s">
        <v>3578</v>
      </c>
      <c r="B1016" s="7" t="s">
        <v>3579</v>
      </c>
      <c r="C1016" s="7" t="s">
        <v>3580</v>
      </c>
      <c r="D1016" s="7" t="s">
        <v>3547</v>
      </c>
      <c r="E1016" s="7" t="s">
        <v>1585</v>
      </c>
      <c r="F1016" s="7" t="s">
        <v>1586</v>
      </c>
    </row>
    <row r="1017" spans="1:6" x14ac:dyDescent="0.25">
      <c r="A1017" s="7" t="s">
        <v>3581</v>
      </c>
      <c r="B1017" s="7" t="s">
        <v>3582</v>
      </c>
      <c r="C1017" s="7" t="s">
        <v>3583</v>
      </c>
      <c r="D1017" s="7" t="s">
        <v>3547</v>
      </c>
      <c r="E1017" s="7" t="s">
        <v>1585</v>
      </c>
      <c r="F1017" s="7" t="s">
        <v>1586</v>
      </c>
    </row>
    <row r="1018" spans="1:6" x14ac:dyDescent="0.25">
      <c r="A1018" s="7" t="s">
        <v>3584</v>
      </c>
      <c r="B1018" s="7" t="s">
        <v>3585</v>
      </c>
      <c r="C1018" s="7" t="s">
        <v>3586</v>
      </c>
      <c r="D1018" s="7" t="s">
        <v>3547</v>
      </c>
      <c r="E1018" s="7" t="s">
        <v>1585</v>
      </c>
      <c r="F1018" s="7" t="s">
        <v>1586</v>
      </c>
    </row>
    <row r="1019" spans="1:6" x14ac:dyDescent="0.25">
      <c r="A1019" s="7" t="s">
        <v>3587</v>
      </c>
      <c r="B1019" s="7" t="s">
        <v>3588</v>
      </c>
      <c r="C1019" s="7" t="s">
        <v>3589</v>
      </c>
      <c r="D1019" s="7" t="s">
        <v>3547</v>
      </c>
      <c r="E1019" s="7" t="s">
        <v>1585</v>
      </c>
      <c r="F1019" s="7" t="s">
        <v>1586</v>
      </c>
    </row>
    <row r="1020" spans="1:6" x14ac:dyDescent="0.25">
      <c r="A1020" s="7" t="s">
        <v>3590</v>
      </c>
      <c r="B1020" s="7" t="s">
        <v>3591</v>
      </c>
      <c r="C1020" s="7" t="s">
        <v>3592</v>
      </c>
      <c r="D1020" s="7" t="s">
        <v>3547</v>
      </c>
      <c r="E1020" s="7" t="s">
        <v>1585</v>
      </c>
      <c r="F1020" s="7" t="s">
        <v>1586</v>
      </c>
    </row>
    <row r="1021" spans="1:6" x14ac:dyDescent="0.25">
      <c r="A1021" s="7" t="s">
        <v>83</v>
      </c>
      <c r="B1021" s="7" t="s">
        <v>3593</v>
      </c>
      <c r="C1021" s="7" t="s">
        <v>3594</v>
      </c>
      <c r="D1021" s="7" t="s">
        <v>1669</v>
      </c>
      <c r="E1021" s="7" t="s">
        <v>1585</v>
      </c>
      <c r="F1021" s="7" t="s">
        <v>1597</v>
      </c>
    </row>
    <row r="1022" spans="1:6" x14ac:dyDescent="0.25">
      <c r="A1022" s="7" t="s">
        <v>3595</v>
      </c>
      <c r="B1022" s="7" t="s">
        <v>3596</v>
      </c>
      <c r="C1022" s="7" t="s">
        <v>3597</v>
      </c>
      <c r="D1022" s="7" t="s">
        <v>3598</v>
      </c>
      <c r="E1022" s="7" t="s">
        <v>1585</v>
      </c>
      <c r="F1022" s="7" t="s">
        <v>1586</v>
      </c>
    </row>
    <row r="1023" spans="1:6" x14ac:dyDescent="0.25">
      <c r="A1023" s="7" t="s">
        <v>3599</v>
      </c>
      <c r="B1023" s="7" t="s">
        <v>3600</v>
      </c>
      <c r="C1023" s="7" t="s">
        <v>3601</v>
      </c>
      <c r="D1023" s="7" t="s">
        <v>3598</v>
      </c>
      <c r="E1023" s="7" t="s">
        <v>1585</v>
      </c>
      <c r="F1023" s="7" t="s">
        <v>2804</v>
      </c>
    </row>
    <row r="1024" spans="1:6" x14ac:dyDescent="0.25">
      <c r="A1024" s="7" t="s">
        <v>3602</v>
      </c>
      <c r="B1024" s="7" t="s">
        <v>3603</v>
      </c>
      <c r="C1024" s="7" t="s">
        <v>3604</v>
      </c>
      <c r="D1024" s="7" t="s">
        <v>3598</v>
      </c>
      <c r="E1024" s="7" t="s">
        <v>1585</v>
      </c>
      <c r="F1024" s="7" t="s">
        <v>2804</v>
      </c>
    </row>
    <row r="1025" spans="1:6" x14ac:dyDescent="0.25">
      <c r="A1025" s="7" t="s">
        <v>267</v>
      </c>
      <c r="B1025" s="7" t="s">
        <v>3605</v>
      </c>
      <c r="C1025" s="7" t="s">
        <v>3606</v>
      </c>
      <c r="D1025" s="7" t="s">
        <v>1785</v>
      </c>
      <c r="E1025" s="7" t="s">
        <v>1614</v>
      </c>
      <c r="F1025" s="7" t="s">
        <v>2473</v>
      </c>
    </row>
    <row r="1026" spans="1:6" ht="22.5" x14ac:dyDescent="0.25">
      <c r="A1026" s="7" t="s">
        <v>270</v>
      </c>
      <c r="B1026" s="7" t="s">
        <v>3607</v>
      </c>
      <c r="C1026" s="7" t="s">
        <v>3608</v>
      </c>
      <c r="D1026" s="7" t="s">
        <v>1785</v>
      </c>
      <c r="E1026" s="7" t="s">
        <v>1614</v>
      </c>
      <c r="F1026" s="7" t="s">
        <v>2473</v>
      </c>
    </row>
    <row r="1027" spans="1:6" x14ac:dyDescent="0.25">
      <c r="A1027" s="7" t="s">
        <v>273</v>
      </c>
      <c r="B1027" s="7" t="s">
        <v>3609</v>
      </c>
      <c r="C1027" s="7" t="s">
        <v>3610</v>
      </c>
      <c r="D1027" s="7" t="s">
        <v>1785</v>
      </c>
      <c r="E1027" s="7" t="s">
        <v>1614</v>
      </c>
      <c r="F1027" s="7" t="s">
        <v>2473</v>
      </c>
    </row>
    <row r="1028" spans="1:6" x14ac:dyDescent="0.25">
      <c r="A1028" s="7" t="s">
        <v>3611</v>
      </c>
      <c r="B1028" s="7" t="s">
        <v>3612</v>
      </c>
      <c r="C1028" s="7" t="s">
        <v>3613</v>
      </c>
      <c r="D1028" s="7" t="s">
        <v>1785</v>
      </c>
      <c r="E1028" s="7" t="s">
        <v>1593</v>
      </c>
      <c r="F1028" s="7" t="s">
        <v>1594</v>
      </c>
    </row>
    <row r="1029" spans="1:6" x14ac:dyDescent="0.25">
      <c r="A1029" s="7" t="s">
        <v>3614</v>
      </c>
      <c r="B1029" s="7" t="s">
        <v>3615</v>
      </c>
      <c r="C1029" s="7" t="s">
        <v>3616</v>
      </c>
      <c r="D1029" s="7" t="s">
        <v>1785</v>
      </c>
      <c r="E1029" s="7" t="s">
        <v>1593</v>
      </c>
      <c r="F1029" s="7" t="s">
        <v>1594</v>
      </c>
    </row>
    <row r="1030" spans="1:6" x14ac:dyDescent="0.25">
      <c r="A1030" s="7" t="s">
        <v>3617</v>
      </c>
      <c r="B1030" s="7" t="s">
        <v>3618</v>
      </c>
      <c r="C1030" s="7" t="s">
        <v>3619</v>
      </c>
      <c r="D1030" s="7" t="s">
        <v>1785</v>
      </c>
      <c r="E1030" s="7" t="s">
        <v>1593</v>
      </c>
      <c r="F1030" s="7" t="s">
        <v>1594</v>
      </c>
    </row>
    <row r="1031" spans="1:6" x14ac:dyDescent="0.25">
      <c r="A1031" s="7" t="s">
        <v>3620</v>
      </c>
      <c r="B1031" s="7" t="s">
        <v>3621</v>
      </c>
      <c r="C1031" s="7" t="s">
        <v>3622</v>
      </c>
      <c r="D1031" s="7" t="s">
        <v>1785</v>
      </c>
      <c r="E1031" s="7" t="s">
        <v>1593</v>
      </c>
      <c r="F1031" s="7" t="s">
        <v>1594</v>
      </c>
    </row>
    <row r="1032" spans="1:6" x14ac:dyDescent="0.25">
      <c r="A1032" s="7" t="s">
        <v>335</v>
      </c>
      <c r="B1032" s="7" t="s">
        <v>3623</v>
      </c>
      <c r="C1032" s="7" t="s">
        <v>3624</v>
      </c>
      <c r="D1032" s="7" t="s">
        <v>1744</v>
      </c>
      <c r="E1032" s="7" t="s">
        <v>1593</v>
      </c>
      <c r="F1032" s="7" t="s">
        <v>1594</v>
      </c>
    </row>
    <row r="1033" spans="1:6" x14ac:dyDescent="0.25">
      <c r="A1033" s="7" t="s">
        <v>367</v>
      </c>
      <c r="B1033" s="7" t="s">
        <v>3625</v>
      </c>
      <c r="C1033" s="7" t="s">
        <v>3626</v>
      </c>
      <c r="D1033" s="7" t="s">
        <v>1744</v>
      </c>
      <c r="E1033" s="7" t="s">
        <v>1593</v>
      </c>
      <c r="F1033" s="7" t="s">
        <v>1594</v>
      </c>
    </row>
    <row r="1034" spans="1:6" x14ac:dyDescent="0.25">
      <c r="A1034" s="7" t="s">
        <v>3627</v>
      </c>
      <c r="B1034" s="7" t="s">
        <v>3628</v>
      </c>
      <c r="C1034" s="7" t="s">
        <v>3626</v>
      </c>
      <c r="D1034" s="7" t="s">
        <v>1744</v>
      </c>
      <c r="E1034" s="7" t="s">
        <v>1593</v>
      </c>
      <c r="F1034" s="7" t="s">
        <v>1594</v>
      </c>
    </row>
    <row r="1035" spans="1:6" x14ac:dyDescent="0.25">
      <c r="A1035" s="7" t="s">
        <v>3629</v>
      </c>
      <c r="B1035" s="7" t="s">
        <v>3630</v>
      </c>
      <c r="C1035" s="7" t="s">
        <v>3631</v>
      </c>
      <c r="D1035" s="7" t="s">
        <v>1785</v>
      </c>
      <c r="E1035" s="7" t="s">
        <v>1614</v>
      </c>
      <c r="F1035" s="7" t="s">
        <v>1786</v>
      </c>
    </row>
    <row r="1036" spans="1:6" x14ac:dyDescent="0.25">
      <c r="A1036" s="7" t="s">
        <v>3632</v>
      </c>
      <c r="B1036" s="7" t="s">
        <v>3633</v>
      </c>
      <c r="C1036" s="7" t="s">
        <v>3634</v>
      </c>
      <c r="D1036" s="7" t="s">
        <v>1785</v>
      </c>
      <c r="E1036" s="7" t="s">
        <v>1614</v>
      </c>
      <c r="F1036" s="7" t="s">
        <v>1786</v>
      </c>
    </row>
    <row r="1037" spans="1:6" x14ac:dyDescent="0.25">
      <c r="A1037" s="7" t="s">
        <v>3635</v>
      </c>
      <c r="B1037" s="7" t="s">
        <v>3636</v>
      </c>
      <c r="C1037" s="7" t="s">
        <v>3637</v>
      </c>
      <c r="D1037" s="7" t="s">
        <v>1785</v>
      </c>
      <c r="E1037" s="7" t="s">
        <v>1614</v>
      </c>
      <c r="F1037" s="7" t="s">
        <v>1786</v>
      </c>
    </row>
    <row r="1038" spans="1:6" x14ac:dyDescent="0.25">
      <c r="A1038" s="7" t="s">
        <v>290</v>
      </c>
      <c r="B1038" s="7" t="s">
        <v>3638</v>
      </c>
      <c r="C1038" s="7" t="s">
        <v>3639</v>
      </c>
      <c r="D1038" s="7" t="s">
        <v>1785</v>
      </c>
      <c r="E1038" s="7" t="s">
        <v>1614</v>
      </c>
      <c r="F1038" s="7" t="s">
        <v>1786</v>
      </c>
    </row>
    <row r="1039" spans="1:6" x14ac:dyDescent="0.25">
      <c r="A1039" s="7" t="s">
        <v>293</v>
      </c>
      <c r="B1039" s="7" t="s">
        <v>3640</v>
      </c>
      <c r="C1039" s="7" t="s">
        <v>3641</v>
      </c>
      <c r="D1039" s="7" t="s">
        <v>1785</v>
      </c>
      <c r="E1039" s="7" t="s">
        <v>1614</v>
      </c>
      <c r="F1039" s="7" t="s">
        <v>1786</v>
      </c>
    </row>
    <row r="1040" spans="1:6" x14ac:dyDescent="0.25">
      <c r="A1040" s="7" t="s">
        <v>296</v>
      </c>
      <c r="B1040" s="7" t="s">
        <v>3642</v>
      </c>
      <c r="C1040" s="7" t="s">
        <v>3643</v>
      </c>
      <c r="D1040" s="7" t="s">
        <v>1785</v>
      </c>
      <c r="E1040" s="7" t="s">
        <v>1614</v>
      </c>
      <c r="F1040" s="7" t="s">
        <v>1786</v>
      </c>
    </row>
    <row r="1041" spans="1:6" ht="22.5" x14ac:dyDescent="0.25">
      <c r="A1041" s="7" t="s">
        <v>322</v>
      </c>
      <c r="B1041" s="7" t="s">
        <v>3644</v>
      </c>
      <c r="C1041" s="7" t="s">
        <v>3645</v>
      </c>
      <c r="D1041" s="7" t="s">
        <v>1785</v>
      </c>
      <c r="E1041" s="7" t="s">
        <v>1614</v>
      </c>
      <c r="F1041" s="7" t="s">
        <v>1786</v>
      </c>
    </row>
    <row r="1042" spans="1:6" x14ac:dyDescent="0.25">
      <c r="A1042" s="7" t="s">
        <v>3646</v>
      </c>
      <c r="B1042" s="7" t="s">
        <v>3647</v>
      </c>
      <c r="C1042" s="7" t="s">
        <v>3648</v>
      </c>
      <c r="D1042" s="7"/>
      <c r="E1042" s="7"/>
      <c r="F1042" s="7"/>
    </row>
    <row r="1043" spans="1:6" x14ac:dyDescent="0.25">
      <c r="A1043" s="7" t="s">
        <v>3649</v>
      </c>
      <c r="B1043" s="7" t="s">
        <v>3650</v>
      </c>
      <c r="C1043" s="7" t="s">
        <v>3651</v>
      </c>
      <c r="D1043" s="7"/>
      <c r="E1043" s="7"/>
      <c r="F1043" s="7"/>
    </row>
    <row r="1044" spans="1:6" x14ac:dyDescent="0.25">
      <c r="A1044" s="7" t="s">
        <v>3652</v>
      </c>
      <c r="B1044" s="7" t="s">
        <v>3653</v>
      </c>
      <c r="C1044" s="7" t="s">
        <v>3654</v>
      </c>
      <c r="D1044" s="7" t="s">
        <v>1785</v>
      </c>
      <c r="E1044" s="7" t="s">
        <v>1614</v>
      </c>
      <c r="F1044" s="7" t="s">
        <v>2260</v>
      </c>
    </row>
    <row r="1045" spans="1:6" x14ac:dyDescent="0.25">
      <c r="A1045" s="7" t="s">
        <v>3655</v>
      </c>
      <c r="B1045" s="7" t="s">
        <v>3656</v>
      </c>
      <c r="C1045" s="7" t="s">
        <v>3654</v>
      </c>
      <c r="D1045" s="7" t="s">
        <v>992</v>
      </c>
      <c r="E1045" s="7" t="s">
        <v>1614</v>
      </c>
      <c r="F1045" s="7" t="s">
        <v>2260</v>
      </c>
    </row>
    <row r="1046" spans="1:6" x14ac:dyDescent="0.25">
      <c r="A1046" s="7" t="s">
        <v>3657</v>
      </c>
      <c r="B1046" s="7" t="s">
        <v>3658</v>
      </c>
      <c r="C1046" s="7" t="s">
        <v>3659</v>
      </c>
      <c r="D1046" s="7"/>
      <c r="E1046" s="7"/>
      <c r="F1046" s="7"/>
    </row>
    <row r="1047" spans="1:6" x14ac:dyDescent="0.25">
      <c r="A1047" s="7" t="s">
        <v>219</v>
      </c>
      <c r="B1047" s="7" t="s">
        <v>3660</v>
      </c>
      <c r="C1047" s="7" t="s">
        <v>3661</v>
      </c>
      <c r="D1047" s="7" t="s">
        <v>1861</v>
      </c>
      <c r="E1047" s="7" t="s">
        <v>1593</v>
      </c>
      <c r="F1047" s="7" t="s">
        <v>1594</v>
      </c>
    </row>
    <row r="1048" spans="1:6" x14ac:dyDescent="0.25">
      <c r="A1048" s="7" t="s">
        <v>225</v>
      </c>
      <c r="B1048" s="7" t="s">
        <v>3662</v>
      </c>
      <c r="C1048" s="7" t="s">
        <v>3663</v>
      </c>
      <c r="D1048" s="7" t="s">
        <v>1861</v>
      </c>
      <c r="E1048" s="7" t="s">
        <v>1593</v>
      </c>
      <c r="F1048" s="7" t="s">
        <v>1594</v>
      </c>
    </row>
    <row r="1049" spans="1:6" x14ac:dyDescent="0.25">
      <c r="A1049" s="7" t="s">
        <v>222</v>
      </c>
      <c r="B1049" s="7" t="s">
        <v>3664</v>
      </c>
      <c r="C1049" s="7" t="s">
        <v>3665</v>
      </c>
      <c r="D1049" s="7" t="s">
        <v>1861</v>
      </c>
      <c r="E1049" s="7" t="s">
        <v>1593</v>
      </c>
      <c r="F1049" s="7" t="s">
        <v>1594</v>
      </c>
    </row>
    <row r="1050" spans="1:6" x14ac:dyDescent="0.25">
      <c r="A1050" s="7" t="s">
        <v>228</v>
      </c>
      <c r="B1050" s="7" t="s">
        <v>3666</v>
      </c>
      <c r="C1050" s="7" t="s">
        <v>3667</v>
      </c>
      <c r="D1050" s="7" t="s">
        <v>1861</v>
      </c>
      <c r="E1050" s="7" t="s">
        <v>1593</v>
      </c>
      <c r="F1050" s="7" t="s">
        <v>1594</v>
      </c>
    </row>
    <row r="1051" spans="1:6" x14ac:dyDescent="0.25">
      <c r="A1051" s="7" t="s">
        <v>3668</v>
      </c>
      <c r="B1051" s="7" t="s">
        <v>3669</v>
      </c>
      <c r="C1051" s="7" t="s">
        <v>3670</v>
      </c>
      <c r="D1051" s="7" t="s">
        <v>2892</v>
      </c>
      <c r="E1051" s="7" t="s">
        <v>1585</v>
      </c>
      <c r="F1051" s="7" t="s">
        <v>1586</v>
      </c>
    </row>
    <row r="1052" spans="1:6" x14ac:dyDescent="0.25">
      <c r="A1052" s="7" t="s">
        <v>548</v>
      </c>
      <c r="B1052" s="7" t="s">
        <v>3671</v>
      </c>
      <c r="C1052" s="7" t="s">
        <v>3670</v>
      </c>
      <c r="D1052" s="7" t="s">
        <v>2892</v>
      </c>
      <c r="E1052" s="7" t="s">
        <v>1585</v>
      </c>
      <c r="F1052" s="7" t="s">
        <v>1586</v>
      </c>
    </row>
    <row r="1053" spans="1:6" x14ac:dyDescent="0.25">
      <c r="A1053" s="7" t="s">
        <v>557</v>
      </c>
      <c r="B1053" s="7" t="s">
        <v>3672</v>
      </c>
      <c r="C1053" s="7" t="s">
        <v>3673</v>
      </c>
      <c r="D1053" s="7" t="s">
        <v>2892</v>
      </c>
      <c r="E1053" s="7" t="s">
        <v>1585</v>
      </c>
      <c r="F1053" s="7" t="s">
        <v>1586</v>
      </c>
    </row>
    <row r="1054" spans="1:6" x14ac:dyDescent="0.25">
      <c r="A1054" s="7" t="s">
        <v>3674</v>
      </c>
      <c r="B1054" s="7" t="s">
        <v>3675</v>
      </c>
      <c r="C1054" s="7" t="s">
        <v>3673</v>
      </c>
      <c r="D1054" s="7" t="s">
        <v>2892</v>
      </c>
      <c r="E1054" s="7" t="s">
        <v>1585</v>
      </c>
      <c r="F1054" s="7" t="s">
        <v>1586</v>
      </c>
    </row>
    <row r="1055" spans="1:6" x14ac:dyDescent="0.25">
      <c r="A1055" s="7" t="s">
        <v>3676</v>
      </c>
      <c r="B1055" s="7" t="s">
        <v>3677</v>
      </c>
      <c r="C1055" s="7" t="s">
        <v>3678</v>
      </c>
      <c r="D1055" s="7" t="s">
        <v>2892</v>
      </c>
      <c r="E1055" s="7" t="s">
        <v>1585</v>
      </c>
      <c r="F1055" s="7" t="s">
        <v>1586</v>
      </c>
    </row>
    <row r="1056" spans="1:6" x14ac:dyDescent="0.25">
      <c r="A1056" s="7" t="s">
        <v>551</v>
      </c>
      <c r="B1056" s="7" t="s">
        <v>3679</v>
      </c>
      <c r="C1056" s="7" t="s">
        <v>3678</v>
      </c>
      <c r="D1056" s="7" t="s">
        <v>2892</v>
      </c>
      <c r="E1056" s="7" t="s">
        <v>1585</v>
      </c>
      <c r="F1056" s="7" t="s">
        <v>1586</v>
      </c>
    </row>
    <row r="1057" spans="1:6" x14ac:dyDescent="0.25">
      <c r="A1057" s="7" t="s">
        <v>554</v>
      </c>
      <c r="B1057" s="7" t="s">
        <v>3680</v>
      </c>
      <c r="C1057" s="7" t="s">
        <v>3681</v>
      </c>
      <c r="D1057" s="7" t="s">
        <v>2892</v>
      </c>
      <c r="E1057" s="7" t="s">
        <v>1585</v>
      </c>
      <c r="F1057" s="7" t="s">
        <v>1586</v>
      </c>
    </row>
    <row r="1058" spans="1:6" x14ac:dyDescent="0.25">
      <c r="A1058" s="7" t="s">
        <v>3682</v>
      </c>
      <c r="B1058" s="7" t="s">
        <v>3683</v>
      </c>
      <c r="C1058" s="7" t="s">
        <v>3681</v>
      </c>
      <c r="D1058" s="7" t="s">
        <v>2892</v>
      </c>
      <c r="E1058" s="7" t="s">
        <v>1585</v>
      </c>
      <c r="F1058" s="7" t="s">
        <v>1586</v>
      </c>
    </row>
    <row r="1059" spans="1:6" x14ac:dyDescent="0.25">
      <c r="A1059" s="7" t="s">
        <v>3684</v>
      </c>
      <c r="B1059" s="7" t="s">
        <v>3685</v>
      </c>
      <c r="C1059" s="7" t="s">
        <v>3686</v>
      </c>
      <c r="D1059" s="7" t="s">
        <v>2892</v>
      </c>
      <c r="E1059" s="7" t="s">
        <v>1585</v>
      </c>
      <c r="F1059" s="7" t="s">
        <v>1597</v>
      </c>
    </row>
    <row r="1060" spans="1:6" x14ac:dyDescent="0.25">
      <c r="A1060" s="7" t="s">
        <v>875</v>
      </c>
      <c r="B1060" s="7" t="s">
        <v>3687</v>
      </c>
      <c r="C1060" s="7" t="s">
        <v>3688</v>
      </c>
      <c r="D1060" s="7" t="s">
        <v>2892</v>
      </c>
      <c r="E1060" s="7" t="s">
        <v>1585</v>
      </c>
      <c r="F1060" s="7" t="s">
        <v>1597</v>
      </c>
    </row>
    <row r="1061" spans="1:6" x14ac:dyDescent="0.25">
      <c r="A1061" s="7" t="s">
        <v>110</v>
      </c>
      <c r="B1061" s="7" t="s">
        <v>3689</v>
      </c>
      <c r="C1061" s="7" t="s">
        <v>3690</v>
      </c>
      <c r="D1061" s="7" t="s">
        <v>2892</v>
      </c>
      <c r="E1061" s="7" t="s">
        <v>1585</v>
      </c>
      <c r="F1061" s="7" t="s">
        <v>1597</v>
      </c>
    </row>
    <row r="1062" spans="1:6" x14ac:dyDescent="0.25">
      <c r="A1062" s="7" t="s">
        <v>185</v>
      </c>
      <c r="B1062" s="7" t="s">
        <v>3691</v>
      </c>
      <c r="C1062" s="7" t="s">
        <v>3692</v>
      </c>
      <c r="D1062" s="7" t="s">
        <v>2892</v>
      </c>
      <c r="E1062" s="7" t="s">
        <v>1585</v>
      </c>
      <c r="F1062" s="7" t="s">
        <v>1597</v>
      </c>
    </row>
    <row r="1063" spans="1:6" x14ac:dyDescent="0.25">
      <c r="A1063" s="7" t="s">
        <v>810</v>
      </c>
      <c r="B1063" s="7" t="s">
        <v>3693</v>
      </c>
      <c r="C1063" s="7" t="s">
        <v>3694</v>
      </c>
      <c r="D1063" s="7" t="s">
        <v>2892</v>
      </c>
      <c r="E1063" s="7" t="s">
        <v>1585</v>
      </c>
      <c r="F1063" s="7" t="s">
        <v>1597</v>
      </c>
    </row>
    <row r="1064" spans="1:6" x14ac:dyDescent="0.25">
      <c r="A1064" s="7" t="s">
        <v>191</v>
      </c>
      <c r="B1064" s="7" t="s">
        <v>3695</v>
      </c>
      <c r="C1064" s="7" t="s">
        <v>3696</v>
      </c>
      <c r="D1064" s="7" t="s">
        <v>3047</v>
      </c>
      <c r="E1064" s="7" t="s">
        <v>1585</v>
      </c>
      <c r="F1064" s="7" t="s">
        <v>1597</v>
      </c>
    </row>
    <row r="1065" spans="1:6" x14ac:dyDescent="0.25">
      <c r="A1065" s="7" t="s">
        <v>194</v>
      </c>
      <c r="B1065" s="7" t="s">
        <v>3697</v>
      </c>
      <c r="C1065" s="7" t="s">
        <v>3698</v>
      </c>
      <c r="D1065" s="7" t="s">
        <v>3047</v>
      </c>
      <c r="E1065" s="7" t="s">
        <v>1585</v>
      </c>
      <c r="F1065" s="7" t="s">
        <v>1597</v>
      </c>
    </row>
    <row r="1066" spans="1:6" x14ac:dyDescent="0.25">
      <c r="A1066" s="7" t="s">
        <v>685</v>
      </c>
      <c r="B1066" s="7" t="s">
        <v>3699</v>
      </c>
      <c r="C1066" s="7" t="s">
        <v>3700</v>
      </c>
      <c r="D1066" s="7" t="s">
        <v>3047</v>
      </c>
      <c r="E1066" s="7" t="s">
        <v>1585</v>
      </c>
      <c r="F1066" s="7" t="s">
        <v>1597</v>
      </c>
    </row>
    <row r="1067" spans="1:6" x14ac:dyDescent="0.25">
      <c r="A1067" s="7" t="s">
        <v>765</v>
      </c>
      <c r="B1067" s="7" t="s">
        <v>3701</v>
      </c>
      <c r="C1067" s="7" t="s">
        <v>3702</v>
      </c>
      <c r="D1067" s="7" t="s">
        <v>3047</v>
      </c>
      <c r="E1067" s="7" t="s">
        <v>1585</v>
      </c>
      <c r="F1067" s="7" t="s">
        <v>1597</v>
      </c>
    </row>
    <row r="1068" spans="1:6" x14ac:dyDescent="0.25">
      <c r="A1068" s="7" t="s">
        <v>774</v>
      </c>
      <c r="B1068" s="7" t="s">
        <v>3703</v>
      </c>
      <c r="C1068" s="7" t="s">
        <v>3704</v>
      </c>
      <c r="D1068" s="7" t="s">
        <v>3047</v>
      </c>
      <c r="E1068" s="7" t="s">
        <v>1585</v>
      </c>
      <c r="F1068" s="7" t="s">
        <v>1597</v>
      </c>
    </row>
    <row r="1069" spans="1:6" x14ac:dyDescent="0.25">
      <c r="A1069" s="7" t="s">
        <v>172</v>
      </c>
      <c r="B1069" s="7" t="s">
        <v>3705</v>
      </c>
      <c r="C1069" s="7" t="s">
        <v>3706</v>
      </c>
      <c r="D1069" s="7" t="s">
        <v>3047</v>
      </c>
      <c r="E1069" s="7" t="s">
        <v>1585</v>
      </c>
      <c r="F1069" s="7" t="s">
        <v>1586</v>
      </c>
    </row>
    <row r="1070" spans="1:6" x14ac:dyDescent="0.25">
      <c r="A1070" s="7" t="s">
        <v>169</v>
      </c>
      <c r="B1070" s="7" t="s">
        <v>3707</v>
      </c>
      <c r="C1070" s="7" t="s">
        <v>3708</v>
      </c>
      <c r="D1070" s="7" t="s">
        <v>3047</v>
      </c>
      <c r="E1070" s="7" t="s">
        <v>1585</v>
      </c>
      <c r="F1070" s="7" t="s">
        <v>1586</v>
      </c>
    </row>
    <row r="1071" spans="1:6" x14ac:dyDescent="0.25">
      <c r="A1071" s="7" t="s">
        <v>619</v>
      </c>
      <c r="B1071" s="7" t="s">
        <v>3709</v>
      </c>
      <c r="C1071" s="7" t="s">
        <v>3710</v>
      </c>
      <c r="D1071" s="7" t="s">
        <v>3047</v>
      </c>
      <c r="E1071" s="7" t="s">
        <v>1585</v>
      </c>
      <c r="F1071" s="7" t="s">
        <v>1586</v>
      </c>
    </row>
    <row r="1072" spans="1:6" x14ac:dyDescent="0.25">
      <c r="A1072" s="7" t="s">
        <v>3711</v>
      </c>
      <c r="B1072" s="7" t="s">
        <v>3712</v>
      </c>
      <c r="C1072" s="7" t="s">
        <v>3713</v>
      </c>
      <c r="D1072" s="7" t="s">
        <v>1790</v>
      </c>
      <c r="E1072" s="7" t="s">
        <v>1837</v>
      </c>
      <c r="F1072" s="7" t="s">
        <v>1838</v>
      </c>
    </row>
    <row r="1073" spans="1:6" x14ac:dyDescent="0.25">
      <c r="A1073" s="7" t="s">
        <v>3714</v>
      </c>
      <c r="B1073" s="7" t="s">
        <v>3715</v>
      </c>
      <c r="C1073" s="7" t="s">
        <v>3713</v>
      </c>
      <c r="D1073" s="7"/>
      <c r="E1073" s="7"/>
      <c r="F1073" s="7"/>
    </row>
    <row r="1074" spans="1:6" x14ac:dyDescent="0.25">
      <c r="A1074" s="7" t="s">
        <v>3716</v>
      </c>
      <c r="B1074" s="7" t="s">
        <v>3717</v>
      </c>
      <c r="C1074" s="7" t="s">
        <v>3718</v>
      </c>
      <c r="D1074" s="7" t="s">
        <v>1584</v>
      </c>
      <c r="E1074" s="7" t="s">
        <v>1585</v>
      </c>
      <c r="F1074" s="7" t="s">
        <v>1586</v>
      </c>
    </row>
    <row r="1075" spans="1:6" x14ac:dyDescent="0.25">
      <c r="A1075" s="7" t="s">
        <v>3719</v>
      </c>
      <c r="B1075" s="7" t="s">
        <v>3720</v>
      </c>
      <c r="C1075" s="7" t="s">
        <v>3721</v>
      </c>
      <c r="D1075" s="7" t="s">
        <v>1584</v>
      </c>
      <c r="E1075" s="7" t="s">
        <v>1585</v>
      </c>
      <c r="F1075" s="7" t="s">
        <v>1586</v>
      </c>
    </row>
    <row r="1076" spans="1:6" x14ac:dyDescent="0.25">
      <c r="A1076" s="7" t="s">
        <v>47</v>
      </c>
      <c r="B1076" s="7" t="s">
        <v>3722</v>
      </c>
      <c r="C1076" s="7" t="s">
        <v>3723</v>
      </c>
      <c r="D1076" s="7" t="s">
        <v>2515</v>
      </c>
      <c r="E1076" s="7" t="s">
        <v>1585</v>
      </c>
      <c r="F1076" s="7" t="s">
        <v>3724</v>
      </c>
    </row>
    <row r="1077" spans="1:6" x14ac:dyDescent="0.25">
      <c r="A1077" s="7" t="s">
        <v>3725</v>
      </c>
      <c r="B1077" s="7" t="s">
        <v>3726</v>
      </c>
      <c r="C1077" s="7" t="s">
        <v>3727</v>
      </c>
      <c r="D1077" s="7" t="s">
        <v>2515</v>
      </c>
      <c r="E1077" s="7" t="s">
        <v>1585</v>
      </c>
      <c r="F1077" s="7" t="s">
        <v>3724</v>
      </c>
    </row>
    <row r="1078" spans="1:6" x14ac:dyDescent="0.25">
      <c r="A1078" s="7" t="s">
        <v>50</v>
      </c>
      <c r="B1078" s="7" t="s">
        <v>3728</v>
      </c>
      <c r="C1078" s="7" t="s">
        <v>3729</v>
      </c>
      <c r="D1078" s="7" t="s">
        <v>2515</v>
      </c>
      <c r="E1078" s="7" t="s">
        <v>1585</v>
      </c>
      <c r="F1078" s="7" t="s">
        <v>3724</v>
      </c>
    </row>
    <row r="1079" spans="1:6" x14ac:dyDescent="0.25">
      <c r="A1079" s="7" t="s">
        <v>3730</v>
      </c>
      <c r="B1079" s="7" t="s">
        <v>3731</v>
      </c>
      <c r="C1079" s="7" t="s">
        <v>3732</v>
      </c>
      <c r="D1079" s="7" t="s">
        <v>2515</v>
      </c>
      <c r="E1079" s="7" t="s">
        <v>1585</v>
      </c>
      <c r="F1079" s="7" t="s">
        <v>3724</v>
      </c>
    </row>
    <row r="1080" spans="1:6" ht="22.5" x14ac:dyDescent="0.25">
      <c r="A1080" s="7" t="s">
        <v>126</v>
      </c>
      <c r="B1080" s="7" t="s">
        <v>3733</v>
      </c>
      <c r="C1080" s="7" t="s">
        <v>3734</v>
      </c>
      <c r="D1080" s="7" t="s">
        <v>2515</v>
      </c>
      <c r="E1080" s="7" t="s">
        <v>1585</v>
      </c>
      <c r="F1080" s="7" t="s">
        <v>3724</v>
      </c>
    </row>
    <row r="1081" spans="1:6" x14ac:dyDescent="0.25">
      <c r="A1081" s="7" t="s">
        <v>178</v>
      </c>
      <c r="B1081" s="7" t="s">
        <v>3735</v>
      </c>
      <c r="C1081" s="7" t="s">
        <v>3736</v>
      </c>
      <c r="D1081" s="7" t="s">
        <v>3047</v>
      </c>
      <c r="E1081" s="7" t="s">
        <v>1585</v>
      </c>
      <c r="F1081" s="7" t="s">
        <v>1586</v>
      </c>
    </row>
    <row r="1082" spans="1:6" x14ac:dyDescent="0.25">
      <c r="A1082" s="7" t="s">
        <v>175</v>
      </c>
      <c r="B1082" s="7" t="s">
        <v>3737</v>
      </c>
      <c r="C1082" s="7" t="s">
        <v>3738</v>
      </c>
      <c r="D1082" s="7" t="s">
        <v>3047</v>
      </c>
      <c r="E1082" s="7" t="s">
        <v>1585</v>
      </c>
      <c r="F1082" s="7" t="s">
        <v>1586</v>
      </c>
    </row>
    <row r="1083" spans="1:6" x14ac:dyDescent="0.25">
      <c r="A1083" s="7" t="s">
        <v>3739</v>
      </c>
      <c r="B1083" s="7" t="s">
        <v>3740</v>
      </c>
      <c r="C1083" s="7" t="s">
        <v>3741</v>
      </c>
      <c r="D1083" s="7" t="s">
        <v>3742</v>
      </c>
      <c r="E1083" s="7" t="s">
        <v>1614</v>
      </c>
      <c r="F1083" s="7" t="s">
        <v>1786</v>
      </c>
    </row>
    <row r="1084" spans="1:6" x14ac:dyDescent="0.25">
      <c r="A1084" s="7" t="s">
        <v>3743</v>
      </c>
      <c r="B1084" s="7" t="s">
        <v>3744</v>
      </c>
      <c r="C1084" s="7" t="s">
        <v>3745</v>
      </c>
      <c r="D1084" s="7" t="s">
        <v>3746</v>
      </c>
      <c r="E1084" s="7" t="s">
        <v>1614</v>
      </c>
      <c r="F1084" s="7" t="s">
        <v>1786</v>
      </c>
    </row>
    <row r="1085" spans="1:6" x14ac:dyDescent="0.25">
      <c r="A1085" s="7" t="s">
        <v>3747</v>
      </c>
      <c r="B1085" s="7" t="s">
        <v>3748</v>
      </c>
      <c r="C1085" s="7" t="s">
        <v>3749</v>
      </c>
      <c r="D1085" s="7" t="s">
        <v>3746</v>
      </c>
      <c r="E1085" s="7" t="s">
        <v>1614</v>
      </c>
      <c r="F1085" s="7" t="s">
        <v>1786</v>
      </c>
    </row>
    <row r="1086" spans="1:6" x14ac:dyDescent="0.25">
      <c r="A1086" s="7" t="s">
        <v>3750</v>
      </c>
      <c r="B1086" s="7" t="s">
        <v>3751</v>
      </c>
      <c r="C1086" s="7" t="s">
        <v>3752</v>
      </c>
      <c r="D1086" s="7" t="s">
        <v>3746</v>
      </c>
      <c r="E1086" s="7" t="s">
        <v>1614</v>
      </c>
      <c r="F1086" s="7" t="s">
        <v>2473</v>
      </c>
    </row>
    <row r="1087" spans="1:6" x14ac:dyDescent="0.25">
      <c r="A1087" s="7" t="s">
        <v>955</v>
      </c>
      <c r="B1087" s="7" t="s">
        <v>954</v>
      </c>
      <c r="C1087" s="7" t="s">
        <v>3753</v>
      </c>
      <c r="D1087" s="7" t="s">
        <v>3746</v>
      </c>
      <c r="E1087" s="7" t="s">
        <v>1614</v>
      </c>
      <c r="F1087" s="7" t="s">
        <v>2260</v>
      </c>
    </row>
    <row r="1088" spans="1:6" x14ac:dyDescent="0.25">
      <c r="A1088" s="7" t="s">
        <v>3754</v>
      </c>
      <c r="B1088" s="7" t="s">
        <v>3755</v>
      </c>
      <c r="C1088" s="7" t="s">
        <v>3756</v>
      </c>
      <c r="D1088" s="7" t="s">
        <v>3757</v>
      </c>
      <c r="E1088" s="7" t="s">
        <v>1585</v>
      </c>
      <c r="F1088" s="7" t="s">
        <v>1586</v>
      </c>
    </row>
    <row r="1089" spans="1:6" x14ac:dyDescent="0.25">
      <c r="A1089" s="7" t="s">
        <v>3758</v>
      </c>
      <c r="B1089" s="7" t="s">
        <v>3759</v>
      </c>
      <c r="C1089" s="7" t="s">
        <v>3760</v>
      </c>
      <c r="D1089" s="7" t="s">
        <v>3757</v>
      </c>
      <c r="E1089" s="7" t="s">
        <v>1585</v>
      </c>
      <c r="F1089" s="7" t="s">
        <v>1597</v>
      </c>
    </row>
    <row r="1090" spans="1:6" x14ac:dyDescent="0.25">
      <c r="A1090" s="7" t="s">
        <v>3761</v>
      </c>
      <c r="B1090" s="7" t="s">
        <v>3762</v>
      </c>
      <c r="C1090" s="7" t="s">
        <v>3763</v>
      </c>
      <c r="D1090" s="7" t="s">
        <v>3757</v>
      </c>
      <c r="E1090" s="7" t="s">
        <v>1585</v>
      </c>
      <c r="F1090" s="7" t="s">
        <v>1586</v>
      </c>
    </row>
    <row r="1091" spans="1:6" x14ac:dyDescent="0.25">
      <c r="A1091" s="7" t="s">
        <v>71</v>
      </c>
      <c r="B1091" s="7" t="s">
        <v>3764</v>
      </c>
      <c r="C1091" s="7" t="s">
        <v>3765</v>
      </c>
      <c r="D1091" s="7" t="s">
        <v>1938</v>
      </c>
      <c r="E1091" s="7" t="s">
        <v>1585</v>
      </c>
      <c r="F1091" s="7" t="s">
        <v>1586</v>
      </c>
    </row>
    <row r="1092" spans="1:6" x14ac:dyDescent="0.25">
      <c r="A1092" s="7" t="s">
        <v>74</v>
      </c>
      <c r="B1092" s="7" t="s">
        <v>3766</v>
      </c>
      <c r="C1092" s="18" t="s">
        <v>3767</v>
      </c>
      <c r="D1092" s="7" t="s">
        <v>1938</v>
      </c>
      <c r="E1092" s="7" t="s">
        <v>1585</v>
      </c>
      <c r="F1092" s="7" t="s">
        <v>1586</v>
      </c>
    </row>
    <row r="1093" spans="1:6" x14ac:dyDescent="0.25">
      <c r="A1093" s="7" t="s">
        <v>65</v>
      </c>
      <c r="B1093" s="7" t="s">
        <v>3768</v>
      </c>
      <c r="C1093" s="7" t="s">
        <v>3769</v>
      </c>
      <c r="D1093" s="7" t="s">
        <v>1938</v>
      </c>
      <c r="E1093" s="7" t="s">
        <v>1585</v>
      </c>
      <c r="F1093" s="7" t="s">
        <v>1586</v>
      </c>
    </row>
    <row r="1094" spans="1:6" x14ac:dyDescent="0.25">
      <c r="A1094" s="7" t="s">
        <v>68</v>
      </c>
      <c r="B1094" s="7" t="s">
        <v>3770</v>
      </c>
      <c r="C1094" s="7" t="s">
        <v>3771</v>
      </c>
      <c r="D1094" s="7" t="s">
        <v>1938</v>
      </c>
      <c r="E1094" s="7" t="s">
        <v>1585</v>
      </c>
      <c r="F1094" s="7" t="s">
        <v>1586</v>
      </c>
    </row>
    <row r="1095" spans="1:6" x14ac:dyDescent="0.25">
      <c r="A1095" s="7" t="s">
        <v>3772</v>
      </c>
      <c r="B1095" s="7" t="s">
        <v>3773</v>
      </c>
      <c r="C1095" s="7" t="s">
        <v>3774</v>
      </c>
      <c r="D1095" s="7" t="s">
        <v>1000</v>
      </c>
      <c r="E1095" s="7" t="s">
        <v>1593</v>
      </c>
      <c r="F1095" s="7" t="s">
        <v>1594</v>
      </c>
    </row>
    <row r="1096" spans="1:6" x14ac:dyDescent="0.25">
      <c r="A1096" s="7" t="s">
        <v>3775</v>
      </c>
      <c r="B1096" s="7" t="s">
        <v>3776</v>
      </c>
      <c r="C1096" s="7" t="s">
        <v>3777</v>
      </c>
      <c r="D1096" s="7" t="s">
        <v>1000</v>
      </c>
      <c r="E1096" s="7" t="s">
        <v>1593</v>
      </c>
      <c r="F1096" s="7" t="s">
        <v>1594</v>
      </c>
    </row>
    <row r="1097" spans="1:6" x14ac:dyDescent="0.25">
      <c r="A1097" s="7" t="s">
        <v>3778</v>
      </c>
      <c r="B1097" s="7" t="s">
        <v>3779</v>
      </c>
      <c r="C1097" s="7" t="s">
        <v>3780</v>
      </c>
      <c r="D1097" s="7" t="s">
        <v>1000</v>
      </c>
      <c r="E1097" s="7" t="s">
        <v>1593</v>
      </c>
      <c r="F1097" s="7" t="s">
        <v>1594</v>
      </c>
    </row>
    <row r="1098" spans="1:6" x14ac:dyDescent="0.25">
      <c r="A1098" s="7" t="s">
        <v>3781</v>
      </c>
      <c r="B1098" s="7" t="s">
        <v>3782</v>
      </c>
      <c r="C1098" s="7" t="s">
        <v>3783</v>
      </c>
      <c r="D1098" s="7" t="s">
        <v>3784</v>
      </c>
      <c r="E1098" s="7" t="s">
        <v>1593</v>
      </c>
      <c r="F1098" s="7" t="s">
        <v>1594</v>
      </c>
    </row>
    <row r="1099" spans="1:6" x14ac:dyDescent="0.25">
      <c r="A1099" s="7" t="s">
        <v>3785</v>
      </c>
      <c r="B1099" s="7" t="s">
        <v>3786</v>
      </c>
      <c r="C1099" s="7" t="s">
        <v>3787</v>
      </c>
      <c r="D1099" s="7" t="s">
        <v>3784</v>
      </c>
      <c r="E1099" s="7" t="s">
        <v>1593</v>
      </c>
      <c r="F1099" s="7" t="s">
        <v>1594</v>
      </c>
    </row>
    <row r="1100" spans="1:6" x14ac:dyDescent="0.25">
      <c r="A1100" s="7" t="s">
        <v>3788</v>
      </c>
      <c r="B1100" s="7" t="s">
        <v>3789</v>
      </c>
      <c r="C1100" s="7" t="s">
        <v>3790</v>
      </c>
      <c r="D1100" s="7" t="s">
        <v>3784</v>
      </c>
      <c r="E1100" s="7" t="s">
        <v>1593</v>
      </c>
      <c r="F1100" s="7" t="s">
        <v>1594</v>
      </c>
    </row>
    <row r="1101" spans="1:6" x14ac:dyDescent="0.25">
      <c r="A1101" s="7" t="s">
        <v>181</v>
      </c>
      <c r="B1101" s="7" t="s">
        <v>3791</v>
      </c>
      <c r="C1101" s="7" t="s">
        <v>3792</v>
      </c>
      <c r="D1101" s="7" t="s">
        <v>1589</v>
      </c>
      <c r="E1101" s="7" t="s">
        <v>1585</v>
      </c>
      <c r="F1101" s="7" t="s">
        <v>1586</v>
      </c>
    </row>
    <row r="1102" spans="1:6" x14ac:dyDescent="0.25">
      <c r="A1102" s="7" t="s">
        <v>3793</v>
      </c>
      <c r="B1102" s="7" t="s">
        <v>3794</v>
      </c>
      <c r="C1102" s="7" t="s">
        <v>3795</v>
      </c>
      <c r="D1102" s="7" t="s">
        <v>3742</v>
      </c>
      <c r="E1102" s="7" t="s">
        <v>1593</v>
      </c>
      <c r="F1102" s="7" t="s">
        <v>1594</v>
      </c>
    </row>
    <row r="1103" spans="1:6" ht="22.5" x14ac:dyDescent="0.25">
      <c r="A1103" s="7" t="s">
        <v>3796</v>
      </c>
      <c r="B1103" s="7" t="s">
        <v>3797</v>
      </c>
      <c r="C1103" s="7" t="s">
        <v>3798</v>
      </c>
      <c r="D1103" s="7" t="s">
        <v>1584</v>
      </c>
      <c r="E1103" s="7" t="s">
        <v>1585</v>
      </c>
      <c r="F1103" s="7" t="s">
        <v>1597</v>
      </c>
    </row>
    <row r="1104" spans="1:6" ht="22.5" x14ac:dyDescent="0.25">
      <c r="A1104" s="7" t="s">
        <v>3799</v>
      </c>
      <c r="B1104" s="7" t="s">
        <v>3800</v>
      </c>
      <c r="C1104" s="7" t="s">
        <v>3798</v>
      </c>
      <c r="D1104" s="7" t="s">
        <v>1584</v>
      </c>
      <c r="E1104" s="7" t="s">
        <v>1585</v>
      </c>
      <c r="F1104" s="7" t="s">
        <v>1597</v>
      </c>
    </row>
    <row r="1105" spans="1:6" x14ac:dyDescent="0.25">
      <c r="A1105" s="7" t="s">
        <v>3801</v>
      </c>
      <c r="B1105" s="7" t="s">
        <v>3802</v>
      </c>
      <c r="C1105" s="7" t="s">
        <v>3803</v>
      </c>
      <c r="D1105" s="7" t="s">
        <v>1584</v>
      </c>
      <c r="E1105" s="7" t="s">
        <v>1585</v>
      </c>
      <c r="F1105" s="7" t="s">
        <v>1597</v>
      </c>
    </row>
    <row r="1106" spans="1:6" x14ac:dyDescent="0.25">
      <c r="A1106" s="7" t="s">
        <v>3804</v>
      </c>
      <c r="B1106" s="7" t="s">
        <v>3805</v>
      </c>
      <c r="C1106" s="7" t="s">
        <v>3806</v>
      </c>
      <c r="D1106" s="7" t="s">
        <v>1584</v>
      </c>
      <c r="E1106" s="7" t="s">
        <v>1585</v>
      </c>
      <c r="F1106" s="7" t="s">
        <v>1597</v>
      </c>
    </row>
    <row r="1107" spans="1:6" x14ac:dyDescent="0.25">
      <c r="A1107" s="7" t="s">
        <v>3807</v>
      </c>
      <c r="B1107" s="7" t="s">
        <v>3808</v>
      </c>
      <c r="C1107" s="7" t="s">
        <v>3809</v>
      </c>
      <c r="D1107" s="7" t="s">
        <v>1584</v>
      </c>
      <c r="E1107" s="7" t="s">
        <v>1585</v>
      </c>
      <c r="F1107" s="7" t="s">
        <v>1597</v>
      </c>
    </row>
    <row r="1108" spans="1:6" ht="22.5" x14ac:dyDescent="0.25">
      <c r="A1108" s="7" t="s">
        <v>3810</v>
      </c>
      <c r="B1108" s="7" t="s">
        <v>3811</v>
      </c>
      <c r="C1108" s="7" t="s">
        <v>3812</v>
      </c>
      <c r="D1108" s="7" t="s">
        <v>1584</v>
      </c>
      <c r="E1108" s="7" t="s">
        <v>1585</v>
      </c>
      <c r="F1108" s="7" t="s">
        <v>1597</v>
      </c>
    </row>
    <row r="1109" spans="1:6" x14ac:dyDescent="0.25">
      <c r="A1109" s="7" t="s">
        <v>3813</v>
      </c>
      <c r="B1109" s="7" t="s">
        <v>3814</v>
      </c>
      <c r="C1109" s="7" t="s">
        <v>3815</v>
      </c>
      <c r="D1109" s="7" t="s">
        <v>1633</v>
      </c>
      <c r="E1109" s="7" t="s">
        <v>1634</v>
      </c>
      <c r="F1109" s="7" t="s">
        <v>1635</v>
      </c>
    </row>
    <row r="1110" spans="1:6" x14ac:dyDescent="0.25">
      <c r="A1110" s="7" t="s">
        <v>3816</v>
      </c>
      <c r="B1110" s="7" t="s">
        <v>3817</v>
      </c>
      <c r="C1110" s="7" t="s">
        <v>3818</v>
      </c>
      <c r="D1110" s="7" t="s">
        <v>1589</v>
      </c>
      <c r="E1110" s="7" t="s">
        <v>1585</v>
      </c>
      <c r="F1110" s="7" t="s">
        <v>1586</v>
      </c>
    </row>
    <row r="1111" spans="1:6" x14ac:dyDescent="0.25">
      <c r="A1111" s="7" t="s">
        <v>3819</v>
      </c>
      <c r="B1111" s="7" t="s">
        <v>3820</v>
      </c>
      <c r="C1111" s="7" t="s">
        <v>3821</v>
      </c>
      <c r="D1111" s="7" t="s">
        <v>1938</v>
      </c>
      <c r="E1111" s="7" t="s">
        <v>1585</v>
      </c>
      <c r="F1111" s="7" t="s">
        <v>1597</v>
      </c>
    </row>
    <row r="1112" spans="1:6" x14ac:dyDescent="0.25">
      <c r="A1112" s="7" t="s">
        <v>3822</v>
      </c>
      <c r="B1112" s="7" t="s">
        <v>3823</v>
      </c>
      <c r="C1112" s="7" t="s">
        <v>3821</v>
      </c>
      <c r="D1112" s="7" t="s">
        <v>1938</v>
      </c>
      <c r="E1112" s="7" t="s">
        <v>1585</v>
      </c>
      <c r="F1112" s="7" t="s">
        <v>1597</v>
      </c>
    </row>
    <row r="1113" spans="1:6" x14ac:dyDescent="0.25">
      <c r="A1113" s="7" t="s">
        <v>3824</v>
      </c>
      <c r="B1113" s="7" t="s">
        <v>3825</v>
      </c>
      <c r="C1113" s="7" t="s">
        <v>3826</v>
      </c>
      <c r="D1113" s="7" t="s">
        <v>1589</v>
      </c>
      <c r="E1113" s="7" t="s">
        <v>1585</v>
      </c>
      <c r="F1113" s="7" t="s">
        <v>1586</v>
      </c>
    </row>
    <row r="1114" spans="1:6" x14ac:dyDescent="0.25">
      <c r="A1114" s="7" t="s">
        <v>53</v>
      </c>
      <c r="B1114" s="7" t="s">
        <v>3827</v>
      </c>
      <c r="C1114" s="7" t="s">
        <v>3828</v>
      </c>
      <c r="D1114" s="7" t="s">
        <v>1938</v>
      </c>
      <c r="E1114" s="7" t="s">
        <v>1585</v>
      </c>
      <c r="F1114" s="7" t="s">
        <v>1586</v>
      </c>
    </row>
    <row r="1115" spans="1:6" x14ac:dyDescent="0.25">
      <c r="A1115" s="7" t="s">
        <v>62</v>
      </c>
      <c r="B1115" s="7" t="s">
        <v>3829</v>
      </c>
      <c r="C1115" s="7" t="s">
        <v>3830</v>
      </c>
      <c r="D1115" s="7" t="s">
        <v>1938</v>
      </c>
      <c r="E1115" s="7" t="s">
        <v>1585</v>
      </c>
      <c r="F1115" s="7" t="s">
        <v>1586</v>
      </c>
    </row>
    <row r="1116" spans="1:6" ht="22.5" x14ac:dyDescent="0.25">
      <c r="A1116" s="7" t="s">
        <v>56</v>
      </c>
      <c r="B1116" s="7" t="s">
        <v>3831</v>
      </c>
      <c r="C1116" s="7" t="s">
        <v>3832</v>
      </c>
      <c r="D1116" s="7" t="s">
        <v>1938</v>
      </c>
      <c r="E1116" s="7" t="s">
        <v>1585</v>
      </c>
      <c r="F1116" s="7" t="s">
        <v>1586</v>
      </c>
    </row>
    <row r="1117" spans="1:6" x14ac:dyDescent="0.25">
      <c r="A1117" s="7" t="s">
        <v>59</v>
      </c>
      <c r="B1117" s="7" t="s">
        <v>3833</v>
      </c>
      <c r="C1117" s="7" t="s">
        <v>3834</v>
      </c>
      <c r="D1117" s="7" t="s">
        <v>1938</v>
      </c>
      <c r="E1117" s="7" t="s">
        <v>1585</v>
      </c>
      <c r="F1117" s="7" t="s">
        <v>1586</v>
      </c>
    </row>
    <row r="1118" spans="1:6" x14ac:dyDescent="0.25">
      <c r="A1118" s="7" t="s">
        <v>3835</v>
      </c>
      <c r="B1118" s="7" t="s">
        <v>3836</v>
      </c>
      <c r="C1118" s="7" t="s">
        <v>3837</v>
      </c>
      <c r="D1118" s="7" t="s">
        <v>1589</v>
      </c>
      <c r="E1118" s="7" t="s">
        <v>1585</v>
      </c>
      <c r="F1118" s="7" t="s">
        <v>1586</v>
      </c>
    </row>
    <row r="1119" spans="1:6" x14ac:dyDescent="0.25">
      <c r="A1119" s="7" t="s">
        <v>496</v>
      </c>
      <c r="B1119" s="7" t="s">
        <v>3838</v>
      </c>
      <c r="C1119" s="7" t="s">
        <v>3839</v>
      </c>
      <c r="D1119" s="7" t="s">
        <v>1589</v>
      </c>
      <c r="E1119" s="7" t="s">
        <v>1585</v>
      </c>
      <c r="F1119" s="7" t="s">
        <v>1586</v>
      </c>
    </row>
    <row r="1120" spans="1:6" x14ac:dyDescent="0.25">
      <c r="A1120" s="7" t="s">
        <v>3840</v>
      </c>
      <c r="B1120" s="7" t="s">
        <v>3841</v>
      </c>
      <c r="C1120" s="7" t="s">
        <v>3842</v>
      </c>
      <c r="D1120" s="7" t="s">
        <v>1589</v>
      </c>
      <c r="E1120" s="7" t="s">
        <v>1585</v>
      </c>
      <c r="F1120" s="7" t="s">
        <v>1586</v>
      </c>
    </row>
    <row r="1121" spans="1:6" x14ac:dyDescent="0.25">
      <c r="A1121" s="7" t="s">
        <v>615</v>
      </c>
      <c r="B1121" s="7" t="s">
        <v>3843</v>
      </c>
      <c r="C1121" s="7" t="s">
        <v>3844</v>
      </c>
      <c r="D1121" s="7" t="s">
        <v>1589</v>
      </c>
      <c r="E1121" s="7" t="s">
        <v>1585</v>
      </c>
      <c r="F1121" s="7" t="s">
        <v>1586</v>
      </c>
    </row>
    <row r="1122" spans="1:6" x14ac:dyDescent="0.25">
      <c r="A1122" s="7" t="s">
        <v>458</v>
      </c>
      <c r="B1122" s="7" t="s">
        <v>3845</v>
      </c>
      <c r="C1122" s="7" t="s">
        <v>3846</v>
      </c>
      <c r="D1122" s="7" t="s">
        <v>1589</v>
      </c>
      <c r="E1122" s="7" t="s">
        <v>1585</v>
      </c>
      <c r="F1122" s="7" t="s">
        <v>1586</v>
      </c>
    </row>
    <row r="1123" spans="1:6" x14ac:dyDescent="0.25">
      <c r="A1123" s="7" t="s">
        <v>500</v>
      </c>
      <c r="B1123" s="7" t="s">
        <v>3847</v>
      </c>
      <c r="C1123" s="7" t="s">
        <v>3848</v>
      </c>
      <c r="D1123" s="7" t="s">
        <v>1589</v>
      </c>
      <c r="E1123" s="7" t="s">
        <v>1585</v>
      </c>
      <c r="F1123" s="7" t="s">
        <v>1586</v>
      </c>
    </row>
    <row r="1124" spans="1:6" x14ac:dyDescent="0.25">
      <c r="A1124" s="7" t="s">
        <v>164</v>
      </c>
      <c r="B1124" s="7" t="s">
        <v>3849</v>
      </c>
      <c r="C1124" s="7" t="s">
        <v>3850</v>
      </c>
      <c r="D1124" s="7" t="s">
        <v>1589</v>
      </c>
      <c r="E1124" s="7" t="s">
        <v>1585</v>
      </c>
      <c r="F1124" s="7" t="s">
        <v>1586</v>
      </c>
    </row>
    <row r="1125" spans="1:6" x14ac:dyDescent="0.25">
      <c r="A1125" s="7" t="s">
        <v>3851</v>
      </c>
      <c r="B1125" s="7" t="s">
        <v>3852</v>
      </c>
      <c r="C1125" s="7" t="s">
        <v>3853</v>
      </c>
      <c r="D1125" s="7" t="s">
        <v>1938</v>
      </c>
      <c r="E1125" s="7" t="s">
        <v>1585</v>
      </c>
      <c r="F1125" s="7" t="s">
        <v>1597</v>
      </c>
    </row>
    <row r="1126" spans="1:6" x14ac:dyDescent="0.25">
      <c r="A1126" s="7" t="s">
        <v>3854</v>
      </c>
      <c r="B1126" s="7" t="s">
        <v>3855</v>
      </c>
      <c r="C1126" s="7" t="s">
        <v>3856</v>
      </c>
      <c r="D1126" s="7" t="s">
        <v>1938</v>
      </c>
      <c r="E1126" s="7" t="s">
        <v>1585</v>
      </c>
      <c r="F1126" s="7" t="s">
        <v>1597</v>
      </c>
    </row>
    <row r="1127" spans="1:6" x14ac:dyDescent="0.25">
      <c r="A1127" s="7" t="s">
        <v>3857</v>
      </c>
      <c r="B1127" s="7" t="s">
        <v>3858</v>
      </c>
      <c r="C1127" s="7" t="s">
        <v>3859</v>
      </c>
      <c r="D1127" s="7" t="s">
        <v>1938</v>
      </c>
      <c r="E1127" s="7" t="s">
        <v>1585</v>
      </c>
      <c r="F1127" s="7" t="s">
        <v>1597</v>
      </c>
    </row>
    <row r="1128" spans="1:6" x14ac:dyDescent="0.25">
      <c r="A1128" s="7" t="s">
        <v>3860</v>
      </c>
      <c r="B1128" s="7" t="s">
        <v>3861</v>
      </c>
      <c r="C1128" s="7" t="s">
        <v>3862</v>
      </c>
      <c r="D1128" s="7" t="s">
        <v>1589</v>
      </c>
      <c r="E1128" s="7" t="s">
        <v>1585</v>
      </c>
      <c r="F1128" s="7" t="s">
        <v>1586</v>
      </c>
    </row>
    <row r="1129" spans="1:6" x14ac:dyDescent="0.25">
      <c r="A1129" s="7" t="s">
        <v>3863</v>
      </c>
      <c r="B1129" s="7" t="s">
        <v>3864</v>
      </c>
      <c r="C1129" s="7" t="s">
        <v>3865</v>
      </c>
      <c r="D1129" s="7" t="s">
        <v>1589</v>
      </c>
      <c r="E1129" s="7" t="s">
        <v>1585</v>
      </c>
      <c r="F1129" s="7" t="s">
        <v>1586</v>
      </c>
    </row>
    <row r="1130" spans="1:6" x14ac:dyDescent="0.25">
      <c r="A1130" s="7" t="s">
        <v>3866</v>
      </c>
      <c r="B1130" s="7" t="s">
        <v>3867</v>
      </c>
      <c r="C1130" s="7" t="s">
        <v>3868</v>
      </c>
      <c r="D1130" s="7" t="s">
        <v>1589</v>
      </c>
      <c r="E1130" s="7" t="s">
        <v>1585</v>
      </c>
      <c r="F1130" s="7" t="s">
        <v>1586</v>
      </c>
    </row>
    <row r="1131" spans="1:6" x14ac:dyDescent="0.25">
      <c r="A1131" s="7" t="s">
        <v>3869</v>
      </c>
      <c r="B1131" s="7" t="s">
        <v>3870</v>
      </c>
      <c r="C1131" s="7" t="s">
        <v>3871</v>
      </c>
      <c r="D1131" s="7" t="s">
        <v>2920</v>
      </c>
      <c r="E1131" s="7" t="s">
        <v>1593</v>
      </c>
      <c r="F1131" s="7" t="s">
        <v>1826</v>
      </c>
    </row>
    <row r="1132" spans="1:6" x14ac:dyDescent="0.25">
      <c r="A1132" s="7" t="s">
        <v>3872</v>
      </c>
      <c r="B1132" s="7" t="s">
        <v>3873</v>
      </c>
      <c r="C1132" s="7" t="s">
        <v>3874</v>
      </c>
      <c r="D1132" s="7" t="s">
        <v>1785</v>
      </c>
      <c r="E1132" s="7" t="s">
        <v>1614</v>
      </c>
      <c r="F1132" s="7" t="s">
        <v>2473</v>
      </c>
    </row>
    <row r="1133" spans="1:6" x14ac:dyDescent="0.25">
      <c r="A1133" s="7" t="s">
        <v>3875</v>
      </c>
      <c r="B1133" s="7" t="s">
        <v>3876</v>
      </c>
      <c r="C1133" s="7" t="s">
        <v>3874</v>
      </c>
      <c r="D1133" s="7" t="s">
        <v>1785</v>
      </c>
      <c r="E1133" s="7" t="s">
        <v>1614</v>
      </c>
      <c r="F1133" s="7" t="s">
        <v>2473</v>
      </c>
    </row>
    <row r="1134" spans="1:6" x14ac:dyDescent="0.25">
      <c r="A1134" s="7" t="s">
        <v>581</v>
      </c>
      <c r="B1134" s="7" t="s">
        <v>3877</v>
      </c>
      <c r="C1134" s="7" t="s">
        <v>3878</v>
      </c>
      <c r="D1134" s="7" t="s">
        <v>1589</v>
      </c>
      <c r="E1134" s="7" t="s">
        <v>1585</v>
      </c>
      <c r="F1134" s="7" t="s">
        <v>1586</v>
      </c>
    </row>
    <row r="1135" spans="1:6" x14ac:dyDescent="0.25">
      <c r="A1135" s="7" t="s">
        <v>3879</v>
      </c>
      <c r="B1135" s="7" t="s">
        <v>3880</v>
      </c>
      <c r="C1135" s="7" t="s">
        <v>3881</v>
      </c>
      <c r="D1135" s="7" t="s">
        <v>2892</v>
      </c>
      <c r="E1135" s="7" t="s">
        <v>1585</v>
      </c>
      <c r="F1135" s="7" t="s">
        <v>1597</v>
      </c>
    </row>
    <row r="1136" spans="1:6" x14ac:dyDescent="0.25">
      <c r="A1136" s="7" t="s">
        <v>3882</v>
      </c>
      <c r="B1136" s="7" t="s">
        <v>3883</v>
      </c>
      <c r="C1136" s="7" t="s">
        <v>3884</v>
      </c>
      <c r="D1136" s="7" t="s">
        <v>3047</v>
      </c>
      <c r="E1136" s="7" t="s">
        <v>1585</v>
      </c>
      <c r="F1136" s="7" t="s">
        <v>1586</v>
      </c>
    </row>
    <row r="1137" spans="1:6" ht="22.5" x14ac:dyDescent="0.25">
      <c r="A1137" s="7" t="s">
        <v>3885</v>
      </c>
      <c r="B1137" s="7" t="s">
        <v>3886</v>
      </c>
      <c r="C1137" s="7" t="s">
        <v>3887</v>
      </c>
      <c r="D1137" s="7" t="s">
        <v>2994</v>
      </c>
      <c r="E1137" s="7" t="s">
        <v>1609</v>
      </c>
      <c r="F1137" s="7" t="s">
        <v>1610</v>
      </c>
    </row>
    <row r="1138" spans="1:6" ht="22.5" x14ac:dyDescent="0.25">
      <c r="A1138" s="7" t="s">
        <v>3888</v>
      </c>
      <c r="B1138" s="7" t="s">
        <v>3889</v>
      </c>
      <c r="C1138" s="7" t="s">
        <v>3890</v>
      </c>
      <c r="D1138" s="7" t="s">
        <v>2994</v>
      </c>
      <c r="E1138" s="7" t="s">
        <v>1609</v>
      </c>
      <c r="F1138" s="7" t="s">
        <v>1610</v>
      </c>
    </row>
    <row r="1139" spans="1:6" ht="22.5" x14ac:dyDescent="0.25">
      <c r="A1139" s="7" t="s">
        <v>3891</v>
      </c>
      <c r="B1139" s="7" t="s">
        <v>3892</v>
      </c>
      <c r="C1139" s="7" t="s">
        <v>3893</v>
      </c>
      <c r="D1139" s="7" t="s">
        <v>2994</v>
      </c>
      <c r="E1139" s="7" t="s">
        <v>1609</v>
      </c>
      <c r="F1139" s="7" t="s">
        <v>1610</v>
      </c>
    </row>
    <row r="1140" spans="1:6" x14ac:dyDescent="0.25">
      <c r="A1140" s="7" t="s">
        <v>3894</v>
      </c>
      <c r="B1140" s="7" t="s">
        <v>3895</v>
      </c>
      <c r="C1140" s="7" t="s">
        <v>3896</v>
      </c>
      <c r="D1140" s="7" t="s">
        <v>3047</v>
      </c>
      <c r="E1140" s="7" t="s">
        <v>1585</v>
      </c>
      <c r="F1140" s="7" t="s">
        <v>1586</v>
      </c>
    </row>
    <row r="1141" spans="1:6" x14ac:dyDescent="0.25">
      <c r="A1141" s="7" t="s">
        <v>3897</v>
      </c>
      <c r="B1141" s="7" t="s">
        <v>3898</v>
      </c>
      <c r="C1141" s="7" t="s">
        <v>3899</v>
      </c>
      <c r="D1141" s="7" t="s">
        <v>2892</v>
      </c>
      <c r="E1141" s="7" t="s">
        <v>1585</v>
      </c>
      <c r="F1141" s="7" t="s">
        <v>1597</v>
      </c>
    </row>
    <row r="1142" spans="1:6" x14ac:dyDescent="0.25">
      <c r="A1142" s="7" t="s">
        <v>3900</v>
      </c>
      <c r="B1142" s="7" t="s">
        <v>3901</v>
      </c>
      <c r="C1142" s="7" t="s">
        <v>3902</v>
      </c>
      <c r="D1142" s="7" t="s">
        <v>2892</v>
      </c>
      <c r="E1142" s="7" t="s">
        <v>1585</v>
      </c>
      <c r="F1142" s="7" t="s">
        <v>1597</v>
      </c>
    </row>
    <row r="1143" spans="1:6" x14ac:dyDescent="0.25">
      <c r="A1143" s="7" t="s">
        <v>3903</v>
      </c>
      <c r="B1143" s="7" t="s">
        <v>3904</v>
      </c>
      <c r="C1143" s="7" t="s">
        <v>3905</v>
      </c>
      <c r="D1143" s="7" t="s">
        <v>2892</v>
      </c>
      <c r="E1143" s="7" t="s">
        <v>1585</v>
      </c>
      <c r="F1143" s="7" t="s">
        <v>1597</v>
      </c>
    </row>
    <row r="1144" spans="1:6" x14ac:dyDescent="0.25">
      <c r="A1144" s="7" t="s">
        <v>3906</v>
      </c>
      <c r="B1144" s="7" t="s">
        <v>3907</v>
      </c>
      <c r="C1144" s="7" t="s">
        <v>3908</v>
      </c>
      <c r="D1144" s="7" t="s">
        <v>2892</v>
      </c>
      <c r="E1144" s="7" t="s">
        <v>1585</v>
      </c>
      <c r="F1144" s="7" t="s">
        <v>1597</v>
      </c>
    </row>
    <row r="1145" spans="1:6" x14ac:dyDescent="0.25">
      <c r="A1145" s="7" t="s">
        <v>3909</v>
      </c>
      <c r="B1145" s="7" t="s">
        <v>3910</v>
      </c>
      <c r="C1145" s="7" t="s">
        <v>3911</v>
      </c>
      <c r="D1145" s="7" t="s">
        <v>2892</v>
      </c>
      <c r="E1145" s="7" t="s">
        <v>1585</v>
      </c>
      <c r="F1145" s="7" t="s">
        <v>1597</v>
      </c>
    </row>
    <row r="1146" spans="1:6" x14ac:dyDescent="0.25">
      <c r="A1146" s="7" t="s">
        <v>3912</v>
      </c>
      <c r="B1146" s="7" t="s">
        <v>3913</v>
      </c>
      <c r="C1146" s="7" t="s">
        <v>3914</v>
      </c>
      <c r="D1146" s="7" t="s">
        <v>2892</v>
      </c>
      <c r="E1146" s="7" t="s">
        <v>1585</v>
      </c>
      <c r="F1146" s="7" t="s">
        <v>1597</v>
      </c>
    </row>
    <row r="1147" spans="1:6" x14ac:dyDescent="0.25">
      <c r="A1147" s="7" t="s">
        <v>3915</v>
      </c>
      <c r="B1147" s="7" t="s">
        <v>3916</v>
      </c>
      <c r="C1147" s="7" t="s">
        <v>3917</v>
      </c>
      <c r="D1147" s="7" t="s">
        <v>2892</v>
      </c>
      <c r="E1147" s="7" t="s">
        <v>1585</v>
      </c>
      <c r="F1147" s="7" t="s">
        <v>1597</v>
      </c>
    </row>
    <row r="1148" spans="1:6" x14ac:dyDescent="0.25">
      <c r="A1148" s="7" t="s">
        <v>3918</v>
      </c>
      <c r="B1148" s="7" t="s">
        <v>3919</v>
      </c>
      <c r="C1148" s="7" t="s">
        <v>3920</v>
      </c>
      <c r="D1148" s="7" t="s">
        <v>2892</v>
      </c>
      <c r="E1148" s="7" t="s">
        <v>1585</v>
      </c>
      <c r="F1148" s="7" t="s">
        <v>1597</v>
      </c>
    </row>
    <row r="1149" spans="1:6" x14ac:dyDescent="0.25">
      <c r="A1149" s="7" t="s">
        <v>3921</v>
      </c>
      <c r="B1149" s="7" t="s">
        <v>3922</v>
      </c>
      <c r="C1149" s="7" t="s">
        <v>3923</v>
      </c>
      <c r="D1149" s="7" t="s">
        <v>2892</v>
      </c>
      <c r="E1149" s="7" t="s">
        <v>1585</v>
      </c>
      <c r="F1149" s="7" t="s">
        <v>1597</v>
      </c>
    </row>
    <row r="1150" spans="1:6" x14ac:dyDescent="0.25">
      <c r="A1150" s="7" t="s">
        <v>3924</v>
      </c>
      <c r="B1150" s="7" t="s">
        <v>3925</v>
      </c>
      <c r="C1150" s="7" t="s">
        <v>3926</v>
      </c>
      <c r="D1150" s="7" t="s">
        <v>1589</v>
      </c>
      <c r="E1150" s="7" t="s">
        <v>1585</v>
      </c>
      <c r="F1150" s="7" t="s">
        <v>1586</v>
      </c>
    </row>
    <row r="1151" spans="1:6" x14ac:dyDescent="0.25">
      <c r="A1151" s="7" t="s">
        <v>3927</v>
      </c>
      <c r="B1151" s="7" t="s">
        <v>3928</v>
      </c>
      <c r="C1151" s="7" t="s">
        <v>3929</v>
      </c>
      <c r="D1151" s="7" t="s">
        <v>3047</v>
      </c>
      <c r="E1151" s="7" t="s">
        <v>1585</v>
      </c>
      <c r="F1151" s="7" t="s">
        <v>1586</v>
      </c>
    </row>
    <row r="1152" spans="1:6" x14ac:dyDescent="0.25">
      <c r="A1152" s="7" t="s">
        <v>3930</v>
      </c>
      <c r="B1152" s="7" t="s">
        <v>3931</v>
      </c>
      <c r="C1152" s="7" t="s">
        <v>3932</v>
      </c>
      <c r="D1152" s="7" t="s">
        <v>1584</v>
      </c>
      <c r="E1152" s="7" t="s">
        <v>1585</v>
      </c>
      <c r="F1152" s="7" t="s">
        <v>1597</v>
      </c>
    </row>
    <row r="1153" spans="1:6" ht="22.5" x14ac:dyDescent="0.25">
      <c r="A1153" s="7" t="s">
        <v>3933</v>
      </c>
      <c r="B1153" s="7" t="s">
        <v>3934</v>
      </c>
      <c r="C1153" s="7" t="s">
        <v>3935</v>
      </c>
      <c r="D1153" s="7" t="s">
        <v>992</v>
      </c>
      <c r="E1153" s="7" t="s">
        <v>1614</v>
      </c>
      <c r="F1153" s="7" t="s">
        <v>2473</v>
      </c>
    </row>
    <row r="1154" spans="1:6" x14ac:dyDescent="0.25">
      <c r="A1154" s="7" t="s">
        <v>3936</v>
      </c>
      <c r="B1154" s="7" t="s">
        <v>3937</v>
      </c>
      <c r="C1154" s="7" t="s">
        <v>3938</v>
      </c>
      <c r="D1154" s="7" t="s">
        <v>1633</v>
      </c>
      <c r="E1154" s="7" t="s">
        <v>1634</v>
      </c>
      <c r="F1154" s="7" t="s">
        <v>2120</v>
      </c>
    </row>
    <row r="1155" spans="1:6" x14ac:dyDescent="0.25">
      <c r="A1155" s="7" t="s">
        <v>3939</v>
      </c>
      <c r="B1155" s="7" t="s">
        <v>3940</v>
      </c>
      <c r="C1155" s="7" t="s">
        <v>3941</v>
      </c>
      <c r="D1155" s="7" t="s">
        <v>1633</v>
      </c>
      <c r="E1155" s="7" t="s">
        <v>1634</v>
      </c>
      <c r="F1155" s="7" t="s">
        <v>2120</v>
      </c>
    </row>
    <row r="1156" spans="1:6" x14ac:dyDescent="0.25">
      <c r="A1156" s="7" t="s">
        <v>3942</v>
      </c>
      <c r="B1156" s="7" t="s">
        <v>3943</v>
      </c>
      <c r="C1156" s="7" t="s">
        <v>3944</v>
      </c>
      <c r="D1156" s="7" t="s">
        <v>1633</v>
      </c>
      <c r="E1156" s="7" t="s">
        <v>1634</v>
      </c>
      <c r="F1156" s="7" t="s">
        <v>2120</v>
      </c>
    </row>
    <row r="1157" spans="1:6" x14ac:dyDescent="0.25">
      <c r="A1157" s="7" t="s">
        <v>3945</v>
      </c>
      <c r="B1157" s="7" t="s">
        <v>3946</v>
      </c>
      <c r="C1157" s="7" t="s">
        <v>3947</v>
      </c>
      <c r="D1157" s="7" t="s">
        <v>1633</v>
      </c>
      <c r="E1157" s="7" t="s">
        <v>1634</v>
      </c>
      <c r="F1157" s="7" t="s">
        <v>2120</v>
      </c>
    </row>
    <row r="1158" spans="1:6" ht="22.5" x14ac:dyDescent="0.25">
      <c r="A1158" s="7" t="s">
        <v>3948</v>
      </c>
      <c r="B1158" s="7" t="s">
        <v>3949</v>
      </c>
      <c r="C1158" s="7" t="s">
        <v>3950</v>
      </c>
      <c r="D1158" s="7" t="s">
        <v>1584</v>
      </c>
      <c r="E1158" s="7" t="s">
        <v>1585</v>
      </c>
      <c r="F1158" s="7" t="s">
        <v>1586</v>
      </c>
    </row>
    <row r="1159" spans="1:6" x14ac:dyDescent="0.25">
      <c r="A1159" s="7" t="s">
        <v>3951</v>
      </c>
      <c r="B1159" s="7" t="s">
        <v>3952</v>
      </c>
      <c r="C1159" s="7" t="s">
        <v>3953</v>
      </c>
      <c r="D1159" s="7" t="s">
        <v>1584</v>
      </c>
      <c r="E1159" s="7" t="s">
        <v>1585</v>
      </c>
      <c r="F1159" s="7" t="s">
        <v>1586</v>
      </c>
    </row>
    <row r="1160" spans="1:6" x14ac:dyDescent="0.25">
      <c r="A1160" s="7" t="s">
        <v>3954</v>
      </c>
      <c r="B1160" s="7" t="s">
        <v>3955</v>
      </c>
      <c r="C1160" s="7" t="s">
        <v>3956</v>
      </c>
      <c r="D1160" s="7" t="s">
        <v>1584</v>
      </c>
      <c r="E1160" s="7" t="s">
        <v>1585</v>
      </c>
      <c r="F1160" s="7" t="s">
        <v>1586</v>
      </c>
    </row>
    <row r="1161" spans="1:6" ht="22.5" x14ac:dyDescent="0.25">
      <c r="A1161" s="7" t="s">
        <v>3957</v>
      </c>
      <c r="B1161" s="7" t="s">
        <v>3958</v>
      </c>
      <c r="C1161" s="7" t="s">
        <v>3959</v>
      </c>
      <c r="D1161" s="7" t="s">
        <v>1584</v>
      </c>
      <c r="E1161" s="7" t="s">
        <v>1585</v>
      </c>
      <c r="F1161" s="7" t="s">
        <v>1586</v>
      </c>
    </row>
    <row r="1162" spans="1:6" ht="22.5" x14ac:dyDescent="0.25">
      <c r="A1162" s="7" t="s">
        <v>3960</v>
      </c>
      <c r="B1162" s="7" t="s">
        <v>3961</v>
      </c>
      <c r="C1162" s="7" t="s">
        <v>3962</v>
      </c>
      <c r="D1162" s="7" t="s">
        <v>1584</v>
      </c>
      <c r="E1162" s="7" t="s">
        <v>1585</v>
      </c>
      <c r="F1162" s="7" t="s">
        <v>1586</v>
      </c>
    </row>
    <row r="1163" spans="1:6" x14ac:dyDescent="0.25">
      <c r="A1163" s="7" t="s">
        <v>3963</v>
      </c>
      <c r="B1163" s="7" t="s">
        <v>3964</v>
      </c>
      <c r="C1163" s="7" t="s">
        <v>3965</v>
      </c>
      <c r="D1163" s="7" t="s">
        <v>2920</v>
      </c>
      <c r="E1163" s="7" t="s">
        <v>1593</v>
      </c>
      <c r="F1163" s="7" t="s">
        <v>1826</v>
      </c>
    </row>
    <row r="1164" spans="1:6" x14ac:dyDescent="0.25">
      <c r="A1164" s="7" t="s">
        <v>3966</v>
      </c>
      <c r="B1164" s="7" t="s">
        <v>3967</v>
      </c>
      <c r="C1164" s="7" t="s">
        <v>3968</v>
      </c>
      <c r="D1164" s="7" t="s">
        <v>2920</v>
      </c>
      <c r="E1164" s="7" t="s">
        <v>1593</v>
      </c>
      <c r="F1164" s="7" t="s">
        <v>1826</v>
      </c>
    </row>
    <row r="1165" spans="1:6" x14ac:dyDescent="0.25">
      <c r="A1165" s="7" t="s">
        <v>3969</v>
      </c>
      <c r="B1165" s="7" t="s">
        <v>3970</v>
      </c>
      <c r="C1165" s="7" t="s">
        <v>3971</v>
      </c>
      <c r="D1165" s="7" t="s">
        <v>1633</v>
      </c>
      <c r="E1165" s="7" t="s">
        <v>1634</v>
      </c>
      <c r="F1165" s="7" t="s">
        <v>2154</v>
      </c>
    </row>
    <row r="1166" spans="1:6" x14ac:dyDescent="0.25">
      <c r="A1166" s="7" t="s">
        <v>3972</v>
      </c>
      <c r="B1166" s="7" t="s">
        <v>3973</v>
      </c>
      <c r="C1166" s="7" t="s">
        <v>3974</v>
      </c>
      <c r="D1166" s="7" t="s">
        <v>1633</v>
      </c>
      <c r="E1166" s="7" t="s">
        <v>1634</v>
      </c>
      <c r="F1166" s="7" t="s">
        <v>2145</v>
      </c>
    </row>
    <row r="1167" spans="1:6" ht="22.5" x14ac:dyDescent="0.25">
      <c r="A1167" s="7" t="s">
        <v>346</v>
      </c>
      <c r="B1167" s="7" t="s">
        <v>3975</v>
      </c>
      <c r="C1167" s="7" t="s">
        <v>3976</v>
      </c>
      <c r="D1167" s="7" t="s">
        <v>992</v>
      </c>
      <c r="E1167" s="7" t="s">
        <v>1614</v>
      </c>
      <c r="F1167" s="7" t="s">
        <v>1786</v>
      </c>
    </row>
    <row r="1168" spans="1:6" ht="22.5" x14ac:dyDescent="0.25">
      <c r="A1168" s="7" t="s">
        <v>3977</v>
      </c>
      <c r="B1168" s="7" t="s">
        <v>3978</v>
      </c>
      <c r="C1168" s="7" t="s">
        <v>3979</v>
      </c>
      <c r="D1168" s="7" t="s">
        <v>992</v>
      </c>
      <c r="E1168" s="7" t="s">
        <v>1614</v>
      </c>
      <c r="F1168" s="7" t="s">
        <v>1786</v>
      </c>
    </row>
    <row r="1169" spans="1:6" ht="22.5" x14ac:dyDescent="0.25">
      <c r="A1169" s="7" t="s">
        <v>264</v>
      </c>
      <c r="B1169" s="7" t="s">
        <v>3980</v>
      </c>
      <c r="C1169" s="7" t="s">
        <v>3981</v>
      </c>
      <c r="D1169" s="7" t="s">
        <v>992</v>
      </c>
      <c r="E1169" s="7" t="s">
        <v>1614</v>
      </c>
      <c r="F1169" s="7" t="s">
        <v>2473</v>
      </c>
    </row>
    <row r="1170" spans="1:6" x14ac:dyDescent="0.25">
      <c r="A1170" s="7" t="s">
        <v>3982</v>
      </c>
      <c r="B1170" s="7" t="s">
        <v>3983</v>
      </c>
      <c r="C1170" s="7" t="s">
        <v>3984</v>
      </c>
      <c r="D1170" s="7" t="s">
        <v>1633</v>
      </c>
      <c r="E1170" s="7" t="s">
        <v>1837</v>
      </c>
      <c r="F1170" s="7" t="s">
        <v>1838</v>
      </c>
    </row>
    <row r="1171" spans="1:6" x14ac:dyDescent="0.25">
      <c r="A1171" s="7" t="s">
        <v>3985</v>
      </c>
      <c r="B1171" s="7" t="s">
        <v>3986</v>
      </c>
      <c r="C1171" s="7" t="s">
        <v>3987</v>
      </c>
      <c r="D1171" s="7" t="s">
        <v>1589</v>
      </c>
      <c r="E1171" s="7" t="s">
        <v>1585</v>
      </c>
      <c r="F1171" s="7" t="s">
        <v>1586</v>
      </c>
    </row>
    <row r="1172" spans="1:6" ht="22.5" x14ac:dyDescent="0.25">
      <c r="A1172" s="7" t="s">
        <v>3988</v>
      </c>
      <c r="B1172" s="7" t="s">
        <v>3989</v>
      </c>
      <c r="C1172" s="7" t="s">
        <v>3990</v>
      </c>
      <c r="D1172" s="7" t="s">
        <v>2515</v>
      </c>
      <c r="E1172" s="7" t="s">
        <v>1585</v>
      </c>
      <c r="F1172" s="7" t="s">
        <v>2548</v>
      </c>
    </row>
    <row r="1173" spans="1:6" x14ac:dyDescent="0.25">
      <c r="A1173" s="7" t="s">
        <v>3991</v>
      </c>
      <c r="B1173" s="7" t="s">
        <v>3992</v>
      </c>
      <c r="C1173" s="7" t="s">
        <v>3993</v>
      </c>
      <c r="D1173" s="7" t="s">
        <v>2515</v>
      </c>
      <c r="E1173" s="7" t="s">
        <v>1585</v>
      </c>
      <c r="F1173" s="7" t="s">
        <v>2548</v>
      </c>
    </row>
    <row r="1174" spans="1:6" x14ac:dyDescent="0.25">
      <c r="A1174" s="7" t="s">
        <v>3994</v>
      </c>
      <c r="B1174" s="7" t="s">
        <v>3995</v>
      </c>
      <c r="C1174" s="7" t="s">
        <v>3996</v>
      </c>
      <c r="D1174" s="7" t="s">
        <v>2515</v>
      </c>
      <c r="E1174" s="7" t="s">
        <v>1585</v>
      </c>
      <c r="F1174" s="7" t="s">
        <v>2548</v>
      </c>
    </row>
    <row r="1175" spans="1:6" x14ac:dyDescent="0.25">
      <c r="A1175" s="7" t="s">
        <v>3997</v>
      </c>
      <c r="B1175" s="7" t="s">
        <v>3998</v>
      </c>
      <c r="C1175" s="7" t="s">
        <v>3996</v>
      </c>
      <c r="D1175" s="7" t="s">
        <v>2515</v>
      </c>
      <c r="E1175" s="7" t="s">
        <v>1585</v>
      </c>
      <c r="F1175" s="7" t="s">
        <v>2548</v>
      </c>
    </row>
    <row r="1176" spans="1:6" x14ac:dyDescent="0.25">
      <c r="A1176" s="7" t="s">
        <v>682</v>
      </c>
      <c r="B1176" s="7" t="s">
        <v>3999</v>
      </c>
      <c r="C1176" s="7" t="s">
        <v>4000</v>
      </c>
      <c r="D1176" s="7" t="s">
        <v>3421</v>
      </c>
      <c r="E1176" s="7" t="s">
        <v>1585</v>
      </c>
      <c r="F1176" s="7" t="s">
        <v>1597</v>
      </c>
    </row>
    <row r="1177" spans="1:6" x14ac:dyDescent="0.25">
      <c r="A1177" s="7" t="s">
        <v>4001</v>
      </c>
      <c r="B1177" s="7" t="s">
        <v>4002</v>
      </c>
      <c r="C1177" s="7" t="s">
        <v>4003</v>
      </c>
      <c r="D1177" s="7" t="s">
        <v>1669</v>
      </c>
      <c r="E1177" s="7" t="s">
        <v>1585</v>
      </c>
      <c r="F1177" s="7" t="s">
        <v>1586</v>
      </c>
    </row>
    <row r="1178" spans="1:6" x14ac:dyDescent="0.25">
      <c r="A1178" s="7" t="s">
        <v>4004</v>
      </c>
      <c r="B1178" s="7" t="s">
        <v>4005</v>
      </c>
      <c r="C1178" s="7" t="s">
        <v>4006</v>
      </c>
      <c r="D1178" s="7" t="s">
        <v>1669</v>
      </c>
      <c r="E1178" s="7" t="s">
        <v>1585</v>
      </c>
      <c r="F1178" s="7" t="s">
        <v>1586</v>
      </c>
    </row>
    <row r="1179" spans="1:6" x14ac:dyDescent="0.25">
      <c r="A1179" s="7" t="s">
        <v>4007</v>
      </c>
      <c r="B1179" s="7" t="s">
        <v>4008</v>
      </c>
      <c r="C1179" s="7" t="s">
        <v>4009</v>
      </c>
      <c r="D1179" s="7" t="s">
        <v>1669</v>
      </c>
      <c r="E1179" s="7" t="s">
        <v>1585</v>
      </c>
      <c r="F1179" s="7" t="s">
        <v>1586</v>
      </c>
    </row>
    <row r="1180" spans="1:6" x14ac:dyDescent="0.25">
      <c r="A1180" s="7" t="s">
        <v>4010</v>
      </c>
      <c r="B1180" s="7" t="s">
        <v>4011</v>
      </c>
      <c r="C1180" s="7" t="s">
        <v>4012</v>
      </c>
      <c r="D1180" s="7" t="s">
        <v>1715</v>
      </c>
      <c r="E1180" s="7" t="s">
        <v>1593</v>
      </c>
      <c r="F1180" s="7" t="s">
        <v>1594</v>
      </c>
    </row>
    <row r="1181" spans="1:6" x14ac:dyDescent="0.25">
      <c r="A1181" s="7" t="s">
        <v>4013</v>
      </c>
      <c r="B1181" s="7" t="s">
        <v>4014</v>
      </c>
      <c r="C1181" s="7" t="s">
        <v>4015</v>
      </c>
      <c r="D1181" s="7" t="s">
        <v>1715</v>
      </c>
      <c r="E1181" s="7" t="s">
        <v>1593</v>
      </c>
      <c r="F1181" s="7" t="s">
        <v>1594</v>
      </c>
    </row>
    <row r="1182" spans="1:6" x14ac:dyDescent="0.25">
      <c r="A1182" s="7" t="s">
        <v>4016</v>
      </c>
      <c r="B1182" s="7" t="s">
        <v>4017</v>
      </c>
      <c r="C1182" s="7" t="s">
        <v>4015</v>
      </c>
      <c r="D1182" s="7" t="s">
        <v>1715</v>
      </c>
      <c r="E1182" s="7" t="s">
        <v>1593</v>
      </c>
      <c r="F1182" s="7" t="s">
        <v>1594</v>
      </c>
    </row>
    <row r="1183" spans="1:6" x14ac:dyDescent="0.25">
      <c r="A1183" s="7" t="s">
        <v>92</v>
      </c>
      <c r="B1183" s="7" t="s">
        <v>4018</v>
      </c>
      <c r="C1183" s="7" t="s">
        <v>4019</v>
      </c>
      <c r="D1183" s="7" t="s">
        <v>1669</v>
      </c>
      <c r="E1183" s="7" t="s">
        <v>1585</v>
      </c>
      <c r="F1183" s="7" t="s">
        <v>1597</v>
      </c>
    </row>
    <row r="1184" spans="1:6" x14ac:dyDescent="0.25">
      <c r="A1184" s="7" t="s">
        <v>77</v>
      </c>
      <c r="B1184" s="7" t="s">
        <v>4020</v>
      </c>
      <c r="C1184" s="7" t="s">
        <v>4021</v>
      </c>
      <c r="D1184" s="7" t="s">
        <v>1669</v>
      </c>
      <c r="E1184" s="7" t="s">
        <v>1585</v>
      </c>
      <c r="F1184" s="7" t="s">
        <v>1597</v>
      </c>
    </row>
    <row r="1185" spans="1:6" x14ac:dyDescent="0.25">
      <c r="A1185" s="7" t="s">
        <v>4022</v>
      </c>
      <c r="B1185" s="7" t="s">
        <v>4023</v>
      </c>
      <c r="C1185" s="7" t="s">
        <v>4021</v>
      </c>
      <c r="D1185" s="7" t="s">
        <v>1669</v>
      </c>
      <c r="E1185" s="7" t="s">
        <v>1585</v>
      </c>
      <c r="F1185" s="7" t="s">
        <v>1597</v>
      </c>
    </row>
    <row r="1186" spans="1:6" x14ac:dyDescent="0.25">
      <c r="A1186" s="7" t="s">
        <v>4024</v>
      </c>
      <c r="B1186" s="7" t="s">
        <v>4025</v>
      </c>
      <c r="C1186" s="7" t="s">
        <v>4026</v>
      </c>
      <c r="D1186" s="7" t="s">
        <v>1669</v>
      </c>
      <c r="E1186" s="7" t="s">
        <v>1585</v>
      </c>
      <c r="F1186" s="7" t="s">
        <v>1597</v>
      </c>
    </row>
    <row r="1187" spans="1:6" x14ac:dyDescent="0.25">
      <c r="A1187" s="7" t="s">
        <v>80</v>
      </c>
      <c r="B1187" s="7" t="s">
        <v>4027</v>
      </c>
      <c r="C1187" s="7" t="s">
        <v>4026</v>
      </c>
      <c r="D1187" s="7" t="s">
        <v>1669</v>
      </c>
      <c r="E1187" s="7" t="s">
        <v>1585</v>
      </c>
      <c r="F1187" s="7" t="s">
        <v>1597</v>
      </c>
    </row>
    <row r="1188" spans="1:6" x14ac:dyDescent="0.25">
      <c r="A1188" s="7" t="s">
        <v>86</v>
      </c>
      <c r="B1188" s="7" t="s">
        <v>4028</v>
      </c>
      <c r="C1188" s="7" t="s">
        <v>4029</v>
      </c>
      <c r="D1188" s="7" t="s">
        <v>1669</v>
      </c>
      <c r="E1188" s="7" t="s">
        <v>1585</v>
      </c>
      <c r="F1188" s="7" t="s">
        <v>1597</v>
      </c>
    </row>
    <row r="1189" spans="1:6" x14ac:dyDescent="0.25">
      <c r="A1189" s="7" t="s">
        <v>89</v>
      </c>
      <c r="B1189" s="7" t="s">
        <v>4030</v>
      </c>
      <c r="C1189" s="7" t="s">
        <v>4031</v>
      </c>
      <c r="D1189" s="7" t="s">
        <v>1669</v>
      </c>
      <c r="E1189" s="7" t="s">
        <v>1585</v>
      </c>
      <c r="F1189" s="7" t="s">
        <v>1597</v>
      </c>
    </row>
    <row r="1190" spans="1:6" x14ac:dyDescent="0.25">
      <c r="A1190" s="7" t="s">
        <v>510</v>
      </c>
      <c r="B1190" s="7" t="s">
        <v>4032</v>
      </c>
      <c r="C1190" s="7" t="s">
        <v>4033</v>
      </c>
      <c r="D1190" s="7" t="s">
        <v>1669</v>
      </c>
      <c r="E1190" s="7" t="s">
        <v>1585</v>
      </c>
      <c r="F1190" s="7" t="s">
        <v>1586</v>
      </c>
    </row>
    <row r="1191" spans="1:6" x14ac:dyDescent="0.25">
      <c r="A1191" s="7" t="s">
        <v>513</v>
      </c>
      <c r="B1191" s="7" t="s">
        <v>4034</v>
      </c>
      <c r="C1191" s="7" t="s">
        <v>4035</v>
      </c>
      <c r="D1191" s="7" t="s">
        <v>1669</v>
      </c>
      <c r="E1191" s="7" t="s">
        <v>1585</v>
      </c>
      <c r="F1191" s="7" t="s">
        <v>1586</v>
      </c>
    </row>
    <row r="1192" spans="1:6" x14ac:dyDescent="0.25">
      <c r="A1192" s="7" t="s">
        <v>507</v>
      </c>
      <c r="B1192" s="7" t="s">
        <v>4036</v>
      </c>
      <c r="C1192" s="7" t="s">
        <v>4037</v>
      </c>
      <c r="D1192" s="7" t="s">
        <v>1669</v>
      </c>
      <c r="E1192" s="7" t="s">
        <v>1585</v>
      </c>
      <c r="F1192" s="7" t="s">
        <v>1586</v>
      </c>
    </row>
    <row r="1193" spans="1:6" x14ac:dyDescent="0.25">
      <c r="A1193" s="7" t="s">
        <v>252</v>
      </c>
      <c r="B1193" s="7" t="s">
        <v>4038</v>
      </c>
      <c r="C1193" s="7" t="s">
        <v>4039</v>
      </c>
      <c r="D1193" s="7" t="s">
        <v>1715</v>
      </c>
      <c r="E1193" s="7" t="s">
        <v>1593</v>
      </c>
      <c r="F1193" s="7" t="s">
        <v>1826</v>
      </c>
    </row>
    <row r="1194" spans="1:6" x14ac:dyDescent="0.25">
      <c r="A1194" s="7" t="s">
        <v>4040</v>
      </c>
      <c r="B1194" s="7" t="s">
        <v>4041</v>
      </c>
      <c r="C1194" s="7" t="s">
        <v>4042</v>
      </c>
      <c r="D1194" s="7" t="s">
        <v>1669</v>
      </c>
      <c r="E1194" s="7" t="s">
        <v>1585</v>
      </c>
      <c r="F1194" s="7" t="s">
        <v>1597</v>
      </c>
    </row>
    <row r="1195" spans="1:6" x14ac:dyDescent="0.25">
      <c r="A1195" s="7" t="s">
        <v>4043</v>
      </c>
      <c r="B1195" s="7" t="s">
        <v>4044</v>
      </c>
      <c r="C1195" s="7" t="s">
        <v>4045</v>
      </c>
      <c r="D1195" s="7" t="s">
        <v>1669</v>
      </c>
      <c r="E1195" s="7" t="s">
        <v>1585</v>
      </c>
      <c r="F1195" s="7" t="s">
        <v>1597</v>
      </c>
    </row>
    <row r="1196" spans="1:6" x14ac:dyDescent="0.25">
      <c r="A1196" s="7" t="s">
        <v>4046</v>
      </c>
      <c r="B1196" s="7" t="s">
        <v>4047</v>
      </c>
      <c r="C1196" s="7" t="s">
        <v>4048</v>
      </c>
      <c r="D1196" s="7" t="s">
        <v>1669</v>
      </c>
      <c r="E1196" s="7" t="s">
        <v>1585</v>
      </c>
      <c r="F1196" s="7" t="s">
        <v>1597</v>
      </c>
    </row>
    <row r="1197" spans="1:6" x14ac:dyDescent="0.25">
      <c r="A1197" s="7" t="s">
        <v>4049</v>
      </c>
      <c r="B1197" s="7" t="s">
        <v>4050</v>
      </c>
      <c r="C1197" s="7" t="s">
        <v>4051</v>
      </c>
      <c r="D1197" s="7" t="s">
        <v>1669</v>
      </c>
      <c r="E1197" s="7" t="s">
        <v>1585</v>
      </c>
      <c r="F1197" s="7" t="s">
        <v>1597</v>
      </c>
    </row>
    <row r="1198" spans="1:6" x14ac:dyDescent="0.25">
      <c r="A1198" s="7" t="s">
        <v>4052</v>
      </c>
      <c r="B1198" s="7" t="s">
        <v>4053</v>
      </c>
      <c r="C1198" s="7" t="s">
        <v>4054</v>
      </c>
      <c r="D1198" s="7" t="s">
        <v>1669</v>
      </c>
      <c r="E1198" s="7" t="s">
        <v>1585</v>
      </c>
      <c r="F1198" s="7" t="s">
        <v>1597</v>
      </c>
    </row>
    <row r="1199" spans="1:6" x14ac:dyDescent="0.25">
      <c r="A1199" s="7" t="s">
        <v>4055</v>
      </c>
      <c r="B1199" s="7" t="s">
        <v>4056</v>
      </c>
      <c r="C1199" s="7" t="s">
        <v>4057</v>
      </c>
      <c r="D1199" s="7" t="s">
        <v>1669</v>
      </c>
      <c r="E1199" s="7" t="s">
        <v>1585</v>
      </c>
      <c r="F1199" s="7" t="s">
        <v>1586</v>
      </c>
    </row>
    <row r="1200" spans="1:6" x14ac:dyDescent="0.25">
      <c r="A1200" s="7" t="s">
        <v>4058</v>
      </c>
      <c r="B1200" s="7" t="s">
        <v>4059</v>
      </c>
      <c r="C1200" s="7" t="s">
        <v>4060</v>
      </c>
      <c r="D1200" s="7" t="s">
        <v>1669</v>
      </c>
      <c r="E1200" s="7" t="s">
        <v>1585</v>
      </c>
      <c r="F1200" s="7" t="s">
        <v>1586</v>
      </c>
    </row>
    <row r="1201" spans="1:6" x14ac:dyDescent="0.25">
      <c r="A1201" s="7" t="s">
        <v>4061</v>
      </c>
      <c r="B1201" s="7" t="s">
        <v>4062</v>
      </c>
      <c r="C1201" s="7" t="s">
        <v>4063</v>
      </c>
      <c r="D1201" s="7" t="s">
        <v>1669</v>
      </c>
      <c r="E1201" s="7" t="s">
        <v>1585</v>
      </c>
      <c r="F1201" s="7" t="s">
        <v>1586</v>
      </c>
    </row>
    <row r="1202" spans="1:6" x14ac:dyDescent="0.25">
      <c r="A1202" s="7" t="s">
        <v>4064</v>
      </c>
      <c r="B1202" s="7" t="s">
        <v>4065</v>
      </c>
      <c r="C1202" s="7" t="s">
        <v>4066</v>
      </c>
      <c r="D1202" s="7" t="s">
        <v>1715</v>
      </c>
      <c r="E1202" s="7" t="s">
        <v>1593</v>
      </c>
      <c r="F1202" s="7" t="s">
        <v>1826</v>
      </c>
    </row>
    <row r="1203" spans="1:6" x14ac:dyDescent="0.25">
      <c r="A1203" s="7" t="s">
        <v>4067</v>
      </c>
      <c r="B1203" s="7" t="s">
        <v>4068</v>
      </c>
      <c r="C1203" s="7" t="s">
        <v>4069</v>
      </c>
      <c r="D1203" s="7" t="s">
        <v>1744</v>
      </c>
      <c r="E1203" s="7" t="s">
        <v>1593</v>
      </c>
      <c r="F1203" s="7" t="s">
        <v>1594</v>
      </c>
    </row>
    <row r="1204" spans="1:6" x14ac:dyDescent="0.25">
      <c r="A1204" s="7" t="s">
        <v>4070</v>
      </c>
      <c r="B1204" s="7" t="s">
        <v>4071</v>
      </c>
      <c r="C1204" s="7" t="s">
        <v>4072</v>
      </c>
      <c r="D1204" s="7" t="s">
        <v>1633</v>
      </c>
      <c r="E1204" s="7" t="s">
        <v>1634</v>
      </c>
      <c r="F1204" s="7" t="s">
        <v>1635</v>
      </c>
    </row>
    <row r="1205" spans="1:6" x14ac:dyDescent="0.25">
      <c r="A1205" s="7" t="s">
        <v>4073</v>
      </c>
      <c r="B1205" s="7" t="s">
        <v>4074</v>
      </c>
      <c r="C1205" s="7" t="s">
        <v>4075</v>
      </c>
      <c r="D1205" s="7" t="s">
        <v>2892</v>
      </c>
      <c r="E1205" s="7" t="s">
        <v>1585</v>
      </c>
      <c r="F1205" s="7" t="s">
        <v>1597</v>
      </c>
    </row>
    <row r="1206" spans="1:6" ht="22.5" x14ac:dyDescent="0.25">
      <c r="A1206" s="7" t="s">
        <v>4076</v>
      </c>
      <c r="B1206" s="7" t="s">
        <v>4077</v>
      </c>
      <c r="C1206" s="7" t="s">
        <v>4078</v>
      </c>
      <c r="D1206" s="7" t="s">
        <v>1584</v>
      </c>
      <c r="E1206" s="7" t="s">
        <v>1585</v>
      </c>
      <c r="F1206" s="7" t="s">
        <v>1586</v>
      </c>
    </row>
    <row r="1207" spans="1:6" ht="22.5" x14ac:dyDescent="0.25">
      <c r="A1207" s="7" t="s">
        <v>4079</v>
      </c>
      <c r="B1207" s="7" t="s">
        <v>4080</v>
      </c>
      <c r="C1207" s="7" t="s">
        <v>4081</v>
      </c>
      <c r="D1207" s="7" t="s">
        <v>1584</v>
      </c>
      <c r="E1207" s="7" t="s">
        <v>1585</v>
      </c>
      <c r="F1207" s="7" t="s">
        <v>1597</v>
      </c>
    </row>
    <row r="1208" spans="1:6" ht="22.5" x14ac:dyDescent="0.25">
      <c r="A1208" s="7" t="s">
        <v>4082</v>
      </c>
      <c r="B1208" s="7" t="s">
        <v>4083</v>
      </c>
      <c r="C1208" s="7" t="s">
        <v>4084</v>
      </c>
      <c r="D1208" s="7" t="s">
        <v>1584</v>
      </c>
      <c r="E1208" s="7" t="s">
        <v>1585</v>
      </c>
      <c r="F1208" s="7" t="s">
        <v>1586</v>
      </c>
    </row>
    <row r="1209" spans="1:6" x14ac:dyDescent="0.25">
      <c r="A1209" s="7" t="s">
        <v>4085</v>
      </c>
      <c r="B1209" s="7" t="s">
        <v>4086</v>
      </c>
      <c r="C1209" s="7" t="s">
        <v>4087</v>
      </c>
      <c r="D1209" s="7" t="s">
        <v>1584</v>
      </c>
      <c r="E1209" s="7" t="s">
        <v>1585</v>
      </c>
      <c r="F1209" s="7" t="s">
        <v>1586</v>
      </c>
    </row>
    <row r="1210" spans="1:6" x14ac:dyDescent="0.25">
      <c r="A1210" s="7" t="s">
        <v>246</v>
      </c>
      <c r="B1210" s="7" t="s">
        <v>4088</v>
      </c>
      <c r="C1210" s="7" t="s">
        <v>4089</v>
      </c>
      <c r="D1210" s="7" t="s">
        <v>3405</v>
      </c>
      <c r="E1210" s="7" t="s">
        <v>1593</v>
      </c>
      <c r="F1210" s="7" t="s">
        <v>1826</v>
      </c>
    </row>
    <row r="1211" spans="1:6" x14ac:dyDescent="0.25">
      <c r="A1211" s="7" t="s">
        <v>4090</v>
      </c>
      <c r="B1211" s="7" t="s">
        <v>4091</v>
      </c>
      <c r="C1211" s="7" t="s">
        <v>4092</v>
      </c>
      <c r="D1211" s="7" t="s">
        <v>1592</v>
      </c>
      <c r="E1211" s="7" t="s">
        <v>1593</v>
      </c>
      <c r="F1211" s="7" t="s">
        <v>1594</v>
      </c>
    </row>
    <row r="1212" spans="1:6" x14ac:dyDescent="0.25">
      <c r="A1212" s="7" t="s">
        <v>416</v>
      </c>
      <c r="B1212" s="7" t="s">
        <v>4093</v>
      </c>
      <c r="C1212" s="7" t="s">
        <v>4094</v>
      </c>
      <c r="D1212" s="7" t="s">
        <v>1592</v>
      </c>
      <c r="E1212" s="7" t="s">
        <v>1593</v>
      </c>
      <c r="F1212" s="7" t="s">
        <v>1594</v>
      </c>
    </row>
    <row r="1213" spans="1:6" x14ac:dyDescent="0.25">
      <c r="A1213" s="7" t="s">
        <v>675</v>
      </c>
      <c r="B1213" s="7" t="s">
        <v>4095</v>
      </c>
      <c r="C1213" s="7" t="s">
        <v>4096</v>
      </c>
      <c r="D1213" s="7" t="s">
        <v>1790</v>
      </c>
      <c r="E1213" s="7" t="s">
        <v>1585</v>
      </c>
      <c r="F1213" s="7" t="s">
        <v>1586</v>
      </c>
    </row>
    <row r="1214" spans="1:6" x14ac:dyDescent="0.25">
      <c r="A1214" s="7" t="s">
        <v>4097</v>
      </c>
      <c r="B1214" s="7" t="s">
        <v>4098</v>
      </c>
      <c r="C1214" s="7" t="s">
        <v>4099</v>
      </c>
      <c r="D1214" s="7" t="s">
        <v>1592</v>
      </c>
      <c r="E1214" s="7" t="s">
        <v>1593</v>
      </c>
      <c r="F1214" s="7" t="s">
        <v>1826</v>
      </c>
    </row>
    <row r="1215" spans="1:6" ht="22.5" x14ac:dyDescent="0.25">
      <c r="A1215" s="7" t="s">
        <v>4100</v>
      </c>
      <c r="B1215" s="7" t="s">
        <v>4101</v>
      </c>
      <c r="C1215" s="7" t="s">
        <v>4102</v>
      </c>
      <c r="D1215" s="7" t="s">
        <v>1790</v>
      </c>
      <c r="E1215" s="7" t="s">
        <v>1585</v>
      </c>
      <c r="F1215" s="7" t="s">
        <v>1597</v>
      </c>
    </row>
    <row r="1216" spans="1:6" x14ac:dyDescent="0.25">
      <c r="A1216" s="7" t="s">
        <v>4103</v>
      </c>
      <c r="B1216" s="7" t="s">
        <v>4104</v>
      </c>
      <c r="C1216" s="7" t="s">
        <v>4105</v>
      </c>
      <c r="D1216" s="7" t="s">
        <v>1592</v>
      </c>
      <c r="E1216" s="7" t="s">
        <v>1593</v>
      </c>
      <c r="F1216" s="7" t="s">
        <v>1594</v>
      </c>
    </row>
    <row r="1217" spans="1:6" x14ac:dyDescent="0.25">
      <c r="A1217" s="7" t="s">
        <v>4106</v>
      </c>
      <c r="B1217" s="7" t="s">
        <v>4107</v>
      </c>
      <c r="C1217" s="7" t="s">
        <v>4108</v>
      </c>
      <c r="D1217" s="7" t="s">
        <v>1584</v>
      </c>
      <c r="E1217" s="7" t="s">
        <v>1585</v>
      </c>
      <c r="F1217" s="7" t="s">
        <v>1597</v>
      </c>
    </row>
    <row r="1218" spans="1:6" x14ac:dyDescent="0.25">
      <c r="A1218" s="7" t="s">
        <v>4109</v>
      </c>
      <c r="B1218" s="7" t="s">
        <v>4110</v>
      </c>
      <c r="C1218" s="7" t="s">
        <v>4108</v>
      </c>
      <c r="D1218" s="7" t="s">
        <v>1584</v>
      </c>
      <c r="E1218" s="7" t="s">
        <v>1585</v>
      </c>
      <c r="F1218" s="7" t="s">
        <v>1597</v>
      </c>
    </row>
    <row r="1219" spans="1:6" x14ac:dyDescent="0.25">
      <c r="A1219" s="7" t="s">
        <v>4111</v>
      </c>
      <c r="B1219" s="7" t="s">
        <v>4112</v>
      </c>
      <c r="C1219" s="7" t="s">
        <v>4113</v>
      </c>
      <c r="D1219" s="7" t="s">
        <v>1584</v>
      </c>
      <c r="E1219" s="7" t="s">
        <v>1585</v>
      </c>
      <c r="F1219" s="7" t="s">
        <v>1597</v>
      </c>
    </row>
    <row r="1220" spans="1:6" ht="22.5" x14ac:dyDescent="0.25">
      <c r="A1220" s="7" t="s">
        <v>4114</v>
      </c>
      <c r="B1220" s="7" t="s">
        <v>4115</v>
      </c>
      <c r="C1220" s="7" t="s">
        <v>4116</v>
      </c>
      <c r="D1220" s="7" t="s">
        <v>1584</v>
      </c>
      <c r="E1220" s="7" t="s">
        <v>1585</v>
      </c>
      <c r="F1220" s="7" t="s">
        <v>1597</v>
      </c>
    </row>
    <row r="1221" spans="1:6" x14ac:dyDescent="0.25">
      <c r="A1221" s="7" t="s">
        <v>4117</v>
      </c>
      <c r="B1221" s="7" t="s">
        <v>4118</v>
      </c>
      <c r="C1221" s="7" t="s">
        <v>4119</v>
      </c>
      <c r="D1221" s="7" t="s">
        <v>1584</v>
      </c>
      <c r="E1221" s="7" t="s">
        <v>1585</v>
      </c>
      <c r="F1221" s="7" t="s">
        <v>1597</v>
      </c>
    </row>
    <row r="1222" spans="1:6" x14ac:dyDescent="0.25">
      <c r="A1222" s="7" t="s">
        <v>4120</v>
      </c>
      <c r="B1222" s="7" t="s">
        <v>4121</v>
      </c>
      <c r="C1222" s="7" t="s">
        <v>4122</v>
      </c>
      <c r="D1222" s="7" t="s">
        <v>1584</v>
      </c>
      <c r="E1222" s="7" t="s">
        <v>1585</v>
      </c>
      <c r="F1222" s="7" t="s">
        <v>1597</v>
      </c>
    </row>
    <row r="1223" spans="1:6" ht="22.5" x14ac:dyDescent="0.25">
      <c r="A1223" s="7" t="s">
        <v>4123</v>
      </c>
      <c r="B1223" s="7" t="s">
        <v>4124</v>
      </c>
      <c r="C1223" s="7" t="s">
        <v>4125</v>
      </c>
      <c r="D1223" s="7" t="s">
        <v>1584</v>
      </c>
      <c r="E1223" s="7" t="s">
        <v>1585</v>
      </c>
      <c r="F1223" s="7" t="s">
        <v>1597</v>
      </c>
    </row>
    <row r="1224" spans="1:6" ht="22.5" x14ac:dyDescent="0.25">
      <c r="A1224" s="7" t="s">
        <v>4126</v>
      </c>
      <c r="B1224" s="7" t="s">
        <v>4127</v>
      </c>
      <c r="C1224" s="7" t="s">
        <v>4128</v>
      </c>
      <c r="D1224" s="7" t="s">
        <v>1584</v>
      </c>
      <c r="E1224" s="7" t="s">
        <v>1585</v>
      </c>
      <c r="F1224" s="7" t="s">
        <v>1597</v>
      </c>
    </row>
    <row r="1225" spans="1:6" x14ac:dyDescent="0.25">
      <c r="A1225" s="7" t="s">
        <v>590</v>
      </c>
      <c r="B1225" s="7" t="s">
        <v>4129</v>
      </c>
      <c r="C1225" s="7" t="s">
        <v>4130</v>
      </c>
      <c r="D1225" s="7" t="s">
        <v>1645</v>
      </c>
      <c r="E1225" s="7" t="s">
        <v>1585</v>
      </c>
      <c r="F1225" s="7" t="s">
        <v>1586</v>
      </c>
    </row>
    <row r="1226" spans="1:6" x14ac:dyDescent="0.25">
      <c r="A1226" s="7" t="s">
        <v>587</v>
      </c>
      <c r="B1226" s="7" t="s">
        <v>4131</v>
      </c>
      <c r="C1226" s="7" t="s">
        <v>4132</v>
      </c>
      <c r="D1226" s="7" t="s">
        <v>1645</v>
      </c>
      <c r="E1226" s="7" t="s">
        <v>1585</v>
      </c>
      <c r="F1226" s="7" t="s">
        <v>1586</v>
      </c>
    </row>
    <row r="1227" spans="1:6" x14ac:dyDescent="0.25">
      <c r="A1227" s="7" t="s">
        <v>299</v>
      </c>
      <c r="B1227" s="7" t="s">
        <v>4133</v>
      </c>
      <c r="C1227" s="7" t="s">
        <v>4134</v>
      </c>
      <c r="D1227" s="7" t="s">
        <v>2664</v>
      </c>
      <c r="E1227" s="7" t="s">
        <v>1593</v>
      </c>
      <c r="F1227" s="7" t="s">
        <v>1826</v>
      </c>
    </row>
    <row r="1228" spans="1:6" x14ac:dyDescent="0.25">
      <c r="A1228" s="7" t="s">
        <v>584</v>
      </c>
      <c r="B1228" s="7" t="s">
        <v>4135</v>
      </c>
      <c r="C1228" s="7" t="s">
        <v>4136</v>
      </c>
      <c r="D1228" s="7" t="s">
        <v>1645</v>
      </c>
      <c r="E1228" s="7" t="s">
        <v>1585</v>
      </c>
      <c r="F1228" s="7" t="s">
        <v>1586</v>
      </c>
    </row>
    <row r="1229" spans="1:6" x14ac:dyDescent="0.25">
      <c r="A1229" s="7" t="s">
        <v>593</v>
      </c>
      <c r="B1229" s="7" t="s">
        <v>4137</v>
      </c>
      <c r="C1229" s="7" t="s">
        <v>4138</v>
      </c>
      <c r="D1229" s="7" t="s">
        <v>1645</v>
      </c>
      <c r="E1229" s="7" t="s">
        <v>1585</v>
      </c>
      <c r="F1229" s="7" t="s">
        <v>1586</v>
      </c>
    </row>
    <row r="1230" spans="1:6" ht="22.5" x14ac:dyDescent="0.25">
      <c r="A1230" s="7" t="s">
        <v>4139</v>
      </c>
      <c r="B1230" s="7" t="s">
        <v>4140</v>
      </c>
      <c r="C1230" s="7" t="s">
        <v>4141</v>
      </c>
      <c r="D1230" s="7" t="s">
        <v>1645</v>
      </c>
      <c r="E1230" s="7" t="s">
        <v>1727</v>
      </c>
      <c r="F1230" s="7" t="s">
        <v>1847</v>
      </c>
    </row>
    <row r="1231" spans="1:6" x14ac:dyDescent="0.25">
      <c r="A1231" s="7" t="s">
        <v>4142</v>
      </c>
      <c r="B1231" s="7" t="s">
        <v>4143</v>
      </c>
      <c r="C1231" s="7" t="s">
        <v>4144</v>
      </c>
      <c r="D1231" s="7" t="s">
        <v>2664</v>
      </c>
      <c r="E1231" s="7" t="s">
        <v>1593</v>
      </c>
      <c r="F1231" s="7" t="s">
        <v>1594</v>
      </c>
    </row>
    <row r="1232" spans="1:6" x14ac:dyDescent="0.25">
      <c r="A1232" s="7" t="s">
        <v>4145</v>
      </c>
      <c r="B1232" s="7" t="s">
        <v>4146</v>
      </c>
      <c r="C1232" s="7" t="s">
        <v>4147</v>
      </c>
      <c r="D1232" s="7" t="s">
        <v>2664</v>
      </c>
      <c r="E1232" s="7" t="s">
        <v>1593</v>
      </c>
      <c r="F1232" s="7" t="s">
        <v>1594</v>
      </c>
    </row>
    <row r="1233" spans="1:6" x14ac:dyDescent="0.25">
      <c r="A1233" s="7" t="s">
        <v>4148</v>
      </c>
      <c r="B1233" s="7" t="s">
        <v>4149</v>
      </c>
      <c r="C1233" s="7" t="s">
        <v>4150</v>
      </c>
      <c r="D1233" s="7" t="s">
        <v>2664</v>
      </c>
      <c r="E1233" s="7" t="s">
        <v>1727</v>
      </c>
      <c r="F1233" s="7" t="s">
        <v>2733</v>
      </c>
    </row>
    <row r="1234" spans="1:6" x14ac:dyDescent="0.25">
      <c r="A1234" s="7" t="s">
        <v>310</v>
      </c>
      <c r="B1234" s="7" t="s">
        <v>4151</v>
      </c>
      <c r="C1234" s="7" t="s">
        <v>4152</v>
      </c>
      <c r="D1234" s="7" t="s">
        <v>4153</v>
      </c>
      <c r="E1234" s="7" t="s">
        <v>1593</v>
      </c>
      <c r="F1234" s="7" t="s">
        <v>1826</v>
      </c>
    </row>
    <row r="1235" spans="1:6" x14ac:dyDescent="0.25">
      <c r="A1235" s="7" t="s">
        <v>4154</v>
      </c>
      <c r="B1235" s="7" t="s">
        <v>4155</v>
      </c>
      <c r="C1235" s="7" t="s">
        <v>4156</v>
      </c>
      <c r="D1235" s="7" t="s">
        <v>4153</v>
      </c>
      <c r="E1235" s="7" t="s">
        <v>1593</v>
      </c>
      <c r="F1235" s="7" t="s">
        <v>1826</v>
      </c>
    </row>
    <row r="1236" spans="1:6" ht="22.5" x14ac:dyDescent="0.25">
      <c r="A1236" s="7" t="s">
        <v>313</v>
      </c>
      <c r="B1236" s="7" t="s">
        <v>4157</v>
      </c>
      <c r="C1236" s="7" t="s">
        <v>4158</v>
      </c>
      <c r="D1236" s="7" t="s">
        <v>4153</v>
      </c>
      <c r="E1236" s="7" t="s">
        <v>1593</v>
      </c>
      <c r="F1236" s="7" t="s">
        <v>1826</v>
      </c>
    </row>
    <row r="1237" spans="1:6" x14ac:dyDescent="0.25">
      <c r="A1237" s="7" t="s">
        <v>4159</v>
      </c>
      <c r="B1237" s="7" t="s">
        <v>4160</v>
      </c>
      <c r="C1237" s="7" t="s">
        <v>4161</v>
      </c>
      <c r="D1237" s="7" t="s">
        <v>4162</v>
      </c>
      <c r="E1237" s="7" t="s">
        <v>1593</v>
      </c>
      <c r="F1237" s="7" t="s">
        <v>1826</v>
      </c>
    </row>
    <row r="1238" spans="1:6" x14ac:dyDescent="0.25">
      <c r="A1238" s="7" t="s">
        <v>4163</v>
      </c>
      <c r="B1238" s="7" t="s">
        <v>4164</v>
      </c>
      <c r="C1238" s="7" t="s">
        <v>4165</v>
      </c>
      <c r="D1238" s="7" t="s">
        <v>2466</v>
      </c>
      <c r="E1238" s="7" t="s">
        <v>1614</v>
      </c>
      <c r="F1238" s="7" t="s">
        <v>1786</v>
      </c>
    </row>
    <row r="1239" spans="1:6" x14ac:dyDescent="0.25">
      <c r="A1239" s="7" t="s">
        <v>4166</v>
      </c>
      <c r="B1239" s="7" t="s">
        <v>4167</v>
      </c>
      <c r="C1239" s="7" t="s">
        <v>4168</v>
      </c>
      <c r="D1239" s="7" t="s">
        <v>1642</v>
      </c>
      <c r="E1239" s="7" t="s">
        <v>1585</v>
      </c>
      <c r="F1239" s="7" t="s">
        <v>1586</v>
      </c>
    </row>
    <row r="1240" spans="1:6" x14ac:dyDescent="0.25">
      <c r="A1240" s="7" t="s">
        <v>4169</v>
      </c>
      <c r="B1240" s="7" t="s">
        <v>4170</v>
      </c>
      <c r="C1240" s="7" t="s">
        <v>4171</v>
      </c>
      <c r="D1240" s="7" t="s">
        <v>1642</v>
      </c>
      <c r="E1240" s="7" t="s">
        <v>1585</v>
      </c>
      <c r="F1240" s="7" t="s">
        <v>1586</v>
      </c>
    </row>
    <row r="1241" spans="1:6" ht="22.5" x14ac:dyDescent="0.25">
      <c r="A1241" s="7" t="s">
        <v>4172</v>
      </c>
      <c r="B1241" s="7" t="s">
        <v>4173</v>
      </c>
      <c r="C1241" s="7" t="s">
        <v>4174</v>
      </c>
      <c r="D1241" s="7" t="s">
        <v>1846</v>
      </c>
      <c r="E1241" s="7" t="s">
        <v>1727</v>
      </c>
      <c r="F1241" s="7" t="s">
        <v>1847</v>
      </c>
    </row>
    <row r="1242" spans="1:6" x14ac:dyDescent="0.25">
      <c r="A1242" s="7" t="s">
        <v>4175</v>
      </c>
      <c r="B1242" s="7" t="s">
        <v>4176</v>
      </c>
      <c r="C1242" s="7" t="s">
        <v>4177</v>
      </c>
      <c r="D1242" s="7" t="s">
        <v>1642</v>
      </c>
      <c r="E1242" s="7" t="s">
        <v>1585</v>
      </c>
      <c r="F1242" s="7" t="s">
        <v>1586</v>
      </c>
    </row>
    <row r="1243" spans="1:6" x14ac:dyDescent="0.25">
      <c r="A1243" s="7" t="s">
        <v>4178</v>
      </c>
      <c r="B1243" s="7" t="s">
        <v>4179</v>
      </c>
      <c r="C1243" s="7" t="s">
        <v>4180</v>
      </c>
      <c r="D1243" s="7" t="s">
        <v>2268</v>
      </c>
      <c r="E1243" s="7" t="s">
        <v>1593</v>
      </c>
      <c r="F1243" s="7" t="s">
        <v>1594</v>
      </c>
    </row>
    <row r="1244" spans="1:6" x14ac:dyDescent="0.25">
      <c r="A1244" s="7" t="s">
        <v>4181</v>
      </c>
      <c r="B1244" s="7" t="s">
        <v>4182</v>
      </c>
      <c r="C1244" s="7" t="s">
        <v>4183</v>
      </c>
      <c r="D1244" s="7" t="s">
        <v>2268</v>
      </c>
      <c r="E1244" s="7" t="s">
        <v>1593</v>
      </c>
      <c r="F1244" s="7" t="s">
        <v>1594</v>
      </c>
    </row>
    <row r="1245" spans="1:6" x14ac:dyDescent="0.25">
      <c r="A1245" s="7" t="s">
        <v>4184</v>
      </c>
      <c r="B1245" s="7" t="s">
        <v>4185</v>
      </c>
      <c r="C1245" s="7" t="s">
        <v>4186</v>
      </c>
      <c r="D1245" s="7" t="s">
        <v>2268</v>
      </c>
      <c r="E1245" s="7" t="s">
        <v>1593</v>
      </c>
      <c r="F1245" s="7" t="s">
        <v>1594</v>
      </c>
    </row>
    <row r="1246" spans="1:6" x14ac:dyDescent="0.25">
      <c r="A1246" s="7" t="s">
        <v>4187</v>
      </c>
      <c r="B1246" s="7" t="s">
        <v>4188</v>
      </c>
      <c r="C1246" s="7" t="s">
        <v>4189</v>
      </c>
      <c r="D1246" s="7" t="s">
        <v>2268</v>
      </c>
      <c r="E1246" s="7" t="s">
        <v>1593</v>
      </c>
      <c r="F1246" s="7" t="s">
        <v>1594</v>
      </c>
    </row>
    <row r="1247" spans="1:6" x14ac:dyDescent="0.25">
      <c r="A1247" s="7" t="s">
        <v>4190</v>
      </c>
      <c r="B1247" s="7" t="s">
        <v>4191</v>
      </c>
      <c r="C1247" s="7" t="s">
        <v>4192</v>
      </c>
      <c r="D1247" s="7" t="s">
        <v>2268</v>
      </c>
      <c r="E1247" s="7" t="s">
        <v>1593</v>
      </c>
      <c r="F1247" s="7" t="s">
        <v>1594</v>
      </c>
    </row>
    <row r="1248" spans="1:6" x14ac:dyDescent="0.25">
      <c r="A1248" s="7" t="s">
        <v>4193</v>
      </c>
      <c r="B1248" s="7" t="s">
        <v>4194</v>
      </c>
      <c r="C1248" s="7" t="s">
        <v>4195</v>
      </c>
      <c r="D1248" s="7" t="s">
        <v>2264</v>
      </c>
      <c r="E1248" s="7" t="s">
        <v>1593</v>
      </c>
      <c r="F1248" s="7" t="s">
        <v>1826</v>
      </c>
    </row>
    <row r="1249" spans="1:6" x14ac:dyDescent="0.25">
      <c r="A1249" s="7" t="s">
        <v>4196</v>
      </c>
      <c r="B1249" s="7" t="s">
        <v>4197</v>
      </c>
      <c r="C1249" s="7" t="s">
        <v>4198</v>
      </c>
      <c r="D1249" s="7" t="s">
        <v>2264</v>
      </c>
      <c r="E1249" s="7" t="s">
        <v>1593</v>
      </c>
      <c r="F1249" s="7" t="s">
        <v>1826</v>
      </c>
    </row>
    <row r="1250" spans="1:6" x14ac:dyDescent="0.25">
      <c r="A1250" s="7" t="s">
        <v>4199</v>
      </c>
      <c r="B1250" s="7" t="s">
        <v>4200</v>
      </c>
      <c r="C1250" s="7" t="s">
        <v>4201</v>
      </c>
      <c r="D1250" s="7" t="s">
        <v>2268</v>
      </c>
      <c r="E1250" s="7" t="s">
        <v>1593</v>
      </c>
      <c r="F1250" s="7" t="s">
        <v>1594</v>
      </c>
    </row>
    <row r="1251" spans="1:6" x14ac:dyDescent="0.25">
      <c r="A1251" s="7" t="s">
        <v>4202</v>
      </c>
      <c r="B1251" s="7" t="s">
        <v>4203</v>
      </c>
      <c r="C1251" s="7" t="s">
        <v>4204</v>
      </c>
      <c r="D1251" s="7" t="s">
        <v>2264</v>
      </c>
      <c r="E1251" s="7" t="s">
        <v>1614</v>
      </c>
      <c r="F1251" s="7" t="s">
        <v>1786</v>
      </c>
    </row>
    <row r="1252" spans="1:6" x14ac:dyDescent="0.25">
      <c r="A1252" s="7" t="s">
        <v>4205</v>
      </c>
      <c r="B1252" s="7" t="s">
        <v>4206</v>
      </c>
      <c r="C1252" s="7" t="s">
        <v>4207</v>
      </c>
      <c r="D1252" s="7" t="s">
        <v>2264</v>
      </c>
      <c r="E1252" s="7" t="s">
        <v>1614</v>
      </c>
      <c r="F1252" s="7" t="s">
        <v>1786</v>
      </c>
    </row>
    <row r="1253" spans="1:6" x14ac:dyDescent="0.25">
      <c r="A1253" s="7" t="s">
        <v>4208</v>
      </c>
      <c r="B1253" s="7" t="s">
        <v>4209</v>
      </c>
      <c r="C1253" s="7" t="s">
        <v>4210</v>
      </c>
      <c r="D1253" s="7" t="s">
        <v>2264</v>
      </c>
      <c r="E1253" s="7" t="s">
        <v>1585</v>
      </c>
      <c r="F1253" s="7" t="s">
        <v>1597</v>
      </c>
    </row>
    <row r="1254" spans="1:6" x14ac:dyDescent="0.25">
      <c r="A1254" s="7" t="s">
        <v>4211</v>
      </c>
      <c r="B1254" s="7" t="s">
        <v>4212</v>
      </c>
      <c r="C1254" s="7" t="s">
        <v>4213</v>
      </c>
      <c r="D1254" s="7" t="s">
        <v>2264</v>
      </c>
      <c r="E1254" s="7" t="s">
        <v>1585</v>
      </c>
      <c r="F1254" s="7" t="s">
        <v>1597</v>
      </c>
    </row>
    <row r="1255" spans="1:6" x14ac:dyDescent="0.25">
      <c r="A1255" s="7" t="s">
        <v>4214</v>
      </c>
      <c r="B1255" s="7" t="s">
        <v>4215</v>
      </c>
      <c r="C1255" s="7" t="s">
        <v>4216</v>
      </c>
      <c r="D1255" s="7" t="s">
        <v>2264</v>
      </c>
      <c r="E1255" s="7" t="s">
        <v>1585</v>
      </c>
      <c r="F1255" s="7" t="s">
        <v>1597</v>
      </c>
    </row>
    <row r="1256" spans="1:6" x14ac:dyDescent="0.25">
      <c r="A1256" s="7" t="s">
        <v>4217</v>
      </c>
      <c r="B1256" s="7" t="s">
        <v>4218</v>
      </c>
      <c r="C1256" s="7" t="s">
        <v>4219</v>
      </c>
      <c r="D1256" s="7" t="s">
        <v>2264</v>
      </c>
      <c r="E1256" s="7" t="s">
        <v>1585</v>
      </c>
      <c r="F1256" s="7" t="s">
        <v>1597</v>
      </c>
    </row>
    <row r="1257" spans="1:6" x14ac:dyDescent="0.25">
      <c r="A1257" s="7" t="s">
        <v>4220</v>
      </c>
      <c r="B1257" s="7" t="s">
        <v>4221</v>
      </c>
      <c r="C1257" s="7" t="s">
        <v>4222</v>
      </c>
      <c r="D1257" s="7" t="s">
        <v>2264</v>
      </c>
      <c r="E1257" s="7" t="s">
        <v>1585</v>
      </c>
      <c r="F1257" s="7" t="s">
        <v>1597</v>
      </c>
    </row>
    <row r="1258" spans="1:6" x14ac:dyDescent="0.25">
      <c r="A1258" s="7" t="s">
        <v>4223</v>
      </c>
      <c r="B1258" s="7" t="s">
        <v>4224</v>
      </c>
      <c r="C1258" s="7" t="s">
        <v>4225</v>
      </c>
      <c r="D1258" s="7" t="s">
        <v>2264</v>
      </c>
      <c r="E1258" s="7" t="s">
        <v>1585</v>
      </c>
      <c r="F1258" s="7" t="s">
        <v>1597</v>
      </c>
    </row>
    <row r="1259" spans="1:6" x14ac:dyDescent="0.25">
      <c r="A1259" s="7" t="s">
        <v>4226</v>
      </c>
      <c r="B1259" s="7" t="s">
        <v>4227</v>
      </c>
      <c r="C1259" s="7" t="s">
        <v>4228</v>
      </c>
      <c r="D1259" s="7" t="s">
        <v>3742</v>
      </c>
      <c r="E1259" s="7" t="s">
        <v>1593</v>
      </c>
      <c r="F1259" s="7" t="s">
        <v>1594</v>
      </c>
    </row>
    <row r="1260" spans="1:6" x14ac:dyDescent="0.25">
      <c r="A1260" s="7" t="s">
        <v>4229</v>
      </c>
      <c r="B1260" s="7" t="s">
        <v>4230</v>
      </c>
      <c r="C1260" s="7" t="s">
        <v>4231</v>
      </c>
      <c r="D1260" s="7" t="s">
        <v>3742</v>
      </c>
      <c r="E1260" s="7" t="s">
        <v>1593</v>
      </c>
      <c r="F1260" s="7" t="s">
        <v>1594</v>
      </c>
    </row>
    <row r="1261" spans="1:6" x14ac:dyDescent="0.25">
      <c r="A1261" s="7" t="s">
        <v>4232</v>
      </c>
      <c r="B1261" s="7" t="s">
        <v>4233</v>
      </c>
      <c r="C1261" s="7" t="s">
        <v>4234</v>
      </c>
      <c r="D1261" s="7" t="s">
        <v>4235</v>
      </c>
      <c r="E1261" s="7" t="s">
        <v>1646</v>
      </c>
      <c r="F1261" s="7" t="s">
        <v>4236</v>
      </c>
    </row>
    <row r="1262" spans="1:6" x14ac:dyDescent="0.25">
      <c r="A1262" s="7" t="s">
        <v>4237</v>
      </c>
      <c r="B1262" s="7" t="s">
        <v>4238</v>
      </c>
      <c r="C1262" s="7" t="s">
        <v>4239</v>
      </c>
      <c r="D1262" s="7" t="s">
        <v>4235</v>
      </c>
      <c r="E1262" s="7" t="s">
        <v>1646</v>
      </c>
      <c r="F1262" s="7" t="s">
        <v>4236</v>
      </c>
    </row>
    <row r="1263" spans="1:6" x14ac:dyDescent="0.25">
      <c r="A1263" s="7" t="s">
        <v>4240</v>
      </c>
      <c r="B1263" s="7" t="s">
        <v>4241</v>
      </c>
      <c r="C1263" s="7" t="s">
        <v>4242</v>
      </c>
      <c r="D1263" s="7" t="s">
        <v>1633</v>
      </c>
      <c r="E1263" s="7" t="s">
        <v>1634</v>
      </c>
      <c r="F1263" s="7" t="s">
        <v>1635</v>
      </c>
    </row>
    <row r="1264" spans="1:6" x14ac:dyDescent="0.25">
      <c r="A1264" s="7" t="s">
        <v>4243</v>
      </c>
      <c r="B1264" s="7" t="s">
        <v>4244</v>
      </c>
      <c r="C1264" s="7" t="s">
        <v>4245</v>
      </c>
      <c r="D1264" s="7" t="s">
        <v>2920</v>
      </c>
      <c r="E1264" s="7" t="s">
        <v>1593</v>
      </c>
      <c r="F1264" s="7" t="s">
        <v>4246</v>
      </c>
    </row>
    <row r="1265" spans="1:6" x14ac:dyDescent="0.25">
      <c r="A1265" s="7" t="s">
        <v>755</v>
      </c>
      <c r="B1265" s="7" t="s">
        <v>4247</v>
      </c>
      <c r="C1265" s="7" t="s">
        <v>4248</v>
      </c>
      <c r="D1265" s="7" t="s">
        <v>1938</v>
      </c>
      <c r="E1265" s="7" t="s">
        <v>1585</v>
      </c>
      <c r="F1265" s="7" t="s">
        <v>1597</v>
      </c>
    </row>
    <row r="1266" spans="1:6" x14ac:dyDescent="0.25">
      <c r="A1266" s="7" t="s">
        <v>758</v>
      </c>
      <c r="B1266" s="7" t="s">
        <v>4249</v>
      </c>
      <c r="C1266" s="7" t="s">
        <v>4250</v>
      </c>
      <c r="D1266" s="7" t="s">
        <v>1938</v>
      </c>
      <c r="E1266" s="7" t="s">
        <v>1585</v>
      </c>
      <c r="F1266" s="7" t="s">
        <v>1597</v>
      </c>
    </row>
    <row r="1267" spans="1:6" x14ac:dyDescent="0.25">
      <c r="A1267" s="7" t="s">
        <v>749</v>
      </c>
      <c r="B1267" s="7" t="s">
        <v>4251</v>
      </c>
      <c r="C1267" s="7" t="s">
        <v>4252</v>
      </c>
      <c r="D1267" s="7" t="s">
        <v>1938</v>
      </c>
      <c r="E1267" s="7" t="s">
        <v>1585</v>
      </c>
      <c r="F1267" s="7" t="s">
        <v>1597</v>
      </c>
    </row>
    <row r="1268" spans="1:6" x14ac:dyDescent="0.25">
      <c r="A1268" s="7" t="s">
        <v>740</v>
      </c>
      <c r="B1268" s="7" t="s">
        <v>4253</v>
      </c>
      <c r="C1268" s="7" t="s">
        <v>4254</v>
      </c>
      <c r="D1268" s="7" t="s">
        <v>1938</v>
      </c>
      <c r="E1268" s="7" t="s">
        <v>1585</v>
      </c>
      <c r="F1268" s="7" t="s">
        <v>1597</v>
      </c>
    </row>
    <row r="1269" spans="1:6" x14ac:dyDescent="0.25">
      <c r="A1269" s="7" t="s">
        <v>743</v>
      </c>
      <c r="B1269" s="7" t="s">
        <v>4255</v>
      </c>
      <c r="C1269" s="7" t="s">
        <v>4256</v>
      </c>
      <c r="D1269" s="7" t="s">
        <v>1938</v>
      </c>
      <c r="E1269" s="7" t="s">
        <v>1585</v>
      </c>
      <c r="F1269" s="7" t="s">
        <v>1597</v>
      </c>
    </row>
    <row r="1270" spans="1:6" x14ac:dyDescent="0.25">
      <c r="A1270" s="7" t="s">
        <v>752</v>
      </c>
      <c r="B1270" s="7" t="s">
        <v>4257</v>
      </c>
      <c r="C1270" s="7" t="s">
        <v>4258</v>
      </c>
      <c r="D1270" s="7" t="s">
        <v>1938</v>
      </c>
      <c r="E1270" s="7" t="s">
        <v>1585</v>
      </c>
      <c r="F1270" s="7" t="s">
        <v>1597</v>
      </c>
    </row>
    <row r="1271" spans="1:6" x14ac:dyDescent="0.25">
      <c r="A1271" s="7" t="s">
        <v>746</v>
      </c>
      <c r="B1271" s="7" t="s">
        <v>4259</v>
      </c>
      <c r="C1271" s="7" t="s">
        <v>4260</v>
      </c>
      <c r="D1271" s="7" t="s">
        <v>1938</v>
      </c>
      <c r="E1271" s="7" t="s">
        <v>1585</v>
      </c>
      <c r="F1271" s="7" t="s">
        <v>1597</v>
      </c>
    </row>
    <row r="1272" spans="1:6" ht="22.5" x14ac:dyDescent="0.25">
      <c r="A1272" s="7" t="s">
        <v>4261</v>
      </c>
      <c r="B1272" s="7" t="s">
        <v>4262</v>
      </c>
      <c r="C1272" s="7" t="s">
        <v>4263</v>
      </c>
      <c r="D1272" s="7" t="s">
        <v>3439</v>
      </c>
      <c r="E1272" s="7" t="s">
        <v>1727</v>
      </c>
      <c r="F1272" s="7" t="s">
        <v>2733</v>
      </c>
    </row>
    <row r="1273" spans="1:6" x14ac:dyDescent="0.25">
      <c r="A1273" s="7" t="s">
        <v>4264</v>
      </c>
      <c r="B1273" s="7" t="s">
        <v>4265</v>
      </c>
      <c r="C1273" s="7" t="s">
        <v>4266</v>
      </c>
      <c r="D1273" s="7" t="s">
        <v>3439</v>
      </c>
      <c r="E1273" s="7" t="s">
        <v>1646</v>
      </c>
      <c r="F1273" s="7" t="s">
        <v>3479</v>
      </c>
    </row>
    <row r="1274" spans="1:6" x14ac:dyDescent="0.25">
      <c r="A1274" s="7" t="s">
        <v>4267</v>
      </c>
      <c r="B1274" s="7" t="s">
        <v>4268</v>
      </c>
      <c r="C1274" s="7" t="s">
        <v>4269</v>
      </c>
      <c r="D1274" s="7" t="s">
        <v>2920</v>
      </c>
      <c r="E1274" s="7" t="s">
        <v>1593</v>
      </c>
      <c r="F1274" s="7" t="s">
        <v>1594</v>
      </c>
    </row>
    <row r="1275" spans="1:6" ht="22.5" x14ac:dyDescent="0.25">
      <c r="A1275" s="7" t="s">
        <v>4270</v>
      </c>
      <c r="B1275" s="7" t="s">
        <v>4271</v>
      </c>
      <c r="C1275" s="7" t="s">
        <v>4272</v>
      </c>
      <c r="D1275" s="7" t="s">
        <v>1846</v>
      </c>
      <c r="E1275" s="7" t="s">
        <v>1727</v>
      </c>
      <c r="F1275" s="7" t="s">
        <v>1847</v>
      </c>
    </row>
    <row r="1276" spans="1:6" x14ac:dyDescent="0.25">
      <c r="A1276" s="7" t="s">
        <v>4273</v>
      </c>
      <c r="B1276" s="7" t="s">
        <v>4274</v>
      </c>
      <c r="C1276" s="7" t="s">
        <v>4275</v>
      </c>
      <c r="D1276" s="7" t="s">
        <v>2920</v>
      </c>
      <c r="E1276" s="7" t="s">
        <v>1593</v>
      </c>
      <c r="F1276" s="7" t="s">
        <v>1594</v>
      </c>
    </row>
    <row r="1277" spans="1:6" x14ac:dyDescent="0.25">
      <c r="A1277" s="7" t="s">
        <v>4276</v>
      </c>
      <c r="B1277" s="7" t="s">
        <v>4277</v>
      </c>
      <c r="C1277" s="7" t="s">
        <v>4278</v>
      </c>
      <c r="D1277" s="7" t="s">
        <v>2920</v>
      </c>
      <c r="E1277" s="7" t="s">
        <v>1593</v>
      </c>
      <c r="F1277" s="7" t="s">
        <v>1594</v>
      </c>
    </row>
    <row r="1278" spans="1:6" x14ac:dyDescent="0.25">
      <c r="A1278" s="7" t="s">
        <v>4279</v>
      </c>
      <c r="B1278" s="7" t="s">
        <v>4280</v>
      </c>
      <c r="C1278" s="7" t="s">
        <v>4281</v>
      </c>
      <c r="D1278" s="7" t="s">
        <v>1633</v>
      </c>
      <c r="E1278" s="7" t="s">
        <v>1727</v>
      </c>
      <c r="F1278" s="7" t="s">
        <v>1847</v>
      </c>
    </row>
    <row r="1279" spans="1:6" x14ac:dyDescent="0.25">
      <c r="A1279" s="7" t="s">
        <v>4282</v>
      </c>
      <c r="B1279" s="7" t="s">
        <v>4283</v>
      </c>
      <c r="C1279" s="7" t="s">
        <v>4284</v>
      </c>
      <c r="D1279" s="7" t="s">
        <v>2264</v>
      </c>
      <c r="E1279" s="7" t="s">
        <v>1837</v>
      </c>
      <c r="F1279" s="7" t="s">
        <v>1838</v>
      </c>
    </row>
    <row r="1280" spans="1:6" x14ac:dyDescent="0.25">
      <c r="A1280" s="7" t="s">
        <v>4285</v>
      </c>
      <c r="B1280" s="7" t="s">
        <v>4286</v>
      </c>
      <c r="C1280" s="7" t="s">
        <v>4287</v>
      </c>
      <c r="D1280" s="7" t="s">
        <v>2920</v>
      </c>
      <c r="E1280" s="7" t="s">
        <v>1593</v>
      </c>
      <c r="F1280" s="7" t="s">
        <v>1594</v>
      </c>
    </row>
    <row r="1281" spans="1:6" x14ac:dyDescent="0.25">
      <c r="A1281" s="7" t="s">
        <v>4288</v>
      </c>
      <c r="B1281" s="7" t="s">
        <v>4289</v>
      </c>
      <c r="C1281" s="7" t="s">
        <v>4290</v>
      </c>
      <c r="D1281" s="7" t="s">
        <v>1785</v>
      </c>
      <c r="E1281" s="7" t="s">
        <v>1614</v>
      </c>
      <c r="F1281" s="7" t="s">
        <v>1786</v>
      </c>
    </row>
    <row r="1282" spans="1:6" x14ac:dyDescent="0.25">
      <c r="A1282" s="7" t="s">
        <v>4291</v>
      </c>
      <c r="B1282" s="7" t="s">
        <v>4292</v>
      </c>
      <c r="C1282" s="7" t="s">
        <v>4293</v>
      </c>
      <c r="D1282" s="7" t="s">
        <v>2664</v>
      </c>
      <c r="E1282" s="7" t="s">
        <v>1727</v>
      </c>
      <c r="F1282" s="7" t="s">
        <v>1728</v>
      </c>
    </row>
    <row r="1283" spans="1:6" x14ac:dyDescent="0.25">
      <c r="A1283" s="7" t="s">
        <v>4294</v>
      </c>
      <c r="B1283" s="7" t="s">
        <v>4295</v>
      </c>
      <c r="C1283" s="7" t="s">
        <v>4296</v>
      </c>
      <c r="D1283" s="7" t="s">
        <v>2920</v>
      </c>
      <c r="E1283" s="7" t="s">
        <v>1593</v>
      </c>
      <c r="F1283" s="7" t="s">
        <v>1594</v>
      </c>
    </row>
    <row r="1284" spans="1:6" ht="22.5" x14ac:dyDescent="0.25">
      <c r="A1284" s="7" t="s">
        <v>4297</v>
      </c>
      <c r="B1284" s="7" t="s">
        <v>4298</v>
      </c>
      <c r="C1284" s="7" t="s">
        <v>4299</v>
      </c>
      <c r="D1284" s="7" t="s">
        <v>1584</v>
      </c>
      <c r="E1284" s="7" t="s">
        <v>1585</v>
      </c>
      <c r="F1284" s="7" t="s">
        <v>1586</v>
      </c>
    </row>
    <row r="1285" spans="1:6" x14ac:dyDescent="0.25">
      <c r="A1285" s="7" t="s">
        <v>4300</v>
      </c>
      <c r="B1285" s="7" t="s">
        <v>4301</v>
      </c>
      <c r="C1285" s="7" t="s">
        <v>4302</v>
      </c>
      <c r="D1285" s="7" t="s">
        <v>1785</v>
      </c>
      <c r="E1285" s="7" t="s">
        <v>1614</v>
      </c>
      <c r="F1285" s="7" t="s">
        <v>1786</v>
      </c>
    </row>
    <row r="1286" spans="1:6" x14ac:dyDescent="0.25">
      <c r="A1286" s="7" t="s">
        <v>4303</v>
      </c>
      <c r="B1286" s="7" t="s">
        <v>4304</v>
      </c>
      <c r="C1286" s="7" t="s">
        <v>4305</v>
      </c>
      <c r="D1286" s="7" t="s">
        <v>1785</v>
      </c>
      <c r="E1286" s="7" t="s">
        <v>1614</v>
      </c>
      <c r="F1286" s="7" t="s">
        <v>1786</v>
      </c>
    </row>
    <row r="1287" spans="1:6" x14ac:dyDescent="0.25">
      <c r="A1287" s="7" t="s">
        <v>4306</v>
      </c>
      <c r="B1287" s="7" t="s">
        <v>4307</v>
      </c>
      <c r="C1287" s="7" t="s">
        <v>4308</v>
      </c>
      <c r="D1287" s="7" t="s">
        <v>1785</v>
      </c>
      <c r="E1287" s="7" t="s">
        <v>1614</v>
      </c>
      <c r="F1287" s="7" t="s">
        <v>1786</v>
      </c>
    </row>
    <row r="1288" spans="1:6" x14ac:dyDescent="0.25">
      <c r="A1288" s="7" t="s">
        <v>4309</v>
      </c>
      <c r="B1288" s="7" t="s">
        <v>4310</v>
      </c>
      <c r="C1288" s="7" t="s">
        <v>4311</v>
      </c>
      <c r="D1288" s="7" t="s">
        <v>3411</v>
      </c>
      <c r="E1288" s="7" t="s">
        <v>1585</v>
      </c>
      <c r="F1288" s="7" t="s">
        <v>1597</v>
      </c>
    </row>
    <row r="1289" spans="1:6" x14ac:dyDescent="0.25">
      <c r="A1289" s="7" t="s">
        <v>4312</v>
      </c>
      <c r="B1289" s="7" t="s">
        <v>4313</v>
      </c>
      <c r="C1289" s="7" t="s">
        <v>4314</v>
      </c>
      <c r="D1289" s="7" t="s">
        <v>1790</v>
      </c>
      <c r="E1289" s="7" t="s">
        <v>1593</v>
      </c>
      <c r="F1289" s="7" t="s">
        <v>1826</v>
      </c>
    </row>
    <row r="1290" spans="1:6" x14ac:dyDescent="0.25">
      <c r="A1290" s="7" t="s">
        <v>4315</v>
      </c>
      <c r="B1290" s="7" t="s">
        <v>4316</v>
      </c>
      <c r="C1290" s="7" t="s">
        <v>4317</v>
      </c>
      <c r="D1290" s="7" t="s">
        <v>1785</v>
      </c>
      <c r="E1290" s="7" t="s">
        <v>1614</v>
      </c>
      <c r="F1290" s="7" t="s">
        <v>2260</v>
      </c>
    </row>
    <row r="1291" spans="1:6" x14ac:dyDescent="0.25">
      <c r="A1291" s="7" t="s">
        <v>116</v>
      </c>
      <c r="B1291" s="7" t="s">
        <v>4318</v>
      </c>
      <c r="C1291" s="7" t="s">
        <v>4319</v>
      </c>
      <c r="D1291" s="7" t="s">
        <v>2892</v>
      </c>
      <c r="E1291" s="7" t="s">
        <v>1585</v>
      </c>
      <c r="F1291" s="7" t="s">
        <v>1597</v>
      </c>
    </row>
    <row r="1292" spans="1:6" x14ac:dyDescent="0.25">
      <c r="A1292" s="7" t="s">
        <v>4320</v>
      </c>
      <c r="B1292" s="7" t="s">
        <v>4321</v>
      </c>
      <c r="C1292" s="7" t="s">
        <v>4322</v>
      </c>
      <c r="D1292" s="7" t="s">
        <v>2920</v>
      </c>
      <c r="E1292" s="7" t="s">
        <v>1593</v>
      </c>
      <c r="F1292" s="7" t="s">
        <v>4246</v>
      </c>
    </row>
    <row r="1293" spans="1:6" x14ac:dyDescent="0.25">
      <c r="A1293" s="7" t="s">
        <v>4323</v>
      </c>
      <c r="B1293" s="7" t="s">
        <v>4324</v>
      </c>
      <c r="C1293" s="7" t="s">
        <v>4325</v>
      </c>
      <c r="D1293" s="7" t="s">
        <v>2920</v>
      </c>
      <c r="E1293" s="7" t="s">
        <v>1593</v>
      </c>
      <c r="F1293" s="7" t="s">
        <v>4246</v>
      </c>
    </row>
    <row r="1294" spans="1:6" x14ac:dyDescent="0.25">
      <c r="A1294" s="7" t="s">
        <v>4326</v>
      </c>
      <c r="B1294" s="7" t="s">
        <v>4327</v>
      </c>
      <c r="C1294" s="7" t="s">
        <v>4328</v>
      </c>
      <c r="D1294" s="7" t="s">
        <v>4329</v>
      </c>
      <c r="E1294" s="7" t="s">
        <v>1593</v>
      </c>
      <c r="F1294" s="7" t="s">
        <v>1826</v>
      </c>
    </row>
    <row r="1295" spans="1:6" x14ac:dyDescent="0.25">
      <c r="A1295" s="7" t="s">
        <v>4330</v>
      </c>
      <c r="B1295" s="7" t="s">
        <v>4331</v>
      </c>
      <c r="C1295" s="7" t="s">
        <v>4328</v>
      </c>
      <c r="D1295" s="7" t="s">
        <v>4329</v>
      </c>
      <c r="E1295" s="7" t="s">
        <v>1593</v>
      </c>
      <c r="F1295" s="7" t="s">
        <v>1826</v>
      </c>
    </row>
    <row r="1296" spans="1:6" x14ac:dyDescent="0.25">
      <c r="A1296" s="7" t="s">
        <v>4332</v>
      </c>
      <c r="B1296" s="7" t="s">
        <v>4333</v>
      </c>
      <c r="C1296" s="7" t="s">
        <v>4328</v>
      </c>
      <c r="D1296" s="7" t="s">
        <v>4334</v>
      </c>
      <c r="E1296" s="7" t="s">
        <v>1593</v>
      </c>
      <c r="F1296" s="7" t="s">
        <v>1826</v>
      </c>
    </row>
    <row r="1297" spans="1:6" x14ac:dyDescent="0.25">
      <c r="A1297" s="7" t="s">
        <v>4335</v>
      </c>
      <c r="B1297" s="7" t="s">
        <v>4336</v>
      </c>
      <c r="C1297" s="7" t="s">
        <v>4337</v>
      </c>
      <c r="D1297" s="7" t="s">
        <v>1836</v>
      </c>
      <c r="E1297" s="7" t="s">
        <v>1646</v>
      </c>
      <c r="F1297" s="7" t="s">
        <v>1647</v>
      </c>
    </row>
    <row r="1298" spans="1:6" x14ac:dyDescent="0.25">
      <c r="A1298" s="7" t="s">
        <v>4338</v>
      </c>
      <c r="B1298" s="7" t="s">
        <v>4339</v>
      </c>
      <c r="C1298" s="7" t="s">
        <v>4340</v>
      </c>
      <c r="D1298" s="7" t="s">
        <v>2892</v>
      </c>
      <c r="E1298" s="7" t="s">
        <v>1585</v>
      </c>
      <c r="F1298" s="7" t="s">
        <v>1597</v>
      </c>
    </row>
    <row r="1299" spans="1:6" x14ac:dyDescent="0.25">
      <c r="A1299" s="7" t="s">
        <v>4341</v>
      </c>
      <c r="B1299" s="7" t="s">
        <v>4342</v>
      </c>
      <c r="C1299" s="7" t="s">
        <v>4343</v>
      </c>
      <c r="D1299" s="7" t="s">
        <v>1861</v>
      </c>
      <c r="E1299" s="7" t="s">
        <v>1593</v>
      </c>
      <c r="F1299" s="7" t="s">
        <v>4246</v>
      </c>
    </row>
    <row r="1300" spans="1:6" x14ac:dyDescent="0.25">
      <c r="A1300" s="7" t="s">
        <v>4344</v>
      </c>
      <c r="B1300" s="7" t="s">
        <v>4345</v>
      </c>
      <c r="C1300" s="7" t="s">
        <v>4346</v>
      </c>
      <c r="D1300" s="7" t="s">
        <v>1861</v>
      </c>
      <c r="E1300" s="7" t="s">
        <v>1593</v>
      </c>
      <c r="F1300" s="7" t="s">
        <v>4246</v>
      </c>
    </row>
    <row r="1301" spans="1:6" x14ac:dyDescent="0.25">
      <c r="A1301" s="7" t="s">
        <v>4347</v>
      </c>
      <c r="B1301" s="7" t="s">
        <v>4348</v>
      </c>
      <c r="C1301" s="7" t="s">
        <v>4349</v>
      </c>
      <c r="D1301" s="7" t="s">
        <v>1861</v>
      </c>
      <c r="E1301" s="7" t="s">
        <v>1593</v>
      </c>
      <c r="F1301" s="7" t="s">
        <v>4246</v>
      </c>
    </row>
    <row r="1302" spans="1:6" x14ac:dyDescent="0.25">
      <c r="A1302" s="7" t="s">
        <v>4350</v>
      </c>
      <c r="B1302" s="7" t="s">
        <v>4351</v>
      </c>
      <c r="C1302" s="7" t="s">
        <v>4349</v>
      </c>
      <c r="D1302" s="7" t="s">
        <v>1861</v>
      </c>
      <c r="E1302" s="7" t="s">
        <v>1593</v>
      </c>
      <c r="F1302" s="7" t="s">
        <v>4246</v>
      </c>
    </row>
    <row r="1303" spans="1:6" x14ac:dyDescent="0.25">
      <c r="A1303" s="7" t="s">
        <v>328</v>
      </c>
      <c r="B1303" s="7" t="s">
        <v>4352</v>
      </c>
      <c r="C1303" s="7" t="s">
        <v>4353</v>
      </c>
      <c r="D1303" s="7" t="s">
        <v>1872</v>
      </c>
      <c r="E1303" s="7" t="s">
        <v>1593</v>
      </c>
      <c r="F1303" s="7" t="s">
        <v>1826</v>
      </c>
    </row>
    <row r="1304" spans="1:6" x14ac:dyDescent="0.25">
      <c r="A1304" s="7" t="s">
        <v>4354</v>
      </c>
      <c r="B1304" s="7" t="s">
        <v>4355</v>
      </c>
      <c r="C1304" s="7" t="s">
        <v>4356</v>
      </c>
      <c r="D1304" s="7" t="s">
        <v>1872</v>
      </c>
      <c r="E1304" s="7" t="s">
        <v>1593</v>
      </c>
      <c r="F1304" s="7" t="s">
        <v>1826</v>
      </c>
    </row>
    <row r="1305" spans="1:6" x14ac:dyDescent="0.25">
      <c r="A1305" s="7" t="s">
        <v>4357</v>
      </c>
      <c r="B1305" s="7" t="s">
        <v>4358</v>
      </c>
      <c r="C1305" s="7" t="s">
        <v>4359</v>
      </c>
      <c r="D1305" s="7" t="s">
        <v>1645</v>
      </c>
      <c r="E1305" s="7" t="s">
        <v>1585</v>
      </c>
      <c r="F1305" s="7" t="s">
        <v>1586</v>
      </c>
    </row>
    <row r="1306" spans="1:6" x14ac:dyDescent="0.25">
      <c r="A1306" s="7" t="s">
        <v>4360</v>
      </c>
      <c r="B1306" s="7" t="s">
        <v>4361</v>
      </c>
      <c r="C1306" s="7" t="s">
        <v>4362</v>
      </c>
      <c r="D1306" s="7" t="s">
        <v>1645</v>
      </c>
      <c r="E1306" s="7" t="s">
        <v>1585</v>
      </c>
      <c r="F1306" s="7" t="s">
        <v>1586</v>
      </c>
    </row>
    <row r="1307" spans="1:6" x14ac:dyDescent="0.25">
      <c r="A1307" s="7" t="s">
        <v>4363</v>
      </c>
      <c r="B1307" s="7" t="s">
        <v>4364</v>
      </c>
      <c r="C1307" s="7" t="s">
        <v>4132</v>
      </c>
      <c r="D1307" s="7" t="s">
        <v>1645</v>
      </c>
      <c r="E1307" s="7" t="s">
        <v>1585</v>
      </c>
      <c r="F1307" s="7" t="s">
        <v>1586</v>
      </c>
    </row>
    <row r="1308" spans="1:6" x14ac:dyDescent="0.25">
      <c r="A1308" s="7" t="s">
        <v>4365</v>
      </c>
      <c r="B1308" s="7" t="s">
        <v>4366</v>
      </c>
      <c r="C1308" s="7" t="s">
        <v>4367</v>
      </c>
      <c r="D1308" s="7" t="s">
        <v>1645</v>
      </c>
      <c r="E1308" s="7" t="s">
        <v>1585</v>
      </c>
      <c r="F1308" s="7" t="s">
        <v>1586</v>
      </c>
    </row>
    <row r="1309" spans="1:6" x14ac:dyDescent="0.25">
      <c r="A1309" s="7" t="s">
        <v>4368</v>
      </c>
      <c r="B1309" s="7" t="s">
        <v>4369</v>
      </c>
      <c r="C1309" s="7" t="s">
        <v>4370</v>
      </c>
      <c r="D1309" s="7" t="s">
        <v>1861</v>
      </c>
      <c r="E1309" s="7" t="s">
        <v>1593</v>
      </c>
      <c r="F1309" s="7" t="s">
        <v>4246</v>
      </c>
    </row>
    <row r="1310" spans="1:6" x14ac:dyDescent="0.25">
      <c r="A1310" s="7" t="s">
        <v>4371</v>
      </c>
      <c r="B1310" s="7" t="s">
        <v>4372</v>
      </c>
      <c r="C1310" s="7" t="s">
        <v>4373</v>
      </c>
      <c r="D1310" s="7" t="s">
        <v>1861</v>
      </c>
      <c r="E1310" s="7" t="s">
        <v>1593</v>
      </c>
      <c r="F1310" s="7" t="s">
        <v>4246</v>
      </c>
    </row>
    <row r="1311" spans="1:6" x14ac:dyDescent="0.25">
      <c r="A1311" s="7" t="s">
        <v>4374</v>
      </c>
      <c r="B1311" s="7" t="s">
        <v>4375</v>
      </c>
      <c r="C1311" s="7" t="s">
        <v>4376</v>
      </c>
      <c r="D1311" s="7" t="s">
        <v>1861</v>
      </c>
      <c r="E1311" s="7" t="s">
        <v>1593</v>
      </c>
      <c r="F1311" s="7" t="s">
        <v>4246</v>
      </c>
    </row>
    <row r="1312" spans="1:6" x14ac:dyDescent="0.25">
      <c r="A1312" s="7" t="s">
        <v>4377</v>
      </c>
      <c r="B1312" s="7" t="s">
        <v>4378</v>
      </c>
      <c r="C1312" s="7" t="s">
        <v>4376</v>
      </c>
      <c r="D1312" s="7" t="s">
        <v>1861</v>
      </c>
      <c r="E1312" s="7" t="s">
        <v>1593</v>
      </c>
      <c r="F1312" s="7" t="s">
        <v>4246</v>
      </c>
    </row>
    <row r="1313" spans="1:6" x14ac:dyDescent="0.25">
      <c r="A1313" s="7" t="s">
        <v>4379</v>
      </c>
      <c r="B1313" s="7" t="s">
        <v>4380</v>
      </c>
      <c r="C1313" s="7" t="s">
        <v>4381</v>
      </c>
      <c r="D1313" s="7" t="s">
        <v>2920</v>
      </c>
      <c r="E1313" s="7" t="s">
        <v>1593</v>
      </c>
      <c r="F1313" s="7" t="s">
        <v>1594</v>
      </c>
    </row>
    <row r="1314" spans="1:6" x14ac:dyDescent="0.25">
      <c r="A1314" s="7" t="s">
        <v>4382</v>
      </c>
      <c r="B1314" s="7" t="s">
        <v>4383</v>
      </c>
      <c r="C1314" s="7" t="s">
        <v>4384</v>
      </c>
      <c r="D1314" s="7" t="s">
        <v>2920</v>
      </c>
      <c r="E1314" s="7" t="s">
        <v>1593</v>
      </c>
      <c r="F1314" s="7" t="s">
        <v>1594</v>
      </c>
    </row>
    <row r="1315" spans="1:6" x14ac:dyDescent="0.25">
      <c r="A1315" s="7" t="s">
        <v>4385</v>
      </c>
      <c r="B1315" s="7" t="s">
        <v>4386</v>
      </c>
      <c r="C1315" s="7" t="s">
        <v>4387</v>
      </c>
      <c r="D1315" s="7" t="s">
        <v>1790</v>
      </c>
      <c r="E1315" s="7" t="s">
        <v>1585</v>
      </c>
      <c r="F1315" s="7" t="s">
        <v>1597</v>
      </c>
    </row>
    <row r="1316" spans="1:6" x14ac:dyDescent="0.25">
      <c r="A1316" s="7" t="s">
        <v>4388</v>
      </c>
      <c r="B1316" s="7" t="s">
        <v>4389</v>
      </c>
      <c r="C1316" s="7" t="s">
        <v>4390</v>
      </c>
      <c r="D1316" s="7" t="s">
        <v>1872</v>
      </c>
      <c r="E1316" s="7" t="s">
        <v>1593</v>
      </c>
      <c r="F1316" s="7" t="s">
        <v>1826</v>
      </c>
    </row>
    <row r="1317" spans="1:6" ht="22.5" x14ac:dyDescent="0.25">
      <c r="A1317" s="7" t="s">
        <v>4391</v>
      </c>
      <c r="B1317" s="7" t="s">
        <v>4392</v>
      </c>
      <c r="C1317" s="7" t="s">
        <v>4393</v>
      </c>
      <c r="D1317" s="7" t="s">
        <v>1785</v>
      </c>
      <c r="E1317" s="7" t="s">
        <v>1614</v>
      </c>
      <c r="F1317" s="7" t="s">
        <v>1786</v>
      </c>
    </row>
    <row r="1318" spans="1:6" ht="22.5" x14ac:dyDescent="0.25">
      <c r="A1318" s="7" t="s">
        <v>4394</v>
      </c>
      <c r="B1318" s="7" t="s">
        <v>4395</v>
      </c>
      <c r="C1318" s="7" t="s">
        <v>4396</v>
      </c>
      <c r="D1318" s="7" t="s">
        <v>992</v>
      </c>
      <c r="E1318" s="7" t="s">
        <v>1614</v>
      </c>
      <c r="F1318" s="7" t="s">
        <v>2260</v>
      </c>
    </row>
    <row r="1319" spans="1:6" x14ac:dyDescent="0.25">
      <c r="A1319" s="7" t="s">
        <v>4397</v>
      </c>
      <c r="B1319" s="7" t="s">
        <v>4398</v>
      </c>
      <c r="C1319" s="7" t="s">
        <v>4399</v>
      </c>
      <c r="D1319" s="7" t="s">
        <v>2515</v>
      </c>
      <c r="E1319" s="7" t="s">
        <v>1585</v>
      </c>
      <c r="F1319" s="7" t="s">
        <v>3724</v>
      </c>
    </row>
    <row r="1320" spans="1:6" ht="22.5" x14ac:dyDescent="0.25">
      <c r="A1320" s="7" t="s">
        <v>4400</v>
      </c>
      <c r="B1320" s="7" t="s">
        <v>4401</v>
      </c>
      <c r="C1320" s="7" t="s">
        <v>4402</v>
      </c>
      <c r="D1320" s="7" t="s">
        <v>2515</v>
      </c>
      <c r="E1320" s="7" t="s">
        <v>1585</v>
      </c>
      <c r="F1320" s="7" t="s">
        <v>3724</v>
      </c>
    </row>
    <row r="1321" spans="1:6" x14ac:dyDescent="0.25">
      <c r="A1321" s="7" t="s">
        <v>4403</v>
      </c>
      <c r="B1321" s="7" t="s">
        <v>4404</v>
      </c>
      <c r="C1321" s="7" t="s">
        <v>4405</v>
      </c>
      <c r="D1321" s="7" t="s">
        <v>1000</v>
      </c>
      <c r="E1321" s="7" t="s">
        <v>1614</v>
      </c>
      <c r="F1321" s="7" t="s">
        <v>2260</v>
      </c>
    </row>
    <row r="1322" spans="1:6" x14ac:dyDescent="0.25">
      <c r="A1322" s="7" t="s">
        <v>4406</v>
      </c>
      <c r="B1322" s="7" t="s">
        <v>4407</v>
      </c>
      <c r="C1322" s="7" t="s">
        <v>4408</v>
      </c>
      <c r="D1322" s="7" t="s">
        <v>1000</v>
      </c>
      <c r="E1322" s="7" t="s">
        <v>1614</v>
      </c>
      <c r="F1322" s="7" t="s">
        <v>2260</v>
      </c>
    </row>
    <row r="1323" spans="1:6" x14ac:dyDescent="0.25">
      <c r="A1323" s="7" t="s">
        <v>821</v>
      </c>
      <c r="B1323" s="7" t="s">
        <v>820</v>
      </c>
      <c r="C1323" s="7" t="s">
        <v>4409</v>
      </c>
      <c r="D1323" s="7" t="s">
        <v>4410</v>
      </c>
      <c r="E1323" s="7" t="s">
        <v>1614</v>
      </c>
      <c r="F1323" s="7" t="s">
        <v>2260</v>
      </c>
    </row>
    <row r="1324" spans="1:6" x14ac:dyDescent="0.25">
      <c r="A1324" s="7" t="s">
        <v>4411</v>
      </c>
      <c r="B1324" s="7" t="s">
        <v>4412</v>
      </c>
      <c r="C1324" s="7" t="s">
        <v>4413</v>
      </c>
      <c r="D1324" s="7" t="s">
        <v>4414</v>
      </c>
      <c r="E1324" s="7" t="s">
        <v>1585</v>
      </c>
      <c r="F1324" s="7" t="s">
        <v>2804</v>
      </c>
    </row>
    <row r="1325" spans="1:6" x14ac:dyDescent="0.25">
      <c r="A1325" s="7" t="s">
        <v>138</v>
      </c>
      <c r="B1325" s="7" t="s">
        <v>4415</v>
      </c>
      <c r="C1325" s="7" t="s">
        <v>4416</v>
      </c>
      <c r="D1325" s="7" t="s">
        <v>4414</v>
      </c>
      <c r="E1325" s="7" t="s">
        <v>1585</v>
      </c>
      <c r="F1325" s="7" t="s">
        <v>2804</v>
      </c>
    </row>
    <row r="1326" spans="1:6" x14ac:dyDescent="0.25">
      <c r="A1326" s="7" t="s">
        <v>135</v>
      </c>
      <c r="B1326" s="7" t="s">
        <v>4417</v>
      </c>
      <c r="C1326" s="7" t="s">
        <v>4418</v>
      </c>
      <c r="D1326" s="7" t="s">
        <v>4414</v>
      </c>
      <c r="E1326" s="7" t="s">
        <v>1585</v>
      </c>
      <c r="F1326" s="7" t="s">
        <v>2804</v>
      </c>
    </row>
    <row r="1327" spans="1:6" x14ac:dyDescent="0.25">
      <c r="A1327" s="7" t="s">
        <v>129</v>
      </c>
      <c r="B1327" s="7" t="s">
        <v>4419</v>
      </c>
      <c r="C1327" s="7" t="s">
        <v>4420</v>
      </c>
      <c r="D1327" s="7" t="s">
        <v>4414</v>
      </c>
      <c r="E1327" s="7" t="s">
        <v>1585</v>
      </c>
      <c r="F1327" s="7" t="s">
        <v>1586</v>
      </c>
    </row>
    <row r="1328" spans="1:6" x14ac:dyDescent="0.25">
      <c r="A1328" s="7" t="s">
        <v>4421</v>
      </c>
      <c r="B1328" s="7" t="s">
        <v>4422</v>
      </c>
      <c r="C1328" s="7" t="s">
        <v>4423</v>
      </c>
      <c r="D1328" s="7" t="s">
        <v>4414</v>
      </c>
      <c r="E1328" s="7" t="s">
        <v>1585</v>
      </c>
      <c r="F1328" s="7" t="s">
        <v>1586</v>
      </c>
    </row>
    <row r="1329" spans="1:6" x14ac:dyDescent="0.25">
      <c r="A1329" s="7" t="s">
        <v>132</v>
      </c>
      <c r="B1329" s="7" t="s">
        <v>4424</v>
      </c>
      <c r="C1329" s="7" t="s">
        <v>4425</v>
      </c>
      <c r="D1329" s="7" t="s">
        <v>4414</v>
      </c>
      <c r="E1329" s="7" t="s">
        <v>1585</v>
      </c>
      <c r="F1329" s="7" t="s">
        <v>1586</v>
      </c>
    </row>
    <row r="1330" spans="1:6" x14ac:dyDescent="0.25">
      <c r="A1330" s="7" t="s">
        <v>4426</v>
      </c>
      <c r="B1330" s="7" t="s">
        <v>4427</v>
      </c>
      <c r="C1330" s="7" t="s">
        <v>4428</v>
      </c>
      <c r="D1330" s="7" t="s">
        <v>1000</v>
      </c>
      <c r="E1330" s="7" t="s">
        <v>1614</v>
      </c>
      <c r="F1330" s="7" t="s">
        <v>1786</v>
      </c>
    </row>
    <row r="1331" spans="1:6" x14ac:dyDescent="0.25">
      <c r="A1331" s="7" t="s">
        <v>4429</v>
      </c>
      <c r="B1331" s="7" t="s">
        <v>4430</v>
      </c>
      <c r="C1331" s="7" t="s">
        <v>4431</v>
      </c>
      <c r="D1331" s="7" t="s">
        <v>1000</v>
      </c>
      <c r="E1331" s="7" t="s">
        <v>1614</v>
      </c>
      <c r="F1331" s="7" t="s">
        <v>1786</v>
      </c>
    </row>
    <row r="1332" spans="1:6" x14ac:dyDescent="0.25">
      <c r="A1332" s="7" t="s">
        <v>4432</v>
      </c>
      <c r="B1332" s="7" t="s">
        <v>4433</v>
      </c>
      <c r="C1332" s="7" t="s">
        <v>4434</v>
      </c>
      <c r="D1332" s="7" t="s">
        <v>4435</v>
      </c>
      <c r="E1332" s="7" t="s">
        <v>1593</v>
      </c>
      <c r="F1332" s="7" t="s">
        <v>1826</v>
      </c>
    </row>
    <row r="1333" spans="1:6" x14ac:dyDescent="0.25">
      <c r="A1333" s="7" t="s">
        <v>4436</v>
      </c>
      <c r="B1333" s="7" t="s">
        <v>4437</v>
      </c>
      <c r="C1333" s="7" t="s">
        <v>4434</v>
      </c>
      <c r="D1333" s="7" t="s">
        <v>4435</v>
      </c>
      <c r="E1333" s="7" t="s">
        <v>1593</v>
      </c>
      <c r="F1333" s="7" t="s">
        <v>1826</v>
      </c>
    </row>
    <row r="1334" spans="1:6" x14ac:dyDescent="0.25">
      <c r="A1334" s="7" t="s">
        <v>4438</v>
      </c>
      <c r="B1334" s="7" t="s">
        <v>4439</v>
      </c>
      <c r="C1334" s="7" t="s">
        <v>4440</v>
      </c>
      <c r="D1334" s="7" t="s">
        <v>4414</v>
      </c>
      <c r="E1334" s="7" t="s">
        <v>1585</v>
      </c>
      <c r="F1334" s="7" t="s">
        <v>1586</v>
      </c>
    </row>
    <row r="1335" spans="1:6" x14ac:dyDescent="0.25">
      <c r="A1335" s="7" t="s">
        <v>4441</v>
      </c>
      <c r="B1335" s="7" t="s">
        <v>4442</v>
      </c>
      <c r="C1335" s="7" t="s">
        <v>4443</v>
      </c>
      <c r="D1335" s="7" t="s">
        <v>4414</v>
      </c>
      <c r="E1335" s="7" t="s">
        <v>1585</v>
      </c>
      <c r="F1335" s="7" t="s">
        <v>2804</v>
      </c>
    </row>
    <row r="1336" spans="1:6" x14ac:dyDescent="0.25">
      <c r="A1336" s="7" t="s">
        <v>4444</v>
      </c>
      <c r="B1336" s="7" t="s">
        <v>4445</v>
      </c>
      <c r="C1336" s="7" t="s">
        <v>4446</v>
      </c>
      <c r="D1336" s="7" t="s">
        <v>4447</v>
      </c>
      <c r="E1336" s="7" t="s">
        <v>1593</v>
      </c>
      <c r="F1336" s="7" t="s">
        <v>1826</v>
      </c>
    </row>
    <row r="1337" spans="1:6" ht="22.5" x14ac:dyDescent="0.25">
      <c r="A1337" s="7" t="s">
        <v>4448</v>
      </c>
      <c r="B1337" s="7" t="s">
        <v>4449</v>
      </c>
      <c r="C1337" s="7" t="s">
        <v>4450</v>
      </c>
      <c r="D1337" s="7" t="s">
        <v>1584</v>
      </c>
      <c r="E1337" s="7" t="s">
        <v>1585</v>
      </c>
      <c r="F1337" s="7" t="s">
        <v>1597</v>
      </c>
    </row>
    <row r="1338" spans="1:6" ht="22.5" x14ac:dyDescent="0.25">
      <c r="A1338" s="7" t="s">
        <v>730</v>
      </c>
      <c r="B1338" s="7" t="s">
        <v>4451</v>
      </c>
      <c r="C1338" s="7" t="s">
        <v>4452</v>
      </c>
      <c r="D1338" s="7" t="s">
        <v>1584</v>
      </c>
      <c r="E1338" s="7" t="s">
        <v>1585</v>
      </c>
      <c r="F1338" s="7" t="s">
        <v>1597</v>
      </c>
    </row>
    <row r="1339" spans="1:6" ht="22.5" x14ac:dyDescent="0.25">
      <c r="A1339" s="7" t="s">
        <v>4453</v>
      </c>
      <c r="B1339" s="7" t="s">
        <v>4454</v>
      </c>
      <c r="C1339" s="7" t="s">
        <v>4452</v>
      </c>
      <c r="D1339" s="7" t="s">
        <v>1584</v>
      </c>
      <c r="E1339" s="7" t="s">
        <v>1585</v>
      </c>
      <c r="F1339" s="7" t="s">
        <v>1597</v>
      </c>
    </row>
    <row r="1340" spans="1:6" ht="22.5" x14ac:dyDescent="0.25">
      <c r="A1340" s="7" t="s">
        <v>893</v>
      </c>
      <c r="B1340" s="7" t="s">
        <v>4455</v>
      </c>
      <c r="C1340" s="7" t="s">
        <v>4456</v>
      </c>
      <c r="D1340" s="7" t="s">
        <v>1584</v>
      </c>
      <c r="E1340" s="7" t="s">
        <v>1585</v>
      </c>
      <c r="F1340" s="7" t="s">
        <v>1597</v>
      </c>
    </row>
    <row r="1341" spans="1:6" ht="22.5" x14ac:dyDescent="0.25">
      <c r="A1341" s="7" t="s">
        <v>4457</v>
      </c>
      <c r="B1341" s="7" t="s">
        <v>4458</v>
      </c>
      <c r="C1341" s="7" t="s">
        <v>4456</v>
      </c>
      <c r="D1341" s="7" t="s">
        <v>1584</v>
      </c>
      <c r="E1341" s="7" t="s">
        <v>1585</v>
      </c>
      <c r="F1341" s="7" t="s">
        <v>1597</v>
      </c>
    </row>
    <row r="1342" spans="1:6" ht="22.5" x14ac:dyDescent="0.25">
      <c r="A1342" s="7" t="s">
        <v>4459</v>
      </c>
      <c r="B1342" s="7" t="s">
        <v>4460</v>
      </c>
      <c r="C1342" s="7" t="s">
        <v>4461</v>
      </c>
      <c r="D1342" s="7" t="s">
        <v>1584</v>
      </c>
      <c r="E1342" s="7" t="s">
        <v>1585</v>
      </c>
      <c r="F1342" s="7" t="s">
        <v>1597</v>
      </c>
    </row>
    <row r="1343" spans="1:6" x14ac:dyDescent="0.25">
      <c r="A1343" s="7" t="s">
        <v>858</v>
      </c>
      <c r="B1343" s="7" t="s">
        <v>4462</v>
      </c>
      <c r="C1343" s="7" t="s">
        <v>4461</v>
      </c>
      <c r="D1343" s="7" t="s">
        <v>1584</v>
      </c>
      <c r="E1343" s="7" t="s">
        <v>1585</v>
      </c>
      <c r="F1343" s="7" t="s">
        <v>1597</v>
      </c>
    </row>
    <row r="1344" spans="1:6" x14ac:dyDescent="0.25">
      <c r="A1344" s="7" t="s">
        <v>4463</v>
      </c>
      <c r="B1344" s="7" t="s">
        <v>4464</v>
      </c>
      <c r="C1344" s="7" t="s">
        <v>4461</v>
      </c>
      <c r="D1344" s="7" t="s">
        <v>1584</v>
      </c>
      <c r="E1344" s="7" t="s">
        <v>1585</v>
      </c>
      <c r="F1344" s="7" t="s">
        <v>1597</v>
      </c>
    </row>
    <row r="1345" spans="1:6" x14ac:dyDescent="0.25">
      <c r="A1345" s="7" t="s">
        <v>4465</v>
      </c>
      <c r="B1345" s="7" t="s">
        <v>4466</v>
      </c>
      <c r="C1345" s="7" t="s">
        <v>4461</v>
      </c>
      <c r="D1345" s="7" t="s">
        <v>1584</v>
      </c>
      <c r="E1345" s="7" t="s">
        <v>1585</v>
      </c>
      <c r="F1345" s="7" t="s">
        <v>1597</v>
      </c>
    </row>
    <row r="1346" spans="1:6" x14ac:dyDescent="0.25">
      <c r="A1346" s="7" t="s">
        <v>4467</v>
      </c>
      <c r="B1346" s="7" t="s">
        <v>4464</v>
      </c>
      <c r="C1346" s="7" t="s">
        <v>4468</v>
      </c>
      <c r="D1346" s="7" t="s">
        <v>1584</v>
      </c>
      <c r="E1346" s="7" t="s">
        <v>1585</v>
      </c>
      <c r="F1346" s="7" t="s">
        <v>1597</v>
      </c>
    </row>
    <row r="1347" spans="1:6" ht="22.5" x14ac:dyDescent="0.25">
      <c r="A1347" s="7" t="s">
        <v>4469</v>
      </c>
      <c r="B1347" s="7" t="s">
        <v>4470</v>
      </c>
      <c r="C1347" s="7" t="s">
        <v>4471</v>
      </c>
      <c r="D1347" s="7" t="s">
        <v>1584</v>
      </c>
      <c r="E1347" s="7" t="s">
        <v>1585</v>
      </c>
      <c r="F1347" s="7" t="s">
        <v>1597</v>
      </c>
    </row>
    <row r="1348" spans="1:6" x14ac:dyDescent="0.25">
      <c r="A1348" s="7" t="s">
        <v>855</v>
      </c>
      <c r="B1348" s="7" t="s">
        <v>4472</v>
      </c>
      <c r="C1348" s="7" t="s">
        <v>4473</v>
      </c>
      <c r="D1348" s="7" t="s">
        <v>1584</v>
      </c>
      <c r="E1348" s="7" t="s">
        <v>1585</v>
      </c>
      <c r="F1348" s="7" t="s">
        <v>1597</v>
      </c>
    </row>
    <row r="1349" spans="1:6" x14ac:dyDescent="0.25">
      <c r="A1349" s="7" t="s">
        <v>4474</v>
      </c>
      <c r="B1349" s="7" t="s">
        <v>4475</v>
      </c>
      <c r="C1349" s="7" t="s">
        <v>4473</v>
      </c>
      <c r="D1349" s="7" t="s">
        <v>1584</v>
      </c>
      <c r="E1349" s="7" t="s">
        <v>1585</v>
      </c>
      <c r="F1349" s="7" t="s">
        <v>1597</v>
      </c>
    </row>
    <row r="1350" spans="1:6" x14ac:dyDescent="0.25">
      <c r="A1350" s="7" t="s">
        <v>4476</v>
      </c>
      <c r="B1350" s="7" t="s">
        <v>4477</v>
      </c>
      <c r="C1350" s="7" t="s">
        <v>4478</v>
      </c>
      <c r="D1350" s="7" t="s">
        <v>1584</v>
      </c>
      <c r="E1350" s="7" t="s">
        <v>1585</v>
      </c>
      <c r="F1350" s="7" t="s">
        <v>1597</v>
      </c>
    </row>
    <row r="1351" spans="1:6" ht="22.5" x14ac:dyDescent="0.25">
      <c r="A1351" s="7" t="s">
        <v>211</v>
      </c>
      <c r="B1351" s="7" t="s">
        <v>4479</v>
      </c>
      <c r="C1351" s="7" t="s">
        <v>4480</v>
      </c>
      <c r="D1351" s="7" t="s">
        <v>1584</v>
      </c>
      <c r="E1351" s="7" t="s">
        <v>1585</v>
      </c>
      <c r="F1351" s="7" t="s">
        <v>1597</v>
      </c>
    </row>
    <row r="1352" spans="1:6" ht="22.5" x14ac:dyDescent="0.25">
      <c r="A1352" s="7" t="s">
        <v>4481</v>
      </c>
      <c r="B1352" s="7" t="s">
        <v>4482</v>
      </c>
      <c r="C1352" s="7" t="s">
        <v>4480</v>
      </c>
      <c r="D1352" s="7" t="s">
        <v>1584</v>
      </c>
      <c r="E1352" s="7" t="s">
        <v>1585</v>
      </c>
      <c r="F1352" s="7" t="s">
        <v>1597</v>
      </c>
    </row>
    <row r="1353" spans="1:6" ht="22.5" x14ac:dyDescent="0.25">
      <c r="A1353" s="7" t="s">
        <v>4483</v>
      </c>
      <c r="B1353" s="7" t="s">
        <v>4484</v>
      </c>
      <c r="C1353" s="7" t="s">
        <v>4485</v>
      </c>
      <c r="D1353" s="7" t="s">
        <v>1584</v>
      </c>
      <c r="E1353" s="7" t="s">
        <v>1585</v>
      </c>
      <c r="F1353" s="7" t="s">
        <v>1597</v>
      </c>
    </row>
    <row r="1354" spans="1:6" ht="22.5" x14ac:dyDescent="0.25">
      <c r="A1354" s="7" t="s">
        <v>4486</v>
      </c>
      <c r="B1354" s="7" t="s">
        <v>4487</v>
      </c>
      <c r="C1354" s="7" t="s">
        <v>4485</v>
      </c>
      <c r="D1354" s="7" t="s">
        <v>1584</v>
      </c>
      <c r="E1354" s="7" t="s">
        <v>1585</v>
      </c>
      <c r="F1354" s="7" t="s">
        <v>1597</v>
      </c>
    </row>
    <row r="1355" spans="1:6" ht="22.5" x14ac:dyDescent="0.25">
      <c r="A1355" s="7" t="s">
        <v>206</v>
      </c>
      <c r="B1355" s="7" t="s">
        <v>4488</v>
      </c>
      <c r="C1355" s="7" t="s">
        <v>4489</v>
      </c>
      <c r="D1355" s="7" t="s">
        <v>1584</v>
      </c>
      <c r="E1355" s="7" t="s">
        <v>1585</v>
      </c>
      <c r="F1355" s="7" t="s">
        <v>1597</v>
      </c>
    </row>
    <row r="1356" spans="1:6" ht="22.5" x14ac:dyDescent="0.25">
      <c r="A1356" s="7" t="s">
        <v>4490</v>
      </c>
      <c r="B1356" s="7" t="s">
        <v>4491</v>
      </c>
      <c r="C1356" s="7" t="s">
        <v>4489</v>
      </c>
      <c r="D1356" s="7" t="s">
        <v>1584</v>
      </c>
      <c r="E1356" s="7" t="s">
        <v>1585</v>
      </c>
      <c r="F1356" s="7" t="s">
        <v>1597</v>
      </c>
    </row>
    <row r="1357" spans="1:6" ht="22.5" x14ac:dyDescent="0.25">
      <c r="A1357" s="7" t="s">
        <v>4492</v>
      </c>
      <c r="B1357" s="7" t="s">
        <v>4493</v>
      </c>
      <c r="C1357" s="7" t="s">
        <v>4494</v>
      </c>
      <c r="D1357" s="7" t="s">
        <v>1584</v>
      </c>
      <c r="E1357" s="7" t="s">
        <v>1585</v>
      </c>
      <c r="F1357" s="7" t="s">
        <v>1597</v>
      </c>
    </row>
    <row r="1358" spans="1:6" ht="22.5" x14ac:dyDescent="0.25">
      <c r="A1358" s="7" t="s">
        <v>732</v>
      </c>
      <c r="B1358" s="7" t="s">
        <v>4495</v>
      </c>
      <c r="C1358" s="7" t="s">
        <v>4496</v>
      </c>
      <c r="D1358" s="7" t="s">
        <v>1584</v>
      </c>
      <c r="E1358" s="7" t="s">
        <v>1585</v>
      </c>
      <c r="F1358" s="7" t="s">
        <v>1597</v>
      </c>
    </row>
    <row r="1359" spans="1:6" ht="22.5" x14ac:dyDescent="0.25">
      <c r="A1359" s="7" t="s">
        <v>4497</v>
      </c>
      <c r="B1359" s="7" t="s">
        <v>4498</v>
      </c>
      <c r="C1359" s="7" t="s">
        <v>4496</v>
      </c>
      <c r="D1359" s="7" t="s">
        <v>1584</v>
      </c>
      <c r="E1359" s="7" t="s">
        <v>1585</v>
      </c>
      <c r="F1359" s="7" t="s">
        <v>1597</v>
      </c>
    </row>
    <row r="1360" spans="1:6" ht="22.5" x14ac:dyDescent="0.25">
      <c r="A1360" s="7" t="s">
        <v>4499</v>
      </c>
      <c r="B1360" s="7" t="s">
        <v>4500</v>
      </c>
      <c r="C1360" s="7" t="s">
        <v>4501</v>
      </c>
      <c r="D1360" s="7" t="s">
        <v>1584</v>
      </c>
      <c r="E1360" s="7" t="s">
        <v>1585</v>
      </c>
      <c r="F1360" s="7" t="s">
        <v>1597</v>
      </c>
    </row>
    <row r="1361" spans="1:6" ht="22.5" x14ac:dyDescent="0.25">
      <c r="A1361" s="7" t="s">
        <v>4502</v>
      </c>
      <c r="B1361" s="7" t="s">
        <v>4503</v>
      </c>
      <c r="C1361" s="7" t="s">
        <v>4501</v>
      </c>
      <c r="D1361" s="7" t="s">
        <v>1584</v>
      </c>
      <c r="E1361" s="7" t="s">
        <v>1585</v>
      </c>
      <c r="F1361" s="7" t="s">
        <v>1597</v>
      </c>
    </row>
    <row r="1362" spans="1:6" ht="22.5" x14ac:dyDescent="0.25">
      <c r="A1362" s="7" t="s">
        <v>722</v>
      </c>
      <c r="B1362" s="7" t="s">
        <v>4504</v>
      </c>
      <c r="C1362" s="7" t="s">
        <v>4505</v>
      </c>
      <c r="D1362" s="7" t="s">
        <v>1584</v>
      </c>
      <c r="E1362" s="7" t="s">
        <v>1585</v>
      </c>
      <c r="F1362" s="7" t="s">
        <v>1597</v>
      </c>
    </row>
    <row r="1363" spans="1:6" ht="22.5" x14ac:dyDescent="0.25">
      <c r="A1363" s="7" t="s">
        <v>4506</v>
      </c>
      <c r="B1363" s="7" t="s">
        <v>4507</v>
      </c>
      <c r="C1363" s="7" t="s">
        <v>4505</v>
      </c>
      <c r="D1363" s="7" t="s">
        <v>1584</v>
      </c>
      <c r="E1363" s="7" t="s">
        <v>1585</v>
      </c>
      <c r="F1363" s="7" t="s">
        <v>1597</v>
      </c>
    </row>
    <row r="1364" spans="1:6" ht="22.5" x14ac:dyDescent="0.25">
      <c r="A1364" s="7" t="s">
        <v>4508</v>
      </c>
      <c r="B1364" s="7" t="s">
        <v>4509</v>
      </c>
      <c r="C1364" s="7" t="s">
        <v>4510</v>
      </c>
      <c r="D1364" s="7" t="s">
        <v>1584</v>
      </c>
      <c r="E1364" s="7" t="s">
        <v>1585</v>
      </c>
      <c r="F1364" s="7" t="s">
        <v>1597</v>
      </c>
    </row>
    <row r="1365" spans="1:6" ht="22.5" x14ac:dyDescent="0.25">
      <c r="A1365" s="7" t="s">
        <v>735</v>
      </c>
      <c r="B1365" s="7" t="s">
        <v>4511</v>
      </c>
      <c r="C1365" s="7" t="s">
        <v>4512</v>
      </c>
      <c r="D1365" s="7" t="s">
        <v>1584</v>
      </c>
      <c r="E1365" s="7" t="s">
        <v>1585</v>
      </c>
      <c r="F1365" s="7" t="s">
        <v>1597</v>
      </c>
    </row>
    <row r="1366" spans="1:6" ht="22.5" x14ac:dyDescent="0.25">
      <c r="A1366" s="7" t="s">
        <v>4513</v>
      </c>
      <c r="B1366" s="7" t="s">
        <v>4514</v>
      </c>
      <c r="C1366" s="7" t="s">
        <v>4512</v>
      </c>
      <c r="D1366" s="7" t="s">
        <v>1584</v>
      </c>
      <c r="E1366" s="7" t="s">
        <v>1585</v>
      </c>
      <c r="F1366" s="7" t="s">
        <v>1597</v>
      </c>
    </row>
    <row r="1367" spans="1:6" ht="22.5" x14ac:dyDescent="0.25">
      <c r="A1367" s="7" t="s">
        <v>4515</v>
      </c>
      <c r="B1367" s="7" t="s">
        <v>4516</v>
      </c>
      <c r="C1367" s="7" t="s">
        <v>4517</v>
      </c>
      <c r="D1367" s="7" t="s">
        <v>1584</v>
      </c>
      <c r="E1367" s="7" t="s">
        <v>1585</v>
      </c>
      <c r="F1367" s="7" t="s">
        <v>1597</v>
      </c>
    </row>
    <row r="1368" spans="1:6" ht="22.5" x14ac:dyDescent="0.25">
      <c r="A1368" s="7" t="s">
        <v>4518</v>
      </c>
      <c r="B1368" s="7" t="s">
        <v>4519</v>
      </c>
      <c r="C1368" s="7" t="s">
        <v>4517</v>
      </c>
      <c r="D1368" s="7" t="s">
        <v>1584</v>
      </c>
      <c r="E1368" s="7" t="s">
        <v>1585</v>
      </c>
      <c r="F1368" s="7" t="s">
        <v>1597</v>
      </c>
    </row>
    <row r="1369" spans="1:6" ht="22.5" x14ac:dyDescent="0.25">
      <c r="A1369" s="7" t="s">
        <v>444</v>
      </c>
      <c r="B1369" s="7" t="s">
        <v>4520</v>
      </c>
      <c r="C1369" s="7" t="s">
        <v>4521</v>
      </c>
      <c r="D1369" s="7" t="s">
        <v>1584</v>
      </c>
      <c r="E1369" s="7" t="s">
        <v>1585</v>
      </c>
      <c r="F1369" s="7" t="s">
        <v>1586</v>
      </c>
    </row>
    <row r="1370" spans="1:6" ht="22.5" x14ac:dyDescent="0.25">
      <c r="A1370" s="7" t="s">
        <v>4522</v>
      </c>
      <c r="B1370" s="7" t="s">
        <v>4523</v>
      </c>
      <c r="C1370" s="7" t="s">
        <v>4524</v>
      </c>
      <c r="D1370" s="7" t="s">
        <v>1584</v>
      </c>
      <c r="E1370" s="7" t="s">
        <v>1585</v>
      </c>
      <c r="F1370" s="7" t="s">
        <v>1586</v>
      </c>
    </row>
    <row r="1371" spans="1:6" ht="22.5" x14ac:dyDescent="0.25">
      <c r="A1371" s="7" t="s">
        <v>436</v>
      </c>
      <c r="B1371" s="7" t="s">
        <v>4525</v>
      </c>
      <c r="C1371" s="7" t="s">
        <v>4526</v>
      </c>
      <c r="D1371" s="7" t="s">
        <v>1584</v>
      </c>
      <c r="E1371" s="7" t="s">
        <v>1585</v>
      </c>
      <c r="F1371" s="7" t="s">
        <v>1586</v>
      </c>
    </row>
    <row r="1372" spans="1:6" ht="22.5" x14ac:dyDescent="0.25">
      <c r="A1372" s="7" t="s">
        <v>4527</v>
      </c>
      <c r="B1372" s="7" t="s">
        <v>4528</v>
      </c>
      <c r="C1372" s="7" t="s">
        <v>4529</v>
      </c>
      <c r="D1372" s="7" t="s">
        <v>1584</v>
      </c>
      <c r="E1372" s="7" t="s">
        <v>1585</v>
      </c>
      <c r="F1372" s="7" t="s">
        <v>1586</v>
      </c>
    </row>
    <row r="1373" spans="1:6" ht="22.5" x14ac:dyDescent="0.25">
      <c r="A1373" s="7" t="s">
        <v>4530</v>
      </c>
      <c r="B1373" s="7" t="s">
        <v>4531</v>
      </c>
      <c r="C1373" s="7" t="s">
        <v>4532</v>
      </c>
      <c r="D1373" s="7" t="s">
        <v>1584</v>
      </c>
      <c r="E1373" s="7" t="s">
        <v>1585</v>
      </c>
      <c r="F1373" s="7" t="s">
        <v>1586</v>
      </c>
    </row>
    <row r="1374" spans="1:6" ht="22.5" x14ac:dyDescent="0.25">
      <c r="A1374" s="7" t="s">
        <v>4533</v>
      </c>
      <c r="B1374" s="7" t="s">
        <v>4534</v>
      </c>
      <c r="C1374" s="7" t="s">
        <v>4535</v>
      </c>
      <c r="D1374" s="7" t="s">
        <v>1584</v>
      </c>
      <c r="E1374" s="7" t="s">
        <v>1585</v>
      </c>
      <c r="F1374" s="7" t="s">
        <v>1586</v>
      </c>
    </row>
    <row r="1375" spans="1:6" ht="22.5" x14ac:dyDescent="0.25">
      <c r="A1375" s="7" t="s">
        <v>4536</v>
      </c>
      <c r="B1375" s="7" t="s">
        <v>4537</v>
      </c>
      <c r="C1375" s="7" t="s">
        <v>4538</v>
      </c>
      <c r="D1375" s="7" t="s">
        <v>1584</v>
      </c>
      <c r="E1375" s="7" t="s">
        <v>1585</v>
      </c>
      <c r="F1375" s="7" t="s">
        <v>1586</v>
      </c>
    </row>
    <row r="1376" spans="1:6" x14ac:dyDescent="0.25">
      <c r="A1376" s="7" t="s">
        <v>564</v>
      </c>
      <c r="B1376" s="7" t="s">
        <v>4539</v>
      </c>
      <c r="C1376" s="7" t="s">
        <v>4540</v>
      </c>
      <c r="D1376" s="7" t="s">
        <v>1584</v>
      </c>
      <c r="E1376" s="7" t="s">
        <v>1585</v>
      </c>
      <c r="F1376" s="7" t="s">
        <v>1586</v>
      </c>
    </row>
    <row r="1377" spans="1:6" ht="22.5" x14ac:dyDescent="0.25">
      <c r="A1377" s="7" t="s">
        <v>535</v>
      </c>
      <c r="B1377" s="7" t="s">
        <v>4541</v>
      </c>
      <c r="C1377" s="7" t="s">
        <v>4542</v>
      </c>
      <c r="D1377" s="7" t="s">
        <v>1584</v>
      </c>
      <c r="E1377" s="7" t="s">
        <v>1585</v>
      </c>
      <c r="F1377" s="7" t="s">
        <v>1586</v>
      </c>
    </row>
    <row r="1378" spans="1:6" ht="22.5" x14ac:dyDescent="0.25">
      <c r="A1378" s="7" t="s">
        <v>4543</v>
      </c>
      <c r="B1378" s="7" t="s">
        <v>4544</v>
      </c>
      <c r="C1378" s="7" t="s">
        <v>4545</v>
      </c>
      <c r="D1378" s="7" t="s">
        <v>1584</v>
      </c>
      <c r="E1378" s="7" t="s">
        <v>1585</v>
      </c>
      <c r="F1378" s="7" t="s">
        <v>1586</v>
      </c>
    </row>
    <row r="1379" spans="1:6" ht="22.5" x14ac:dyDescent="0.25">
      <c r="A1379" s="7" t="s">
        <v>446</v>
      </c>
      <c r="B1379" s="7" t="s">
        <v>4546</v>
      </c>
      <c r="C1379" s="7" t="s">
        <v>4547</v>
      </c>
      <c r="D1379" s="7" t="s">
        <v>1584</v>
      </c>
      <c r="E1379" s="7" t="s">
        <v>1585</v>
      </c>
      <c r="F1379" s="7" t="s">
        <v>1586</v>
      </c>
    </row>
    <row r="1380" spans="1:6" x14ac:dyDescent="0.25">
      <c r="A1380" s="7" t="s">
        <v>4548</v>
      </c>
      <c r="B1380" s="7" t="s">
        <v>4549</v>
      </c>
      <c r="C1380" s="7" t="s">
        <v>4550</v>
      </c>
      <c r="D1380" s="7" t="s">
        <v>2920</v>
      </c>
      <c r="E1380" s="7" t="s">
        <v>1593</v>
      </c>
      <c r="F1380" s="7" t="s">
        <v>1594</v>
      </c>
    </row>
    <row r="1381" spans="1:6" x14ac:dyDescent="0.25">
      <c r="A1381" s="7" t="s">
        <v>4551</v>
      </c>
      <c r="B1381" s="7" t="s">
        <v>4552</v>
      </c>
      <c r="C1381" s="7" t="s">
        <v>4553</v>
      </c>
      <c r="D1381" s="7" t="s">
        <v>2920</v>
      </c>
      <c r="E1381" s="7" t="s">
        <v>1593</v>
      </c>
      <c r="F1381" s="7" t="s">
        <v>1594</v>
      </c>
    </row>
    <row r="1382" spans="1:6" x14ac:dyDescent="0.25">
      <c r="A1382" s="7" t="s">
        <v>4554</v>
      </c>
      <c r="B1382" s="7" t="s">
        <v>4555</v>
      </c>
      <c r="C1382" s="7" t="s">
        <v>4556</v>
      </c>
      <c r="D1382" s="7" t="s">
        <v>2920</v>
      </c>
      <c r="E1382" s="7" t="s">
        <v>1593</v>
      </c>
      <c r="F1382" s="7" t="s">
        <v>1594</v>
      </c>
    </row>
    <row r="1383" spans="1:6" ht="22.5" x14ac:dyDescent="0.25">
      <c r="A1383" s="7" t="s">
        <v>4557</v>
      </c>
      <c r="B1383" s="7" t="s">
        <v>4558</v>
      </c>
      <c r="C1383" s="7" t="s">
        <v>4559</v>
      </c>
      <c r="D1383" s="7" t="s">
        <v>992</v>
      </c>
      <c r="E1383" s="7" t="s">
        <v>1614</v>
      </c>
      <c r="F1383" s="7" t="s">
        <v>1786</v>
      </c>
    </row>
    <row r="1384" spans="1:6" ht="22.5" x14ac:dyDescent="0.25">
      <c r="A1384" s="7" t="s">
        <v>4560</v>
      </c>
      <c r="B1384" s="7" t="s">
        <v>4561</v>
      </c>
      <c r="C1384" s="7" t="s">
        <v>4562</v>
      </c>
      <c r="D1384" s="7" t="s">
        <v>992</v>
      </c>
      <c r="E1384" s="7" t="s">
        <v>1614</v>
      </c>
      <c r="F1384" s="7" t="s">
        <v>1786</v>
      </c>
    </row>
    <row r="1385" spans="1:6" ht="22.5" x14ac:dyDescent="0.25">
      <c r="A1385" s="7" t="s">
        <v>338</v>
      </c>
      <c r="B1385" s="7" t="s">
        <v>4563</v>
      </c>
      <c r="C1385" s="7" t="s">
        <v>4564</v>
      </c>
      <c r="D1385" s="7" t="s">
        <v>992</v>
      </c>
      <c r="E1385" s="7" t="s">
        <v>1614</v>
      </c>
      <c r="F1385" s="7" t="s">
        <v>1786</v>
      </c>
    </row>
    <row r="1386" spans="1:6" x14ac:dyDescent="0.25">
      <c r="A1386" s="7" t="s">
        <v>4565</v>
      </c>
      <c r="B1386" s="7" t="s">
        <v>4566</v>
      </c>
      <c r="C1386" s="7" t="s">
        <v>4567</v>
      </c>
      <c r="D1386" s="7" t="s">
        <v>2920</v>
      </c>
      <c r="E1386" s="7" t="s">
        <v>1593</v>
      </c>
      <c r="F1386" s="7" t="s">
        <v>1826</v>
      </c>
    </row>
    <row r="1387" spans="1:6" x14ac:dyDescent="0.25">
      <c r="A1387" s="7" t="s">
        <v>305</v>
      </c>
      <c r="B1387" s="7" t="s">
        <v>4568</v>
      </c>
      <c r="C1387" s="7" t="s">
        <v>4569</v>
      </c>
      <c r="D1387" s="7" t="s">
        <v>2920</v>
      </c>
      <c r="E1387" s="7" t="s">
        <v>1593</v>
      </c>
      <c r="F1387" s="7" t="s">
        <v>1826</v>
      </c>
    </row>
    <row r="1388" spans="1:6" x14ac:dyDescent="0.25">
      <c r="A1388" s="7" t="s">
        <v>307</v>
      </c>
      <c r="B1388" s="7" t="s">
        <v>4570</v>
      </c>
      <c r="C1388" s="7" t="s">
        <v>4571</v>
      </c>
      <c r="D1388" s="7" t="s">
        <v>2920</v>
      </c>
      <c r="E1388" s="7" t="s">
        <v>1593</v>
      </c>
      <c r="F1388" s="7" t="s">
        <v>1826</v>
      </c>
    </row>
    <row r="1389" spans="1:6" x14ac:dyDescent="0.25">
      <c r="A1389" s="7" t="s">
        <v>255</v>
      </c>
      <c r="B1389" s="7" t="s">
        <v>4572</v>
      </c>
      <c r="C1389" s="7" t="s">
        <v>4573</v>
      </c>
      <c r="D1389" s="7" t="s">
        <v>1836</v>
      </c>
      <c r="E1389" s="7" t="s">
        <v>1837</v>
      </c>
      <c r="F1389" s="7" t="s">
        <v>1838</v>
      </c>
    </row>
    <row r="1390" spans="1:6" x14ac:dyDescent="0.25">
      <c r="A1390" s="7" t="s">
        <v>249</v>
      </c>
      <c r="B1390" s="7" t="s">
        <v>4574</v>
      </c>
      <c r="C1390" s="7" t="s">
        <v>4575</v>
      </c>
      <c r="D1390" s="7" t="s">
        <v>3435</v>
      </c>
      <c r="E1390" s="7" t="s">
        <v>1593</v>
      </c>
      <c r="F1390" s="7" t="s">
        <v>1826</v>
      </c>
    </row>
    <row r="1391" spans="1:6" x14ac:dyDescent="0.25">
      <c r="A1391" s="7" t="s">
        <v>4576</v>
      </c>
      <c r="B1391" s="7" t="s">
        <v>4577</v>
      </c>
      <c r="C1391" s="7" t="s">
        <v>4578</v>
      </c>
      <c r="D1391" s="7" t="s">
        <v>3746</v>
      </c>
      <c r="E1391" s="7" t="s">
        <v>1614</v>
      </c>
      <c r="F1391" s="7" t="s">
        <v>1786</v>
      </c>
    </row>
    <row r="1392" spans="1:6" x14ac:dyDescent="0.25">
      <c r="A1392" s="7" t="s">
        <v>4579</v>
      </c>
      <c r="B1392" s="7" t="s">
        <v>4580</v>
      </c>
      <c r="C1392" s="7" t="s">
        <v>4581</v>
      </c>
      <c r="D1392" s="7" t="s">
        <v>3746</v>
      </c>
      <c r="E1392" s="7" t="s">
        <v>1614</v>
      </c>
      <c r="F1392" s="7" t="s">
        <v>1786</v>
      </c>
    </row>
    <row r="1393" spans="1:6" x14ac:dyDescent="0.25">
      <c r="A1393" s="7" t="s">
        <v>813</v>
      </c>
      <c r="B1393" s="7" t="s">
        <v>4582</v>
      </c>
      <c r="C1393" s="7" t="s">
        <v>4583</v>
      </c>
      <c r="D1393" s="7" t="s">
        <v>2892</v>
      </c>
      <c r="E1393" s="7" t="s">
        <v>1585</v>
      </c>
      <c r="F1393" s="7" t="s">
        <v>1597</v>
      </c>
    </row>
    <row r="1394" spans="1:6" x14ac:dyDescent="0.25">
      <c r="A1394" s="7" t="s">
        <v>4584</v>
      </c>
      <c r="B1394" s="7" t="s">
        <v>4585</v>
      </c>
      <c r="C1394" s="7" t="s">
        <v>4586</v>
      </c>
      <c r="D1394" s="7" t="s">
        <v>2892</v>
      </c>
      <c r="E1394" s="7" t="s">
        <v>1585</v>
      </c>
      <c r="F1394" s="7" t="s">
        <v>1597</v>
      </c>
    </row>
    <row r="1395" spans="1:6" x14ac:dyDescent="0.25">
      <c r="A1395" s="7" t="s">
        <v>113</v>
      </c>
      <c r="B1395" s="7" t="s">
        <v>4587</v>
      </c>
      <c r="C1395" s="7" t="s">
        <v>4588</v>
      </c>
      <c r="D1395" s="7" t="s">
        <v>2892</v>
      </c>
      <c r="E1395" s="7" t="s">
        <v>1585</v>
      </c>
      <c r="F1395" s="7" t="s">
        <v>1597</v>
      </c>
    </row>
    <row r="1396" spans="1:6" x14ac:dyDescent="0.25">
      <c r="A1396" s="7" t="s">
        <v>4589</v>
      </c>
      <c r="B1396" s="7" t="s">
        <v>4590</v>
      </c>
      <c r="C1396" s="7" t="s">
        <v>4591</v>
      </c>
      <c r="D1396" s="7" t="s">
        <v>2892</v>
      </c>
      <c r="E1396" s="7" t="s">
        <v>1585</v>
      </c>
      <c r="F1396" s="7" t="s">
        <v>1597</v>
      </c>
    </row>
    <row r="1397" spans="1:6" x14ac:dyDescent="0.25">
      <c r="A1397" s="7" t="s">
        <v>119</v>
      </c>
      <c r="B1397" s="7" t="s">
        <v>4592</v>
      </c>
      <c r="C1397" s="7" t="s">
        <v>4593</v>
      </c>
      <c r="D1397" s="7" t="s">
        <v>2892</v>
      </c>
      <c r="E1397" s="7" t="s">
        <v>1585</v>
      </c>
      <c r="F1397" s="7" t="s">
        <v>1597</v>
      </c>
    </row>
    <row r="1398" spans="1:6" ht="22.5" x14ac:dyDescent="0.25">
      <c r="A1398" s="7" t="s">
        <v>4594</v>
      </c>
      <c r="B1398" s="7" t="s">
        <v>4595</v>
      </c>
      <c r="C1398" s="7" t="s">
        <v>4596</v>
      </c>
      <c r="D1398" s="7" t="s">
        <v>2515</v>
      </c>
      <c r="E1398" s="7" t="s">
        <v>1585</v>
      </c>
      <c r="F1398" s="7" t="s">
        <v>3724</v>
      </c>
    </row>
    <row r="1399" spans="1:6" x14ac:dyDescent="0.25">
      <c r="A1399" s="7" t="s">
        <v>4597</v>
      </c>
      <c r="B1399" s="7" t="s">
        <v>4598</v>
      </c>
      <c r="C1399" s="7" t="s">
        <v>4599</v>
      </c>
      <c r="D1399" s="7" t="s">
        <v>3746</v>
      </c>
      <c r="E1399" s="7" t="s">
        <v>1614</v>
      </c>
      <c r="F1399" s="7" t="s">
        <v>2260</v>
      </c>
    </row>
    <row r="1400" spans="1:6" x14ac:dyDescent="0.25">
      <c r="A1400" s="7" t="s">
        <v>4600</v>
      </c>
      <c r="B1400" s="7" t="s">
        <v>4601</v>
      </c>
      <c r="C1400" s="7" t="s">
        <v>4602</v>
      </c>
      <c r="D1400" s="7" t="s">
        <v>2477</v>
      </c>
      <c r="E1400" s="7" t="s">
        <v>1593</v>
      </c>
      <c r="F1400" s="7" t="s">
        <v>1594</v>
      </c>
    </row>
    <row r="1401" spans="1:6" x14ac:dyDescent="0.25">
      <c r="A1401" s="7" t="s">
        <v>4603</v>
      </c>
      <c r="B1401" s="7" t="s">
        <v>4604</v>
      </c>
      <c r="C1401" s="7" t="s">
        <v>4605</v>
      </c>
      <c r="D1401" s="7" t="s">
        <v>2477</v>
      </c>
      <c r="E1401" s="7" t="s">
        <v>1593</v>
      </c>
      <c r="F1401" s="7" t="s">
        <v>1594</v>
      </c>
    </row>
    <row r="1402" spans="1:6" x14ac:dyDescent="0.25">
      <c r="A1402" s="7" t="s">
        <v>4606</v>
      </c>
      <c r="B1402" s="7" t="s">
        <v>4607</v>
      </c>
      <c r="C1402" s="7" t="s">
        <v>4608</v>
      </c>
      <c r="D1402" s="7" t="s">
        <v>1584</v>
      </c>
      <c r="E1402" s="7" t="s">
        <v>1585</v>
      </c>
      <c r="F1402" s="7" t="s">
        <v>1597</v>
      </c>
    </row>
    <row r="1403" spans="1:6" ht="22.5" x14ac:dyDescent="0.25">
      <c r="A1403" s="7" t="s">
        <v>4609</v>
      </c>
      <c r="B1403" s="7" t="s">
        <v>4610</v>
      </c>
      <c r="C1403" s="7" t="s">
        <v>4608</v>
      </c>
      <c r="D1403" s="7" t="s">
        <v>1584</v>
      </c>
      <c r="E1403" s="7" t="s">
        <v>1585</v>
      </c>
      <c r="F1403" s="7" t="s">
        <v>1597</v>
      </c>
    </row>
    <row r="1404" spans="1:6" ht="22.5" x14ac:dyDescent="0.25">
      <c r="A1404" s="7" t="s">
        <v>4611</v>
      </c>
      <c r="B1404" s="7" t="s">
        <v>4612</v>
      </c>
      <c r="C1404" s="7" t="s">
        <v>4608</v>
      </c>
      <c r="D1404" s="7" t="s">
        <v>1584</v>
      </c>
      <c r="E1404" s="7" t="s">
        <v>1585</v>
      </c>
      <c r="F1404" s="7" t="s">
        <v>1597</v>
      </c>
    </row>
    <row r="1405" spans="1:6" x14ac:dyDescent="0.25">
      <c r="A1405" s="7" t="s">
        <v>4613</v>
      </c>
      <c r="B1405" s="7" t="s">
        <v>4614</v>
      </c>
      <c r="C1405" s="7" t="s">
        <v>4615</v>
      </c>
      <c r="D1405" s="7" t="s">
        <v>4414</v>
      </c>
      <c r="E1405" s="7" t="s">
        <v>1585</v>
      </c>
      <c r="F1405" s="7" t="s">
        <v>2804</v>
      </c>
    </row>
    <row r="1406" spans="1:6" x14ac:dyDescent="0.25">
      <c r="A1406" s="7" t="s">
        <v>4616</v>
      </c>
      <c r="B1406" s="7" t="s">
        <v>4617</v>
      </c>
      <c r="C1406" s="7" t="s">
        <v>4618</v>
      </c>
      <c r="D1406" s="7" t="s">
        <v>4414</v>
      </c>
      <c r="E1406" s="7" t="s">
        <v>1585</v>
      </c>
      <c r="F1406" s="7" t="s">
        <v>2804</v>
      </c>
    </row>
    <row r="1407" spans="1:6" ht="22.5" x14ac:dyDescent="0.25">
      <c r="A1407" s="7" t="s">
        <v>4619</v>
      </c>
      <c r="B1407" s="7" t="s">
        <v>4620</v>
      </c>
      <c r="C1407" s="7" t="s">
        <v>4621</v>
      </c>
      <c r="D1407" s="7" t="s">
        <v>4414</v>
      </c>
      <c r="E1407" s="7" t="s">
        <v>1585</v>
      </c>
      <c r="F1407" s="7" t="s">
        <v>2804</v>
      </c>
    </row>
    <row r="1408" spans="1:6" ht="22.5" x14ac:dyDescent="0.25">
      <c r="A1408" s="7" t="s">
        <v>4622</v>
      </c>
      <c r="B1408" s="7" t="s">
        <v>4623</v>
      </c>
      <c r="C1408" s="7" t="s">
        <v>4624</v>
      </c>
      <c r="D1408" s="7" t="s">
        <v>1584</v>
      </c>
      <c r="E1408" s="7" t="s">
        <v>1585</v>
      </c>
      <c r="F1408" s="7" t="s">
        <v>1586</v>
      </c>
    </row>
    <row r="1409" spans="1:6" x14ac:dyDescent="0.25">
      <c r="A1409" s="7" t="s">
        <v>4625</v>
      </c>
      <c r="B1409" s="7" t="s">
        <v>4626</v>
      </c>
      <c r="C1409" s="7" t="s">
        <v>4627</v>
      </c>
      <c r="D1409" s="7" t="s">
        <v>4628</v>
      </c>
      <c r="E1409" s="7" t="s">
        <v>1593</v>
      </c>
      <c r="F1409" s="7" t="s">
        <v>1594</v>
      </c>
    </row>
    <row r="1410" spans="1:6" x14ac:dyDescent="0.25">
      <c r="A1410" s="7" t="s">
        <v>4629</v>
      </c>
      <c r="B1410" s="7" t="s">
        <v>4630</v>
      </c>
      <c r="C1410" s="7" t="s">
        <v>4631</v>
      </c>
      <c r="D1410" s="7" t="s">
        <v>4628</v>
      </c>
      <c r="E1410" s="7" t="s">
        <v>1593</v>
      </c>
      <c r="F1410" s="7" t="s">
        <v>1594</v>
      </c>
    </row>
    <row r="1411" spans="1:6" x14ac:dyDescent="0.25">
      <c r="A1411" s="7" t="s">
        <v>4632</v>
      </c>
      <c r="B1411" s="7" t="s">
        <v>4633</v>
      </c>
      <c r="C1411" s="7" t="s">
        <v>4634</v>
      </c>
      <c r="D1411" s="7" t="s">
        <v>4628</v>
      </c>
      <c r="E1411" s="7" t="s">
        <v>1593</v>
      </c>
      <c r="F1411" s="7" t="s">
        <v>1594</v>
      </c>
    </row>
    <row r="1412" spans="1:6" x14ac:dyDescent="0.25">
      <c r="A1412" s="7" t="s">
        <v>4635</v>
      </c>
      <c r="B1412" s="7" t="s">
        <v>4636</v>
      </c>
      <c r="C1412" s="7" t="s">
        <v>4637</v>
      </c>
      <c r="D1412" s="7" t="s">
        <v>4628</v>
      </c>
      <c r="E1412" s="7" t="s">
        <v>1593</v>
      </c>
      <c r="F1412" s="7" t="s">
        <v>1594</v>
      </c>
    </row>
    <row r="1413" spans="1:6" x14ac:dyDescent="0.25">
      <c r="A1413" s="7" t="s">
        <v>282</v>
      </c>
      <c r="B1413" s="7" t="s">
        <v>4638</v>
      </c>
      <c r="C1413" s="7" t="s">
        <v>4639</v>
      </c>
      <c r="D1413" s="7" t="s">
        <v>2920</v>
      </c>
      <c r="E1413" s="7" t="s">
        <v>1593</v>
      </c>
      <c r="F1413" s="7" t="s">
        <v>1594</v>
      </c>
    </row>
    <row r="1414" spans="1:6" x14ac:dyDescent="0.25">
      <c r="A1414" s="7" t="s">
        <v>4640</v>
      </c>
      <c r="B1414" s="7" t="s">
        <v>4641</v>
      </c>
      <c r="C1414" s="7" t="s">
        <v>4642</v>
      </c>
      <c r="D1414" s="7" t="s">
        <v>2920</v>
      </c>
      <c r="E1414" s="7" t="s">
        <v>1593</v>
      </c>
      <c r="F1414" s="7" t="s">
        <v>1594</v>
      </c>
    </row>
    <row r="1415" spans="1:6" x14ac:dyDescent="0.25">
      <c r="A1415" s="7" t="s">
        <v>419</v>
      </c>
      <c r="B1415" s="7" t="s">
        <v>4643</v>
      </c>
      <c r="C1415" s="7" t="s">
        <v>4644</v>
      </c>
      <c r="D1415" s="7" t="s">
        <v>1592</v>
      </c>
      <c r="E1415" s="7" t="s">
        <v>1593</v>
      </c>
      <c r="F1415" s="7" t="s">
        <v>1594</v>
      </c>
    </row>
    <row r="1416" spans="1:6" x14ac:dyDescent="0.25">
      <c r="A1416" s="7" t="s">
        <v>4645</v>
      </c>
      <c r="B1416" s="7" t="s">
        <v>4646</v>
      </c>
      <c r="C1416" s="7" t="s">
        <v>4647</v>
      </c>
      <c r="D1416" s="7" t="s">
        <v>1938</v>
      </c>
      <c r="E1416" s="7" t="s">
        <v>1585</v>
      </c>
      <c r="F1416" s="7" t="s">
        <v>1586</v>
      </c>
    </row>
    <row r="1417" spans="1:6" x14ac:dyDescent="0.25">
      <c r="A1417" s="7" t="s">
        <v>4648</v>
      </c>
      <c r="B1417" s="7" t="s">
        <v>4649</v>
      </c>
      <c r="C1417" s="7" t="s">
        <v>4650</v>
      </c>
      <c r="D1417" s="7" t="s">
        <v>1938</v>
      </c>
      <c r="E1417" s="7" t="s">
        <v>1585</v>
      </c>
      <c r="F1417" s="7" t="s">
        <v>1586</v>
      </c>
    </row>
    <row r="1418" spans="1:6" x14ac:dyDescent="0.25">
      <c r="A1418" s="7" t="s">
        <v>4651</v>
      </c>
      <c r="B1418" s="7" t="s">
        <v>4652</v>
      </c>
      <c r="C1418" s="7" t="s">
        <v>4653</v>
      </c>
      <c r="D1418" s="7" t="s">
        <v>1938</v>
      </c>
      <c r="E1418" s="7" t="s">
        <v>1585</v>
      </c>
      <c r="F1418" s="7" t="s">
        <v>1586</v>
      </c>
    </row>
    <row r="1419" spans="1:6" ht="22.5" x14ac:dyDescent="0.25">
      <c r="A1419" s="7" t="s">
        <v>4654</v>
      </c>
      <c r="B1419" s="7" t="s">
        <v>4655</v>
      </c>
      <c r="C1419" s="7" t="s">
        <v>4656</v>
      </c>
      <c r="D1419" s="7" t="s">
        <v>1938</v>
      </c>
      <c r="E1419" s="7" t="s">
        <v>1585</v>
      </c>
      <c r="F1419" s="7" t="s">
        <v>1586</v>
      </c>
    </row>
    <row r="1420" spans="1:6" x14ac:dyDescent="0.25">
      <c r="A1420" s="7" t="s">
        <v>4657</v>
      </c>
      <c r="B1420" s="7" t="s">
        <v>4658</v>
      </c>
      <c r="C1420" s="7" t="s">
        <v>4659</v>
      </c>
      <c r="D1420" s="7" t="s">
        <v>1938</v>
      </c>
      <c r="E1420" s="7" t="s">
        <v>1585</v>
      </c>
      <c r="F1420" s="7" t="s">
        <v>1586</v>
      </c>
    </row>
    <row r="1421" spans="1:6" ht="22.5" x14ac:dyDescent="0.25">
      <c r="A1421" s="7" t="s">
        <v>4660</v>
      </c>
      <c r="B1421" s="7" t="s">
        <v>4661</v>
      </c>
      <c r="C1421" s="7" t="s">
        <v>4662</v>
      </c>
      <c r="D1421" s="7" t="s">
        <v>1938</v>
      </c>
      <c r="E1421" s="7" t="s">
        <v>1585</v>
      </c>
      <c r="F1421" s="7" t="s">
        <v>1586</v>
      </c>
    </row>
    <row r="1422" spans="1:6" x14ac:dyDescent="0.25">
      <c r="A1422" s="7" t="s">
        <v>4663</v>
      </c>
      <c r="B1422" s="7" t="s">
        <v>4664</v>
      </c>
      <c r="C1422" s="7" t="s">
        <v>4665</v>
      </c>
      <c r="D1422" s="7" t="s">
        <v>1592</v>
      </c>
      <c r="E1422" s="7" t="s">
        <v>1593</v>
      </c>
      <c r="F1422" s="7" t="s">
        <v>1594</v>
      </c>
    </row>
    <row r="1423" spans="1:6" x14ac:dyDescent="0.25">
      <c r="A1423" s="7" t="s">
        <v>4666</v>
      </c>
      <c r="B1423" s="7" t="s">
        <v>4667</v>
      </c>
      <c r="C1423" s="7" t="s">
        <v>4668</v>
      </c>
      <c r="D1423" s="7" t="s">
        <v>1000</v>
      </c>
      <c r="E1423" s="7" t="s">
        <v>1609</v>
      </c>
      <c r="F1423" s="7" t="s">
        <v>4669</v>
      </c>
    </row>
    <row r="1424" spans="1:6" x14ac:dyDescent="0.25">
      <c r="A1424" s="7" t="s">
        <v>4670</v>
      </c>
      <c r="B1424" s="7" t="s">
        <v>4671</v>
      </c>
      <c r="C1424" s="7" t="s">
        <v>4672</v>
      </c>
      <c r="D1424" s="7" t="s">
        <v>1000</v>
      </c>
      <c r="E1424" s="7" t="s">
        <v>1609</v>
      </c>
      <c r="F1424" s="7" t="s">
        <v>4669</v>
      </c>
    </row>
    <row r="1425" spans="1:6" x14ac:dyDescent="0.25">
      <c r="A1425" s="7" t="s">
        <v>349</v>
      </c>
      <c r="B1425" s="7" t="s">
        <v>4673</v>
      </c>
      <c r="C1425" s="7" t="s">
        <v>4674</v>
      </c>
      <c r="D1425" s="7" t="s">
        <v>2920</v>
      </c>
      <c r="E1425" s="7" t="s">
        <v>1593</v>
      </c>
      <c r="F1425" s="7" t="s">
        <v>1594</v>
      </c>
    </row>
    <row r="1426" spans="1:6" x14ac:dyDescent="0.25">
      <c r="A1426" s="7" t="s">
        <v>352</v>
      </c>
      <c r="B1426" s="7" t="s">
        <v>4675</v>
      </c>
      <c r="C1426" s="7" t="s">
        <v>4676</v>
      </c>
      <c r="D1426" s="7" t="s">
        <v>2920</v>
      </c>
      <c r="E1426" s="7" t="s">
        <v>1593</v>
      </c>
      <c r="F1426" s="7" t="s">
        <v>1594</v>
      </c>
    </row>
    <row r="1427" spans="1:6" x14ac:dyDescent="0.25">
      <c r="A1427" s="7" t="s">
        <v>405</v>
      </c>
      <c r="B1427" s="7" t="s">
        <v>4677</v>
      </c>
      <c r="C1427" s="7" t="s">
        <v>4678</v>
      </c>
      <c r="D1427" s="7" t="s">
        <v>1861</v>
      </c>
      <c r="E1427" s="7" t="s">
        <v>1593</v>
      </c>
      <c r="F1427" s="7" t="s">
        <v>1826</v>
      </c>
    </row>
    <row r="1428" spans="1:6" x14ac:dyDescent="0.25">
      <c r="A1428" s="7" t="s">
        <v>402</v>
      </c>
      <c r="B1428" s="7" t="s">
        <v>4679</v>
      </c>
      <c r="C1428" s="7" t="s">
        <v>4680</v>
      </c>
      <c r="D1428" s="7" t="s">
        <v>1861</v>
      </c>
      <c r="E1428" s="7" t="s">
        <v>1593</v>
      </c>
      <c r="F1428" s="7" t="s">
        <v>1826</v>
      </c>
    </row>
    <row r="1429" spans="1:6" x14ac:dyDescent="0.25">
      <c r="A1429" s="7" t="s">
        <v>913</v>
      </c>
      <c r="B1429" s="7" t="s">
        <v>4681</v>
      </c>
      <c r="C1429" s="7" t="s">
        <v>4682</v>
      </c>
      <c r="D1429" s="7" t="s">
        <v>3047</v>
      </c>
      <c r="E1429" s="7" t="s">
        <v>1585</v>
      </c>
      <c r="F1429" s="7" t="s">
        <v>1597</v>
      </c>
    </row>
    <row r="1430" spans="1:6" x14ac:dyDescent="0.25">
      <c r="A1430" s="7" t="s">
        <v>4683</v>
      </c>
      <c r="B1430" s="7" t="s">
        <v>4684</v>
      </c>
      <c r="C1430" s="7" t="s">
        <v>4685</v>
      </c>
      <c r="D1430" s="7" t="s">
        <v>3047</v>
      </c>
      <c r="E1430" s="7" t="s">
        <v>1585</v>
      </c>
      <c r="F1430" s="7" t="s">
        <v>1597</v>
      </c>
    </row>
    <row r="1431" spans="1:6" x14ac:dyDescent="0.25">
      <c r="A1431" s="7" t="s">
        <v>915</v>
      </c>
      <c r="B1431" s="7" t="s">
        <v>4686</v>
      </c>
      <c r="C1431" s="7" t="s">
        <v>4687</v>
      </c>
      <c r="D1431" s="7" t="s">
        <v>3047</v>
      </c>
      <c r="E1431" s="7" t="s">
        <v>1585</v>
      </c>
      <c r="F1431" s="7" t="s">
        <v>1597</v>
      </c>
    </row>
    <row r="1432" spans="1:6" x14ac:dyDescent="0.25">
      <c r="A1432" s="7" t="s">
        <v>911</v>
      </c>
      <c r="B1432" s="7" t="s">
        <v>4688</v>
      </c>
      <c r="C1432" s="7" t="s">
        <v>4689</v>
      </c>
      <c r="D1432" s="7" t="s">
        <v>3047</v>
      </c>
      <c r="E1432" s="7" t="s">
        <v>1585</v>
      </c>
      <c r="F1432" s="7" t="s">
        <v>1597</v>
      </c>
    </row>
    <row r="1433" spans="1:6" x14ac:dyDescent="0.25">
      <c r="A1433" s="7" t="s">
        <v>4690</v>
      </c>
      <c r="B1433" s="7" t="s">
        <v>4691</v>
      </c>
      <c r="C1433" s="7" t="s">
        <v>4692</v>
      </c>
      <c r="D1433" s="7" t="s">
        <v>3047</v>
      </c>
      <c r="E1433" s="7" t="s">
        <v>1585</v>
      </c>
      <c r="F1433" s="7" t="s">
        <v>1597</v>
      </c>
    </row>
    <row r="1434" spans="1:6" x14ac:dyDescent="0.25">
      <c r="A1434" s="7" t="s">
        <v>4693</v>
      </c>
      <c r="B1434" s="7" t="s">
        <v>4694</v>
      </c>
      <c r="C1434" s="7" t="s">
        <v>4695</v>
      </c>
      <c r="D1434" s="7" t="s">
        <v>3047</v>
      </c>
      <c r="E1434" s="7" t="s">
        <v>1585</v>
      </c>
      <c r="F1434" s="7" t="s">
        <v>1597</v>
      </c>
    </row>
    <row r="1435" spans="1:6" x14ac:dyDescent="0.25">
      <c r="A1435" s="7" t="s">
        <v>4696</v>
      </c>
      <c r="B1435" s="7" t="s">
        <v>4697</v>
      </c>
      <c r="C1435" s="7" t="s">
        <v>4698</v>
      </c>
      <c r="D1435" s="7" t="s">
        <v>3047</v>
      </c>
      <c r="E1435" s="7" t="s">
        <v>1585</v>
      </c>
      <c r="F1435" s="7" t="s">
        <v>1597</v>
      </c>
    </row>
    <row r="1436" spans="1:6" x14ac:dyDescent="0.25">
      <c r="A1436" s="7" t="s">
        <v>917</v>
      </c>
      <c r="B1436" s="7" t="s">
        <v>4699</v>
      </c>
      <c r="C1436" s="7" t="s">
        <v>4700</v>
      </c>
      <c r="D1436" s="7" t="s">
        <v>3047</v>
      </c>
      <c r="E1436" s="7" t="s">
        <v>1585</v>
      </c>
      <c r="F1436" s="7" t="s">
        <v>1597</v>
      </c>
    </row>
    <row r="1437" spans="1:6" x14ac:dyDescent="0.25">
      <c r="A1437" s="7" t="s">
        <v>905</v>
      </c>
      <c r="B1437" s="7" t="s">
        <v>4701</v>
      </c>
      <c r="C1437" s="7" t="s">
        <v>4702</v>
      </c>
      <c r="D1437" s="7" t="s">
        <v>3047</v>
      </c>
      <c r="E1437" s="7" t="s">
        <v>1585</v>
      </c>
      <c r="F1437" s="7" t="s">
        <v>1597</v>
      </c>
    </row>
    <row r="1438" spans="1:6" x14ac:dyDescent="0.25">
      <c r="A1438" s="7" t="s">
        <v>907</v>
      </c>
      <c r="B1438" s="7" t="s">
        <v>4703</v>
      </c>
      <c r="C1438" s="7" t="s">
        <v>4704</v>
      </c>
      <c r="D1438" s="7" t="s">
        <v>3047</v>
      </c>
      <c r="E1438" s="7" t="s">
        <v>1585</v>
      </c>
      <c r="F1438" s="7" t="s">
        <v>1597</v>
      </c>
    </row>
    <row r="1439" spans="1:6" x14ac:dyDescent="0.25">
      <c r="A1439" s="7" t="s">
        <v>895</v>
      </c>
      <c r="B1439" s="7" t="s">
        <v>4705</v>
      </c>
      <c r="C1439" s="7" t="s">
        <v>4706</v>
      </c>
      <c r="D1439" s="7" t="s">
        <v>3047</v>
      </c>
      <c r="E1439" s="7" t="s">
        <v>1585</v>
      </c>
      <c r="F1439" s="7" t="s">
        <v>1597</v>
      </c>
    </row>
    <row r="1440" spans="1:6" x14ac:dyDescent="0.25">
      <c r="A1440" s="7" t="s">
        <v>909</v>
      </c>
      <c r="B1440" s="7" t="s">
        <v>4707</v>
      </c>
      <c r="C1440" s="7" t="s">
        <v>4708</v>
      </c>
      <c r="D1440" s="7" t="s">
        <v>3047</v>
      </c>
      <c r="E1440" s="7" t="s">
        <v>1585</v>
      </c>
      <c r="F1440" s="7" t="s">
        <v>1597</v>
      </c>
    </row>
    <row r="1441" spans="1:6" x14ac:dyDescent="0.25">
      <c r="A1441" s="7" t="s">
        <v>4709</v>
      </c>
      <c r="B1441" s="7" t="s">
        <v>4710</v>
      </c>
      <c r="C1441" s="7" t="s">
        <v>4711</v>
      </c>
      <c r="D1441" s="7" t="s">
        <v>3047</v>
      </c>
      <c r="E1441" s="7" t="s">
        <v>1585</v>
      </c>
      <c r="F1441" s="7" t="s">
        <v>1597</v>
      </c>
    </row>
    <row r="1442" spans="1:6" x14ac:dyDescent="0.25">
      <c r="A1442" s="7" t="s">
        <v>934</v>
      </c>
      <c r="B1442" s="7" t="s">
        <v>4712</v>
      </c>
      <c r="C1442" s="7" t="s">
        <v>4713</v>
      </c>
      <c r="D1442" s="7" t="s">
        <v>3047</v>
      </c>
      <c r="E1442" s="7" t="s">
        <v>1585</v>
      </c>
      <c r="F1442" s="7" t="s">
        <v>1597</v>
      </c>
    </row>
    <row r="1443" spans="1:6" x14ac:dyDescent="0.25">
      <c r="A1443" s="7" t="s">
        <v>4714</v>
      </c>
      <c r="B1443" s="7" t="s">
        <v>4715</v>
      </c>
      <c r="C1443" s="7" t="s">
        <v>4716</v>
      </c>
      <c r="D1443" s="7" t="s">
        <v>3047</v>
      </c>
      <c r="E1443" s="7" t="s">
        <v>1585</v>
      </c>
      <c r="F1443" s="7" t="s">
        <v>1597</v>
      </c>
    </row>
    <row r="1444" spans="1:6" x14ac:dyDescent="0.25">
      <c r="A1444" s="7" t="s">
        <v>872</v>
      </c>
      <c r="B1444" s="7" t="s">
        <v>4717</v>
      </c>
      <c r="C1444" s="7" t="s">
        <v>4718</v>
      </c>
      <c r="D1444" s="7" t="s">
        <v>3047</v>
      </c>
      <c r="E1444" s="7" t="s">
        <v>1585</v>
      </c>
      <c r="F1444" s="7" t="s">
        <v>1597</v>
      </c>
    </row>
    <row r="1445" spans="1:6" x14ac:dyDescent="0.25">
      <c r="A1445" s="7" t="s">
        <v>869</v>
      </c>
      <c r="B1445" s="7" t="s">
        <v>4719</v>
      </c>
      <c r="C1445" s="7" t="s">
        <v>4720</v>
      </c>
      <c r="D1445" s="7" t="s">
        <v>3047</v>
      </c>
      <c r="E1445" s="7" t="s">
        <v>1585</v>
      </c>
      <c r="F1445" s="7" t="s">
        <v>1597</v>
      </c>
    </row>
    <row r="1446" spans="1:6" x14ac:dyDescent="0.25">
      <c r="A1446" s="7" t="s">
        <v>4721</v>
      </c>
      <c r="B1446" s="7" t="s">
        <v>4722</v>
      </c>
      <c r="C1446" s="7" t="s">
        <v>4723</v>
      </c>
      <c r="D1446" s="7" t="s">
        <v>1584</v>
      </c>
      <c r="E1446" s="7" t="s">
        <v>1585</v>
      </c>
      <c r="F1446" s="7" t="s">
        <v>1597</v>
      </c>
    </row>
    <row r="1447" spans="1:6" ht="22.5" x14ac:dyDescent="0.25">
      <c r="A1447" s="7" t="s">
        <v>4724</v>
      </c>
      <c r="B1447" s="7" t="s">
        <v>4725</v>
      </c>
      <c r="C1447" s="7" t="s">
        <v>4726</v>
      </c>
      <c r="D1447" s="7" t="s">
        <v>1584</v>
      </c>
      <c r="E1447" s="7" t="s">
        <v>1585</v>
      </c>
      <c r="F1447" s="7" t="s">
        <v>1597</v>
      </c>
    </row>
    <row r="1448" spans="1:6" x14ac:dyDescent="0.25">
      <c r="A1448" s="7" t="s">
        <v>4727</v>
      </c>
      <c r="B1448" s="7" t="s">
        <v>4728</v>
      </c>
      <c r="C1448" s="7" t="s">
        <v>4729</v>
      </c>
      <c r="D1448" s="7" t="s">
        <v>1584</v>
      </c>
      <c r="E1448" s="7" t="s">
        <v>1585</v>
      </c>
      <c r="F1448" s="7" t="s">
        <v>1597</v>
      </c>
    </row>
    <row r="1449" spans="1:6" x14ac:dyDescent="0.25">
      <c r="A1449" s="7" t="s">
        <v>4730</v>
      </c>
      <c r="B1449" s="7" t="s">
        <v>4731</v>
      </c>
      <c r="C1449" s="7" t="s">
        <v>4732</v>
      </c>
      <c r="D1449" s="7" t="s">
        <v>1584</v>
      </c>
      <c r="E1449" s="7" t="s">
        <v>1585</v>
      </c>
      <c r="F1449" s="7" t="s">
        <v>1597</v>
      </c>
    </row>
    <row r="1450" spans="1:6" ht="22.5" x14ac:dyDescent="0.25">
      <c r="A1450" s="7" t="s">
        <v>4733</v>
      </c>
      <c r="B1450" s="7" t="s">
        <v>4734</v>
      </c>
      <c r="C1450" s="7" t="s">
        <v>4735</v>
      </c>
      <c r="D1450" s="7" t="s">
        <v>1584</v>
      </c>
      <c r="E1450" s="7" t="s">
        <v>1585</v>
      </c>
      <c r="F1450" s="7" t="s">
        <v>1597</v>
      </c>
    </row>
    <row r="1451" spans="1:6" x14ac:dyDescent="0.25">
      <c r="A1451" s="7" t="s">
        <v>4736</v>
      </c>
      <c r="B1451" s="7" t="s">
        <v>4737</v>
      </c>
      <c r="C1451" s="7" t="s">
        <v>4738</v>
      </c>
      <c r="D1451" s="7" t="s">
        <v>3047</v>
      </c>
      <c r="E1451" s="7" t="s">
        <v>1585</v>
      </c>
      <c r="F1451" s="7" t="s">
        <v>1597</v>
      </c>
    </row>
    <row r="1452" spans="1:6" x14ac:dyDescent="0.25">
      <c r="A1452" s="7" t="s">
        <v>4739</v>
      </c>
      <c r="B1452" s="7" t="s">
        <v>4740</v>
      </c>
      <c r="C1452" s="7" t="s">
        <v>4741</v>
      </c>
      <c r="D1452" s="7" t="s">
        <v>3047</v>
      </c>
      <c r="E1452" s="7" t="s">
        <v>1585</v>
      </c>
      <c r="F1452" s="7" t="s">
        <v>1597</v>
      </c>
    </row>
    <row r="1453" spans="1:6" ht="22.5" x14ac:dyDescent="0.25">
      <c r="A1453" s="7" t="s">
        <v>4742</v>
      </c>
      <c r="B1453" s="7" t="s">
        <v>4743</v>
      </c>
      <c r="C1453" s="7" t="s">
        <v>4744</v>
      </c>
      <c r="D1453" s="7" t="s">
        <v>1584</v>
      </c>
      <c r="E1453" s="7" t="s">
        <v>1585</v>
      </c>
      <c r="F1453" s="7" t="s">
        <v>1597</v>
      </c>
    </row>
    <row r="1454" spans="1:6" x14ac:dyDescent="0.25">
      <c r="A1454" s="7" t="s">
        <v>4745</v>
      </c>
      <c r="B1454" s="7" t="s">
        <v>4746</v>
      </c>
      <c r="C1454" s="7" t="s">
        <v>4747</v>
      </c>
      <c r="D1454" s="7" t="s">
        <v>1584</v>
      </c>
      <c r="E1454" s="7" t="s">
        <v>1585</v>
      </c>
      <c r="F1454" s="7" t="s">
        <v>1597</v>
      </c>
    </row>
    <row r="1455" spans="1:6" x14ac:dyDescent="0.25">
      <c r="A1455" s="7" t="s">
        <v>4748</v>
      </c>
      <c r="B1455" s="7" t="s">
        <v>4749</v>
      </c>
      <c r="C1455" s="7" t="s">
        <v>4750</v>
      </c>
      <c r="D1455" s="7" t="s">
        <v>1584</v>
      </c>
      <c r="E1455" s="7" t="s">
        <v>1585</v>
      </c>
      <c r="F1455" s="7" t="s">
        <v>1597</v>
      </c>
    </row>
    <row r="1456" spans="1:6" ht="22.5" x14ac:dyDescent="0.25">
      <c r="A1456" s="7" t="s">
        <v>4751</v>
      </c>
      <c r="B1456" s="7" t="s">
        <v>4752</v>
      </c>
      <c r="C1456" s="7" t="s">
        <v>4753</v>
      </c>
      <c r="D1456" s="7" t="s">
        <v>1584</v>
      </c>
      <c r="E1456" s="7" t="s">
        <v>1585</v>
      </c>
      <c r="F1456" s="7" t="s">
        <v>1597</v>
      </c>
    </row>
    <row r="1457" spans="1:6" ht="22.5" x14ac:dyDescent="0.25">
      <c r="A1457" s="7" t="s">
        <v>4754</v>
      </c>
      <c r="B1457" s="7" t="s">
        <v>4755</v>
      </c>
      <c r="C1457" s="7" t="s">
        <v>4756</v>
      </c>
      <c r="D1457" s="7" t="s">
        <v>1584</v>
      </c>
      <c r="E1457" s="7" t="s">
        <v>1585</v>
      </c>
      <c r="F1457" s="7" t="s">
        <v>1597</v>
      </c>
    </row>
    <row r="1458" spans="1:6" ht="22.5" x14ac:dyDescent="0.25">
      <c r="A1458" s="7" t="s">
        <v>4757</v>
      </c>
      <c r="B1458" s="7" t="s">
        <v>4758</v>
      </c>
      <c r="C1458" s="7" t="s">
        <v>4759</v>
      </c>
      <c r="D1458" s="7" t="s">
        <v>1584</v>
      </c>
      <c r="E1458" s="7" t="s">
        <v>1585</v>
      </c>
      <c r="F1458" s="7" t="s">
        <v>1597</v>
      </c>
    </row>
    <row r="1459" spans="1:6" x14ac:dyDescent="0.25">
      <c r="A1459" s="7" t="s">
        <v>4760</v>
      </c>
      <c r="B1459" s="7" t="s">
        <v>4761</v>
      </c>
      <c r="C1459" s="7" t="s">
        <v>4762</v>
      </c>
      <c r="D1459" s="7" t="s">
        <v>1669</v>
      </c>
      <c r="E1459" s="7" t="s">
        <v>1585</v>
      </c>
      <c r="F1459" s="7" t="s">
        <v>1597</v>
      </c>
    </row>
    <row r="1460" spans="1:6" x14ac:dyDescent="0.25">
      <c r="A1460" s="7" t="s">
        <v>4763</v>
      </c>
      <c r="B1460" s="7" t="s">
        <v>4764</v>
      </c>
      <c r="C1460" s="7" t="s">
        <v>4765</v>
      </c>
      <c r="D1460" s="7" t="s">
        <v>1669</v>
      </c>
      <c r="E1460" s="7" t="s">
        <v>1585</v>
      </c>
      <c r="F1460" s="7" t="s">
        <v>1597</v>
      </c>
    </row>
    <row r="1461" spans="1:6" ht="22.5" x14ac:dyDescent="0.25">
      <c r="A1461" s="7" t="s">
        <v>4766</v>
      </c>
      <c r="B1461" s="7" t="s">
        <v>4767</v>
      </c>
      <c r="C1461" s="7" t="s">
        <v>4768</v>
      </c>
      <c r="D1461" s="7" t="s">
        <v>1584</v>
      </c>
      <c r="E1461" s="7" t="s">
        <v>1585</v>
      </c>
      <c r="F1461" s="7" t="s">
        <v>1597</v>
      </c>
    </row>
    <row r="1462" spans="1:6" x14ac:dyDescent="0.25">
      <c r="A1462" s="7" t="s">
        <v>4769</v>
      </c>
      <c r="B1462" s="7" t="s">
        <v>4770</v>
      </c>
      <c r="C1462" s="7" t="s">
        <v>4771</v>
      </c>
      <c r="D1462" s="7" t="s">
        <v>1584</v>
      </c>
      <c r="E1462" s="7" t="s">
        <v>1585</v>
      </c>
      <c r="F1462" s="7" t="s">
        <v>1597</v>
      </c>
    </row>
    <row r="1463" spans="1:6" x14ac:dyDescent="0.25">
      <c r="A1463" s="7" t="s">
        <v>4772</v>
      </c>
      <c r="B1463" s="7" t="s">
        <v>4773</v>
      </c>
      <c r="C1463" s="7" t="s">
        <v>4774</v>
      </c>
      <c r="D1463" s="7" t="s">
        <v>1584</v>
      </c>
      <c r="E1463" s="7" t="s">
        <v>1585</v>
      </c>
      <c r="F1463" s="7" t="s">
        <v>1597</v>
      </c>
    </row>
    <row r="1464" spans="1:6" ht="22.5" x14ac:dyDescent="0.25">
      <c r="A1464" s="7" t="s">
        <v>4775</v>
      </c>
      <c r="B1464" s="7" t="s">
        <v>4776</v>
      </c>
      <c r="C1464" s="7" t="s">
        <v>4777</v>
      </c>
      <c r="D1464" s="7" t="s">
        <v>1584</v>
      </c>
      <c r="E1464" s="7" t="s">
        <v>1585</v>
      </c>
      <c r="F1464" s="7" t="s">
        <v>1597</v>
      </c>
    </row>
    <row r="1465" spans="1:6" ht="22.5" x14ac:dyDescent="0.25">
      <c r="A1465" s="7" t="s">
        <v>4778</v>
      </c>
      <c r="B1465" s="7" t="s">
        <v>4779</v>
      </c>
      <c r="C1465" s="7" t="s">
        <v>4780</v>
      </c>
      <c r="D1465" s="7" t="s">
        <v>1584</v>
      </c>
      <c r="E1465" s="7" t="s">
        <v>1585</v>
      </c>
      <c r="F1465" s="7" t="s">
        <v>1597</v>
      </c>
    </row>
    <row r="1466" spans="1:6" x14ac:dyDescent="0.25">
      <c r="A1466" s="7" t="s">
        <v>4781</v>
      </c>
      <c r="B1466" s="7" t="s">
        <v>4782</v>
      </c>
      <c r="C1466" s="7" t="s">
        <v>4783</v>
      </c>
      <c r="D1466" s="7" t="s">
        <v>1584</v>
      </c>
      <c r="E1466" s="7" t="s">
        <v>1585</v>
      </c>
      <c r="F1466" s="7" t="s">
        <v>1597</v>
      </c>
    </row>
    <row r="1467" spans="1:6" ht="22.5" x14ac:dyDescent="0.25">
      <c r="A1467" s="7" t="s">
        <v>4784</v>
      </c>
      <c r="B1467" s="7" t="s">
        <v>4785</v>
      </c>
      <c r="C1467" s="7" t="s">
        <v>4786</v>
      </c>
      <c r="D1467" s="7" t="s">
        <v>1584</v>
      </c>
      <c r="E1467" s="7" t="s">
        <v>1585</v>
      </c>
      <c r="F1467" s="7" t="s">
        <v>1597</v>
      </c>
    </row>
    <row r="1468" spans="1:6" x14ac:dyDescent="0.25">
      <c r="A1468" s="7" t="s">
        <v>4787</v>
      </c>
      <c r="B1468" s="7" t="s">
        <v>4788</v>
      </c>
      <c r="C1468" s="7" t="s">
        <v>4789</v>
      </c>
      <c r="D1468" s="7" t="s">
        <v>1584</v>
      </c>
      <c r="E1468" s="7" t="s">
        <v>1585</v>
      </c>
      <c r="F1468" s="7" t="s">
        <v>1597</v>
      </c>
    </row>
    <row r="1469" spans="1:6" ht="22.5" x14ac:dyDescent="0.25">
      <c r="A1469" s="7" t="s">
        <v>4790</v>
      </c>
      <c r="B1469" s="7" t="s">
        <v>4791</v>
      </c>
      <c r="C1469" s="7" t="s">
        <v>4792</v>
      </c>
      <c r="D1469" s="7" t="s">
        <v>1584</v>
      </c>
      <c r="E1469" s="7" t="s">
        <v>1585</v>
      </c>
      <c r="F1469" s="7" t="s">
        <v>1597</v>
      </c>
    </row>
    <row r="1470" spans="1:6" x14ac:dyDescent="0.25">
      <c r="A1470" s="7" t="s">
        <v>4793</v>
      </c>
      <c r="B1470" s="7" t="s">
        <v>4794</v>
      </c>
      <c r="C1470" s="7" t="s">
        <v>4795</v>
      </c>
      <c r="D1470" s="7" t="s">
        <v>1584</v>
      </c>
      <c r="E1470" s="7" t="s">
        <v>1585</v>
      </c>
      <c r="F1470" s="7" t="s">
        <v>1597</v>
      </c>
    </row>
    <row r="1471" spans="1:6" x14ac:dyDescent="0.25">
      <c r="A1471" s="7" t="s">
        <v>4796</v>
      </c>
      <c r="B1471" s="7" t="s">
        <v>4797</v>
      </c>
      <c r="C1471" s="7" t="s">
        <v>4798</v>
      </c>
      <c r="D1471" s="7" t="s">
        <v>1584</v>
      </c>
      <c r="E1471" s="7" t="s">
        <v>1585</v>
      </c>
      <c r="F1471" s="7" t="s">
        <v>1597</v>
      </c>
    </row>
    <row r="1472" spans="1:6" x14ac:dyDescent="0.25">
      <c r="A1472" s="7" t="s">
        <v>4799</v>
      </c>
      <c r="B1472" s="7" t="s">
        <v>4800</v>
      </c>
      <c r="C1472" s="7" t="s">
        <v>4801</v>
      </c>
      <c r="D1472" s="7" t="s">
        <v>1584</v>
      </c>
      <c r="E1472" s="7" t="s">
        <v>1585</v>
      </c>
      <c r="F1472" s="7" t="s">
        <v>1597</v>
      </c>
    </row>
    <row r="1473" spans="1:6" ht="22.5" x14ac:dyDescent="0.25">
      <c r="A1473" s="7" t="s">
        <v>4802</v>
      </c>
      <c r="B1473" s="7" t="s">
        <v>4803</v>
      </c>
      <c r="C1473" s="7" t="s">
        <v>4804</v>
      </c>
      <c r="D1473" s="7" t="s">
        <v>1584</v>
      </c>
      <c r="E1473" s="7" t="s">
        <v>1585</v>
      </c>
      <c r="F1473" s="7" t="s">
        <v>1597</v>
      </c>
    </row>
    <row r="1474" spans="1:6" x14ac:dyDescent="0.25">
      <c r="A1474" s="7" t="s">
        <v>4805</v>
      </c>
      <c r="B1474" s="7" t="s">
        <v>4806</v>
      </c>
      <c r="C1474" s="7" t="s">
        <v>4807</v>
      </c>
      <c r="D1474" s="7" t="s">
        <v>1584</v>
      </c>
      <c r="E1474" s="7" t="s">
        <v>1585</v>
      </c>
      <c r="F1474" s="7" t="s">
        <v>1597</v>
      </c>
    </row>
    <row r="1475" spans="1:6" x14ac:dyDescent="0.25">
      <c r="A1475" s="7" t="s">
        <v>4808</v>
      </c>
      <c r="B1475" s="7" t="s">
        <v>4809</v>
      </c>
      <c r="C1475" s="7" t="s">
        <v>4810</v>
      </c>
      <c r="D1475" s="7" t="s">
        <v>1584</v>
      </c>
      <c r="E1475" s="7" t="s">
        <v>1585</v>
      </c>
      <c r="F1475" s="7" t="s">
        <v>1597</v>
      </c>
    </row>
    <row r="1476" spans="1:6" ht="22.5" x14ac:dyDescent="0.25">
      <c r="A1476" s="7" t="s">
        <v>4811</v>
      </c>
      <c r="B1476" s="7" t="s">
        <v>4812</v>
      </c>
      <c r="C1476" s="7" t="s">
        <v>4813</v>
      </c>
      <c r="D1476" s="7" t="s">
        <v>1584</v>
      </c>
      <c r="E1476" s="7" t="s">
        <v>1585</v>
      </c>
      <c r="F1476" s="7" t="s">
        <v>1597</v>
      </c>
    </row>
    <row r="1477" spans="1:6" x14ac:dyDescent="0.25">
      <c r="A1477" s="7" t="s">
        <v>4814</v>
      </c>
      <c r="B1477" s="7" t="s">
        <v>4815</v>
      </c>
      <c r="C1477" s="7" t="s">
        <v>4816</v>
      </c>
      <c r="D1477" s="7" t="s">
        <v>1584</v>
      </c>
      <c r="E1477" s="7" t="s">
        <v>1585</v>
      </c>
      <c r="F1477" s="7" t="s">
        <v>1597</v>
      </c>
    </row>
    <row r="1478" spans="1:6" ht="22.5" x14ac:dyDescent="0.25">
      <c r="A1478" s="7" t="s">
        <v>4817</v>
      </c>
      <c r="B1478" s="7" t="s">
        <v>4818</v>
      </c>
      <c r="C1478" s="7" t="s">
        <v>4819</v>
      </c>
      <c r="D1478" s="7" t="s">
        <v>1584</v>
      </c>
      <c r="E1478" s="7" t="s">
        <v>1585</v>
      </c>
      <c r="F1478" s="7" t="s">
        <v>1597</v>
      </c>
    </row>
    <row r="1479" spans="1:6" x14ac:dyDescent="0.25">
      <c r="A1479" s="7" t="s">
        <v>4820</v>
      </c>
      <c r="B1479" s="7" t="s">
        <v>4821</v>
      </c>
      <c r="C1479" s="7" t="s">
        <v>4822</v>
      </c>
      <c r="D1479" s="7" t="s">
        <v>3047</v>
      </c>
      <c r="E1479" s="7" t="s">
        <v>1585</v>
      </c>
      <c r="F1479" s="7" t="s">
        <v>1597</v>
      </c>
    </row>
    <row r="1480" spans="1:6" ht="22.5" x14ac:dyDescent="0.25">
      <c r="A1480" s="7" t="s">
        <v>4823</v>
      </c>
      <c r="B1480" s="7" t="s">
        <v>4824</v>
      </c>
      <c r="C1480" s="7" t="s">
        <v>4825</v>
      </c>
      <c r="D1480" s="7" t="s">
        <v>1584</v>
      </c>
      <c r="E1480" s="7" t="s">
        <v>1585</v>
      </c>
      <c r="F1480" s="7" t="s">
        <v>1597</v>
      </c>
    </row>
  </sheetData>
  <autoFilter ref="A1:F1480" xr:uid="{3E703164-8E0F-4720-BA8C-8EF6D95277A8}">
    <filterColumn colId="2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483E-B9D3-4709-9166-5F0ED22F667A}">
  <dimension ref="A1:B14"/>
  <sheetViews>
    <sheetView workbookViewId="0">
      <selection activeCell="A3" sqref="A3"/>
    </sheetView>
  </sheetViews>
  <sheetFormatPr defaultRowHeight="15" x14ac:dyDescent="0.25"/>
  <cols>
    <col min="1" max="1" width="69.140625" customWidth="1"/>
    <col min="2" max="2" width="101.140625" customWidth="1"/>
  </cols>
  <sheetData>
    <row r="1" spans="1:2" ht="20.25" customHeight="1" x14ac:dyDescent="0.25">
      <c r="A1" s="21" t="s">
        <v>8</v>
      </c>
      <c r="B1" s="38" t="s">
        <v>4837</v>
      </c>
    </row>
    <row r="2" spans="1:2" ht="20.25" customHeight="1" x14ac:dyDescent="0.25">
      <c r="A2" s="21" t="s">
        <v>9</v>
      </c>
      <c r="B2" s="38" t="s">
        <v>4838</v>
      </c>
    </row>
    <row r="3" spans="1:2" ht="20.25" customHeight="1" x14ac:dyDescent="0.25">
      <c r="A3" s="21" t="s">
        <v>4861</v>
      </c>
      <c r="B3" s="38" t="s">
        <v>4826</v>
      </c>
    </row>
    <row r="4" spans="1:2" ht="20.25" customHeight="1" x14ac:dyDescent="0.25">
      <c r="A4" s="21" t="s">
        <v>10</v>
      </c>
      <c r="B4" s="38" t="s">
        <v>4827</v>
      </c>
    </row>
    <row r="5" spans="1:2" ht="21" customHeight="1" x14ac:dyDescent="0.25">
      <c r="A5" s="21" t="s">
        <v>11</v>
      </c>
      <c r="B5" s="38" t="s">
        <v>4828</v>
      </c>
    </row>
    <row r="6" spans="1:2" ht="22.5" customHeight="1" x14ac:dyDescent="0.25">
      <c r="A6" s="21" t="s">
        <v>12</v>
      </c>
      <c r="B6" s="38" t="s">
        <v>4829</v>
      </c>
    </row>
    <row r="7" spans="1:2" ht="20.25" customHeight="1" x14ac:dyDescent="0.25">
      <c r="A7" s="21" t="s">
        <v>14</v>
      </c>
      <c r="B7" s="38" t="s">
        <v>4830</v>
      </c>
    </row>
    <row r="8" spans="1:2" ht="21" customHeight="1" x14ac:dyDescent="0.25">
      <c r="A8" s="21" t="s">
        <v>15</v>
      </c>
      <c r="B8" s="38" t="s">
        <v>4831</v>
      </c>
    </row>
    <row r="9" spans="1:2" ht="20.25" customHeight="1" x14ac:dyDescent="0.25">
      <c r="A9" s="21" t="s">
        <v>16</v>
      </c>
      <c r="B9" s="38" t="s">
        <v>4832</v>
      </c>
    </row>
    <row r="10" spans="1:2" ht="22.5" customHeight="1" x14ac:dyDescent="0.25">
      <c r="A10" s="21" t="s">
        <v>19</v>
      </c>
      <c r="B10" s="38" t="s">
        <v>4833</v>
      </c>
    </row>
    <row r="11" spans="1:2" ht="18.75" customHeight="1" x14ac:dyDescent="0.25">
      <c r="A11" s="21" t="s">
        <v>20</v>
      </c>
      <c r="B11" s="38" t="s">
        <v>4834</v>
      </c>
    </row>
    <row r="12" spans="1:2" ht="19.5" customHeight="1" x14ac:dyDescent="0.25">
      <c r="A12" s="21" t="s">
        <v>21</v>
      </c>
      <c r="B12" s="38" t="s">
        <v>4835</v>
      </c>
    </row>
    <row r="13" spans="1:2" ht="20.25" customHeight="1" x14ac:dyDescent="0.25">
      <c r="A13" s="21" t="s">
        <v>22</v>
      </c>
      <c r="B13" s="38" t="s">
        <v>4836</v>
      </c>
    </row>
    <row r="14" spans="1:2" x14ac:dyDescent="0.25">
      <c r="A14" s="39" t="s">
        <v>4860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Setup</vt:lpstr>
      <vt:lpstr>interpretations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Dmitry Ishunkin</dc:creator>
  <cp:keywords/>
  <dc:description/>
  <cp:lastModifiedBy>Dmitry Ishunkin</cp:lastModifiedBy>
  <cp:revision/>
  <dcterms:created xsi:type="dcterms:W3CDTF">2026-03-25T07:09:55Z</dcterms:created>
  <dcterms:modified xsi:type="dcterms:W3CDTF">2026-03-30T09:30:42Z</dcterms:modified>
  <cp:category/>
  <cp:contentStatus/>
</cp:coreProperties>
</file>